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Definitions_and_assumptions" sheetId="2" r:id="rId5"/>
    <sheet state="visible" name="Aggregation_notes" sheetId="3" r:id="rId6"/>
    <sheet state="visible" name="CCUS_Projects_Database" sheetId="4" r:id="rId7"/>
  </sheets>
  <definedNames>
    <definedName hidden="1" localSheetId="3" name="_xlnm._FilterDatabase">CCUS_Projects_Database!$A$1:$AE$845</definedName>
  </definedNames>
  <calcPr/>
  <extLst>
    <ext uri="GoogleSheetsCustomDataVersion2">
      <go:sheetsCustomData xmlns:go="http://customooxmlschemas.google.com/" r:id="rId8" roundtripDataChecksum="nt5rehE+x44W9RqBnrG/cKFqWBa/TUe22wq3BwjgVak="/>
    </ext>
  </extLst>
</workbook>
</file>

<file path=xl/sharedStrings.xml><?xml version="1.0" encoding="utf-8"?>
<sst xmlns="http://schemas.openxmlformats.org/spreadsheetml/2006/main" count="16233" uniqueCount="2999">
  <si>
    <r>
      <rPr>
        <rFont val="Corbel"/>
        <b/>
        <color rgb="FF004BFF"/>
        <sz val="11.0"/>
      </rPr>
      <t xml:space="preserve">Scope
</t>
    </r>
    <r>
      <rPr>
        <rFont val="Corbel"/>
        <b val="0"/>
        <color rgb="FF7F7F7F"/>
        <sz val="9.0"/>
      </rPr>
      <t xml:space="preserve">The IEA produced this dataset as part of efforts to track advances in carbon capture, utilisation, and storage (CCUS). It covers all CO2 capture, transport, storage, and utilisation projects worldwide that have been commissioned since the 1970s, with an announced capacity </t>
    </r>
    <r>
      <rPr>
        <rFont val="Corbel"/>
        <b/>
        <color rgb="FFFF0000"/>
        <sz val="9.0"/>
      </rPr>
      <t>of more than 100 000 t per year</t>
    </r>
    <r>
      <rPr>
        <rFont val="Corbel"/>
        <b val="0"/>
        <color rgb="FF7F7F7F"/>
        <sz val="9.0"/>
      </rPr>
      <t xml:space="preserve"> (or 1000 t per year for direct air capture facilities). It includes projects with a clear emissions reduction scope, and excludes CO2 capture for utilisation pathways which bring low climate benefits (e.g. food and beverages) or which are part of the conventional industrial process (e.g. internal use for urea production), as well as use of naturally occurring CO2 for enhanced oil recovery </t>
    </r>
    <r>
      <rPr>
        <rFont val="Corbel"/>
        <b val="0"/>
        <color rgb="FFFF0000"/>
        <sz val="9.0"/>
      </rPr>
      <t>(EOR).</t>
    </r>
    <r>
      <rPr>
        <rFont val="Corbel"/>
        <b/>
        <color rgb="FF004BFF"/>
        <sz val="11.0"/>
      </rPr>
      <t xml:space="preserve">
</t>
    </r>
    <r>
      <rPr>
        <rFont val="Corbel"/>
        <b val="0"/>
        <color rgb="FF7F7F7F"/>
        <sz val="9.0"/>
      </rPr>
      <t xml:space="preserve">When the capacity is unknown, only projects with a clear commercial scope are included. If an industrial cluster has been announced, only identified CO2 capture projects within this cluster are included (i.e. it does not include the full potential capture capacity of industrial clusters for which capture sources are not specified). Capture projects for CO2 use are included as long as the source of the CO2 (i.e. capture facility) has been clearly identified.
Projects are categorised by type (capture, full chain, transport, storage, CCU), sector of point source (fuel transformation, power and heat, industry, direct air capture, etc.), and fate of CO2 (dedicated storage, EOR, utilisation, unknown/unspecified). Detailed definitions for each column are available in the </t>
    </r>
    <r>
      <rPr>
        <rFont val="Corbel"/>
        <b/>
        <color rgb="FFFF0000"/>
        <sz val="9.0"/>
      </rPr>
      <t>Definitions</t>
    </r>
    <r>
      <rPr>
        <rFont val="Corbel"/>
        <b val="0"/>
        <color rgb="FF7F7F7F"/>
        <sz val="9.0"/>
      </rPr>
      <t xml:space="preserve"> tab. 
Project announcements as of </t>
    </r>
    <r>
      <rPr>
        <rFont val="Corbel"/>
        <b/>
        <color rgb="FFFF0000"/>
        <sz val="9.0"/>
      </rPr>
      <t>February 2024</t>
    </r>
    <r>
      <rPr>
        <rFont val="Corbel"/>
        <b val="0"/>
        <color rgb="FF7F7F7F"/>
        <sz val="9.0"/>
      </rPr>
      <t xml:space="preserve"> are included.
</t>
    </r>
    <r>
      <rPr>
        <rFont val="Corbel"/>
        <b/>
        <color rgb="FF004BFF"/>
        <sz val="11.0"/>
      </rPr>
      <t xml:space="preserve">
Data 
</t>
    </r>
    <r>
      <rPr>
        <rFont val="Corbel"/>
        <b val="0"/>
        <color rgb="FF7F7F7F"/>
        <sz val="9.0"/>
      </rPr>
      <t xml:space="preserve">Data collection and processing by the IEA. All public references are available by project. Notes on how to aggregate the data are available in </t>
    </r>
    <r>
      <rPr>
        <rFont val="Corbel"/>
        <b/>
        <color rgb="FFFF0000"/>
        <sz val="9.0"/>
      </rPr>
      <t>Aggregation notes</t>
    </r>
    <r>
      <rPr>
        <rFont val="Corbel"/>
        <b val="0"/>
        <color rgb="FF7F7F7F"/>
        <sz val="9.0"/>
      </rPr>
      <t>.</t>
    </r>
    <r>
      <rPr>
        <rFont val="Corbel"/>
        <b/>
        <color rgb="FF004BFF"/>
        <sz val="11.0"/>
      </rPr>
      <t xml:space="preserve"> </t>
    </r>
    <r>
      <rPr>
        <rFont val="Corbel"/>
        <b val="0"/>
        <color rgb="FF7F7F7F"/>
        <sz val="9.0"/>
      </rPr>
      <t xml:space="preserve">For any feedback or questions please contact </t>
    </r>
    <r>
      <rPr>
        <rFont val="Corbel"/>
        <b/>
        <color rgb="FF004BFF"/>
        <sz val="9.0"/>
      </rPr>
      <t>ccsinfo@iea.org.</t>
    </r>
    <r>
      <rPr>
        <rFont val="Corbel"/>
        <b/>
        <color rgb="FF004BFF"/>
        <sz val="11.0"/>
      </rPr>
      <t xml:space="preserve">
Citation
</t>
    </r>
    <r>
      <rPr>
        <rFont val="Corbel"/>
        <b val="0"/>
        <color rgb="FF7F7F7F"/>
        <sz val="9.0"/>
      </rPr>
      <t xml:space="preserve">Please cite this database as: IEA (2024), CCUS Projects Database, </t>
    </r>
    <r>
      <rPr>
        <rFont val="Corbel"/>
        <b/>
        <color rgb="FF004BFF"/>
        <sz val="9.0"/>
        <u/>
      </rPr>
      <t>https://www.iea.org/data-and-statistics/data-product/ccus-projects-database</t>
    </r>
  </si>
  <si>
    <t>Country</t>
  </si>
  <si>
    <t>Country of project location.</t>
  </si>
  <si>
    <t>Project partners</t>
  </si>
  <si>
    <t>Includes project developers, technology providers (''tech''), and contractors, including for feasibility, front-end engineering and design (FEED), equipment procurement and construction (EPC), etc. when applicable/known.</t>
  </si>
  <si>
    <t>Project type</t>
  </si>
  <si>
    <t>Full chain</t>
  </si>
  <si>
    <t>Projects where CO2 is transported from one capture facility to one injection site, typically involving a single operator.</t>
  </si>
  <si>
    <t>Capture</t>
  </si>
  <si>
    <t>Capture-only project (project does not include any transport and storage development but can be developed as part of a CCUS hub).</t>
  </si>
  <si>
    <t>Transport</t>
  </si>
  <si>
    <t>CO2 transport-only project, which may include CO2 shipping, pipelines, terminals with liquefaction stations/buffer storage, etc.</t>
  </si>
  <si>
    <t>Storage</t>
  </si>
  <si>
    <t>CO2 storage-only project (no mention of connecting infrastructure), including both dedicated storage and CO2 enhanced oil recovery (EOR).</t>
  </si>
  <si>
    <t>T&amp;S</t>
  </si>
  <si>
    <t>CO2 transport and storage project which includes both transport and storage development.</t>
  </si>
  <si>
    <t>CCU</t>
  </si>
  <si>
    <t>A project that captures CO2 for use (excluding internal use such as urea production) with significant climate benefits and a clearly identified source for the captured CO2.</t>
  </si>
  <si>
    <t>Dates</t>
  </si>
  <si>
    <t>Announcement</t>
  </si>
  <si>
    <t>Year of project announcement.</t>
  </si>
  <si>
    <t>FID</t>
  </si>
  <si>
    <t>Actual or planned year of final investment decision (FID).</t>
  </si>
  <si>
    <t>Operation</t>
  </si>
  <si>
    <t>Actual or planned year of project commissioning.</t>
  </si>
  <si>
    <t>Suspension/decommissioning</t>
  </si>
  <si>
    <t>Actual year of suspension/decommissioning.</t>
  </si>
  <si>
    <t>Project status</t>
  </si>
  <si>
    <t>Planned</t>
  </si>
  <si>
    <t>Project at concept, feasibility or engineering study (FEED) stage. Concept projects include announcements with little to no further information available (e.g. capture technology, site, stakeholders, budget, timeline).</t>
  </si>
  <si>
    <t>Under construction</t>
  </si>
  <si>
    <t>A final investment decision (FID) has been announced and construction is ongoing or imminent.</t>
  </si>
  <si>
    <t>Operational</t>
  </si>
  <si>
    <t>Project has been commissioned and is running.</t>
  </si>
  <si>
    <t>Suspended</t>
  </si>
  <si>
    <t>Project operation is suspended for more than six months.</t>
  </si>
  <si>
    <t>Decommissioned</t>
  </si>
  <si>
    <t>Project operation is permanently stopped.</t>
  </si>
  <si>
    <t>Project Phase</t>
  </si>
  <si>
    <r>
      <rPr>
        <rFont val="Corbel"/>
        <color rgb="FF7F7F7F"/>
        <sz val="10.0"/>
      </rPr>
      <t xml:space="preserve">If projects have defined announced phases or plan to develop capacity in a stepwise manner, this column is used. Phasing starts from 1. </t>
    </r>
    <r>
      <rPr>
        <rFont val="Corbel"/>
        <b/>
        <color rgb="FFFF0000"/>
        <sz val="10.0"/>
      </rPr>
      <t>Announced capacity across phases is additional, not cumulative.</t>
    </r>
  </si>
  <si>
    <t>Announced capacity (Mt CO2 per year)</t>
  </si>
  <si>
    <t>Announced or actual capture, transport and/or storage CO2 capacity, in Mt CO2 per year. When capture capacity is announced as a range, or several values are available, announced capacity is entered as a range.</t>
  </si>
  <si>
    <t>Estimated capacity by IEA (Mt CO2 per year)</t>
  </si>
  <si>
    <t>Estimated capture capacity based on other plant details (e.g. fuel production capacity) or potential deployment plans. See conversion factors for further assumptions.</t>
  </si>
  <si>
    <t>Sector</t>
  </si>
  <si>
    <r>
      <rPr>
        <rFont val="Corbel"/>
        <color rgb="FF7F7F7F"/>
        <sz val="10.0"/>
      </rPr>
      <t>These sector categories will be published in the online version. For capture, full chain, and CCU projects, the sector corresponds to the</t>
    </r>
    <r>
      <rPr>
        <rFont val="Corbel"/>
        <b/>
        <color rgb="FF7F7F7F"/>
        <sz val="10.0"/>
      </rPr>
      <t xml:space="preserve"> </t>
    </r>
    <r>
      <rPr>
        <rFont val="Corbel"/>
        <b/>
        <color rgb="FFFF0000"/>
        <sz val="10.0"/>
      </rPr>
      <t>source of capture.</t>
    </r>
  </si>
  <si>
    <t>Power and heat</t>
  </si>
  <si>
    <t>Capture, full chain, and CCU projects which capture CO2 from power and heat facilities (includes waste-to-energy plants).</t>
  </si>
  <si>
    <t>Natural gas processing/LNG</t>
  </si>
  <si>
    <t>Capture, full chain, and CCU projects which capture CO2 from natural gas processing and liquefied natural gas (LNG) trains.</t>
  </si>
  <si>
    <t>Biofuels</t>
  </si>
  <si>
    <t>Capture, full chain, and CCU projects which capture CO2 from bioethanol, biodiesel, and biogas facilities.</t>
  </si>
  <si>
    <t>Hydrogen/ammonia</t>
  </si>
  <si>
    <t>Capture, full chain, and CCU projects which capture CO2 from off-site hydrogen and ammonia production. When CO2 is captured on a hydrogen production plant for on-site use (e.g. iron and steel, refinery, fertiliser), the sector is tagged as the main application.</t>
  </si>
  <si>
    <t>Other fuel transformation</t>
  </si>
  <si>
    <t>Capture, full chain, and CCU projects which capture CO2 from other fuel transformation facilities including refineries, coal-to-gas, coal-to-liquids, and gas-to-liquids plants.</t>
  </si>
  <si>
    <t>Cement</t>
  </si>
  <si>
    <t>Capture, full chain, and CCU projects which capture CO2 from cement and lime facilities.</t>
  </si>
  <si>
    <t>Iron and steel</t>
  </si>
  <si>
    <t>Capture, full chain, and CCU projects which capture CO2 from iron and steel plants.</t>
  </si>
  <si>
    <t>Chemicals</t>
  </si>
  <si>
    <t>Capture, full chain, and CCU projects which capture CO2 from chemical and fertiliser plants.</t>
  </si>
  <si>
    <t>Other industry</t>
  </si>
  <si>
    <t>Capture, full chain, and CCU projects which capture CO2 from other industrial facilities including aluminium smelters, pulp and paper mills, etc.</t>
  </si>
  <si>
    <t>DAC</t>
  </si>
  <si>
    <t>Direct air capture plant.</t>
  </si>
  <si>
    <t>CO2 transport project.</t>
  </si>
  <si>
    <t>CO2 storage project.</t>
  </si>
  <si>
    <t xml:space="preserve"> </t>
  </si>
  <si>
    <t>CO2 transport and storage project.</t>
  </si>
  <si>
    <t>Fate of carbon</t>
  </si>
  <si>
    <t>Dedicated storage</t>
  </si>
  <si>
    <t>CO2 is injected deep underground and stored permanently in a dedicated storage site.</t>
  </si>
  <si>
    <t>EOR</t>
  </si>
  <si>
    <t>CO2 is used for enhanced oil recovery.</t>
  </si>
  <si>
    <t>Use</t>
  </si>
  <si>
    <t>CO2 is used in a product with significant climate benefits. Internal use (e.g. CO2 capture and use in urea production) is excluded.</t>
  </si>
  <si>
    <t>Unknown/unspecified</t>
  </si>
  <si>
    <t>Fate of carbon has not been communicated.</t>
  </si>
  <si>
    <t>Part of CCUS hub</t>
  </si>
  <si>
    <r>
      <rPr>
        <rFont val="Corbel"/>
        <color rgb="FF7F7F7F"/>
        <sz val="10.0"/>
      </rPr>
      <t xml:space="preserve">If a capture, transport or storage project is developed as part of a </t>
    </r>
    <r>
      <rPr>
        <rFont val="Corbel"/>
        <b/>
        <color rgb="FF7F7F7F"/>
        <sz val="10.0"/>
      </rPr>
      <t>CCUS hub</t>
    </r>
    <r>
      <rPr>
        <rFont val="Corbel"/>
        <color rgb="FF7F7F7F"/>
        <sz val="10.0"/>
      </rPr>
      <t xml:space="preserve"> (capture facilities connected to a network of CO2 storage sites by shared transport infrastructure), the name of the corresponding hub is indicated.</t>
    </r>
  </si>
  <si>
    <t>Total capture capacity (Mt CO2 per year)</t>
  </si>
  <si>
    <r>
      <rPr>
        <rFont val="Corbel"/>
        <color rgb="FF7F7F7F"/>
        <sz val="10.0"/>
      </rPr>
      <t xml:space="preserve">sum (Estimated capacity) for </t>
    </r>
    <r>
      <rPr>
        <rFont val="Corbel"/>
        <b/>
        <color rgb="FF7F7F7F"/>
        <sz val="10.0"/>
      </rPr>
      <t>full chain</t>
    </r>
    <r>
      <rPr>
        <rFont val="Corbel"/>
        <color rgb="FF7F7F7F"/>
        <sz val="10.0"/>
      </rPr>
      <t xml:space="preserve"> (''Full chain''), </t>
    </r>
    <r>
      <rPr>
        <rFont val="Corbel"/>
        <b/>
        <color rgb="FF7F7F7F"/>
        <sz val="10.0"/>
      </rPr>
      <t>capture</t>
    </r>
    <r>
      <rPr>
        <rFont val="Corbel"/>
        <color rgb="FF7F7F7F"/>
        <sz val="10.0"/>
      </rPr>
      <t xml:space="preserve"> (''Capture'') and </t>
    </r>
    <r>
      <rPr>
        <rFont val="Corbel"/>
        <b/>
        <color rgb="FF7F7F7F"/>
        <sz val="10.0"/>
      </rPr>
      <t>utilisation</t>
    </r>
    <r>
      <rPr>
        <rFont val="Corbel"/>
        <color rgb="FF7F7F7F"/>
        <sz val="10.0"/>
      </rPr>
      <t xml:space="preserve"> ("CCU") projects across phases, excluding suspended and decommissioned projects.</t>
    </r>
  </si>
  <si>
    <t>Total storage capacity (Mt CO2 per year)</t>
  </si>
  <si>
    <r>
      <rPr>
        <rFont val="Corbel"/>
        <color rgb="FF7F7F7F"/>
        <sz val="10.0"/>
      </rPr>
      <t xml:space="preserve">sum (Estimated capacity) for </t>
    </r>
    <r>
      <rPr>
        <rFont val="Corbel"/>
        <b/>
        <color rgb="FF7F7F7F"/>
        <sz val="10.0"/>
      </rPr>
      <t>full chain</t>
    </r>
    <r>
      <rPr>
        <rFont val="Corbel"/>
        <color rgb="FF7F7F7F"/>
        <sz val="10.0"/>
      </rPr>
      <t xml:space="preserve"> (''Full chain''), </t>
    </r>
    <r>
      <rPr>
        <rFont val="Corbel"/>
        <b/>
        <color rgb="FF7F7F7F"/>
        <sz val="10.0"/>
      </rPr>
      <t>transport and storage</t>
    </r>
    <r>
      <rPr>
        <rFont val="Corbel"/>
        <color rgb="FF7F7F7F"/>
        <sz val="10.0"/>
      </rPr>
      <t xml:space="preserve"> (''T&amp;S''), and </t>
    </r>
    <r>
      <rPr>
        <rFont val="Corbel"/>
        <b/>
        <color rgb="FF7F7F7F"/>
        <sz val="10.0"/>
      </rPr>
      <t>storage</t>
    </r>
    <r>
      <rPr>
        <rFont val="Corbel"/>
        <color rgb="FF7F7F7F"/>
        <sz val="10.0"/>
      </rPr>
      <t xml:space="preserve"> (''Storage'') projects across phases, excluding suspended and decommissioned projects.</t>
    </r>
  </si>
  <si>
    <t>Number of capture facilities</t>
  </si>
  <si>
    <r>
      <rPr>
        <rFont val="Corbel"/>
        <color rgb="FF7F7F7F"/>
        <sz val="10.0"/>
      </rPr>
      <t xml:space="preserve">count </t>
    </r>
    <r>
      <rPr>
        <rFont val="Corbel"/>
        <b/>
        <color rgb="FF7F7F7F"/>
        <sz val="10.0"/>
      </rPr>
      <t>full chain</t>
    </r>
    <r>
      <rPr>
        <rFont val="Corbel"/>
        <color rgb="FF7F7F7F"/>
        <sz val="10.0"/>
      </rPr>
      <t xml:space="preserve"> (''Full chain''), </t>
    </r>
    <r>
      <rPr>
        <rFont val="Corbel"/>
        <b/>
        <color rgb="FF7F7F7F"/>
        <sz val="10.0"/>
      </rPr>
      <t>capture</t>
    </r>
    <r>
      <rPr>
        <rFont val="Corbel"/>
        <color rgb="FF7F7F7F"/>
        <sz val="10.0"/>
      </rPr>
      <t xml:space="preserve"> (''Capture''), and utilisation ("CCU") projects </t>
    </r>
    <r>
      <rPr>
        <rFont val="Corbel"/>
        <b/>
        <color rgb="FFFF0000"/>
        <sz val="10.0"/>
      </rPr>
      <t>excluding phases 2, 3, and 4,</t>
    </r>
    <r>
      <rPr>
        <rFont val="Corbel"/>
        <color rgb="FF7F7F7F"/>
        <sz val="10.0"/>
      </rPr>
      <t xml:space="preserve"> and suspended and decommissioned projects.</t>
    </r>
  </si>
  <si>
    <t>Important note on transport:</t>
  </si>
  <si>
    <r>
      <rPr>
        <rFont val="Corbel"/>
        <color rgb="FF7F7F7F"/>
        <sz val="10.0"/>
      </rPr>
      <t xml:space="preserve">transport capacity of individual projects </t>
    </r>
    <r>
      <rPr>
        <rFont val="Corbel"/>
        <b/>
        <color rgb="FFFF0000"/>
        <sz val="10.0"/>
      </rPr>
      <t>is not cumulative</t>
    </r>
    <r>
      <rPr>
        <rFont val="Corbel"/>
        <color rgb="FF7F7F7F"/>
        <sz val="10.0"/>
      </rPr>
      <t xml:space="preserve"> and cannot be summed.</t>
    </r>
  </si>
  <si>
    <t>Conversion factors</t>
  </si>
  <si>
    <t>For projects when CO2 captured capacity is not provided but other details are provided e.g. fuel production capacity (hydrogen, ammonia, e-fuel), captured capacity can be estimated by IEA using the following assumptions:</t>
  </si>
  <si>
    <t>CO₂ emissions of natural gas fuelled hydrogen plants: 0.9105 kg CO₂/nm³ H₂. Source: California Air Resources Board, 2018.</t>
  </si>
  <si>
    <t>CO₂ emissions of coal fuelled hydrogen plants: 1.9075 kg CO₂/nm³ H₂. Source: Orhan and Alper, 2014; adjusted for hydrogen production only.</t>
  </si>
  <si>
    <r>
      <rPr>
        <rFont val="Corbel"/>
        <color rgb="FF808080"/>
        <sz val="10.0"/>
      </rPr>
      <t>Specific H2 requirement for NH</t>
    </r>
    <r>
      <rPr>
        <rFont val="Corbel"/>
        <color rgb="FF808080"/>
        <sz val="10.0"/>
        <vertAlign val="subscript"/>
      </rPr>
      <t>3</t>
    </r>
    <r>
      <rPr>
        <rFont val="Corbel"/>
        <color rgb="FF808080"/>
        <sz val="10.0"/>
      </rPr>
      <t xml:space="preserve"> (t/t): 0.180072; Conversion losses 2%.</t>
    </r>
  </si>
  <si>
    <r>
      <rPr>
        <rFont val="Corbel"/>
        <color rgb="FF808080"/>
        <sz val="10.0"/>
      </rPr>
      <t>H</t>
    </r>
    <r>
      <rPr>
        <rFont val="Corbel"/>
        <color rgb="FF808080"/>
        <sz val="10.0"/>
        <vertAlign val="subscript"/>
      </rPr>
      <t>2</t>
    </r>
    <r>
      <rPr>
        <rFont val="Corbel"/>
        <color rgb="FF808080"/>
        <sz val="10.0"/>
      </rPr>
      <t xml:space="preserve"> density in standard conditions: 0.089 kg/m</t>
    </r>
    <r>
      <rPr>
        <rFont val="Corbel"/>
        <color rgb="FF808080"/>
        <sz val="10.0"/>
        <vertAlign val="superscript"/>
      </rPr>
      <t>3</t>
    </r>
    <r>
      <rPr>
        <rFont val="Corbel"/>
        <color rgb="FF808080"/>
        <sz val="10.0"/>
      </rPr>
      <t>.</t>
    </r>
  </si>
  <si>
    <r>
      <rPr>
        <rFont val="Corbel"/>
        <color rgb="FF7F7F7F"/>
        <sz val="10.0"/>
      </rPr>
      <t xml:space="preserve">sum (Estimated capacity) for </t>
    </r>
    <r>
      <rPr>
        <rFont val="Corbel"/>
        <b/>
        <color rgb="FF7F7F7F"/>
        <sz val="10.0"/>
      </rPr>
      <t>full chain</t>
    </r>
    <r>
      <rPr>
        <rFont val="Corbel"/>
        <color rgb="FF7F7F7F"/>
        <sz val="10.0"/>
      </rPr>
      <t xml:space="preserve"> (''Full chain''), </t>
    </r>
    <r>
      <rPr>
        <rFont val="Corbel"/>
        <b/>
        <color rgb="FF7F7F7F"/>
        <sz val="10.0"/>
      </rPr>
      <t>capture</t>
    </r>
    <r>
      <rPr>
        <rFont val="Corbel"/>
        <color rgb="FF7F7F7F"/>
        <sz val="10.0"/>
      </rPr>
      <t xml:space="preserve"> (''Capture'') and </t>
    </r>
    <r>
      <rPr>
        <rFont val="Corbel"/>
        <b/>
        <color rgb="FF7F7F7F"/>
        <sz val="10.0"/>
      </rPr>
      <t>utilisation</t>
    </r>
    <r>
      <rPr>
        <rFont val="Corbel"/>
        <color rgb="FF7F7F7F"/>
        <sz val="10.0"/>
      </rPr>
      <t xml:space="preserve"> ("CCU") projects across phases, excluding suspended and decommissioned projects.</t>
    </r>
  </si>
  <si>
    <r>
      <rPr>
        <rFont val="Corbel"/>
        <color rgb="FF7F7F7F"/>
        <sz val="10.0"/>
      </rPr>
      <t xml:space="preserve">sum (Estimated capacity) for </t>
    </r>
    <r>
      <rPr>
        <rFont val="Corbel"/>
        <b/>
        <color rgb="FF7F7F7F"/>
        <sz val="10.0"/>
      </rPr>
      <t>full chain</t>
    </r>
    <r>
      <rPr>
        <rFont val="Corbel"/>
        <color rgb="FF7F7F7F"/>
        <sz val="10.0"/>
      </rPr>
      <t xml:space="preserve"> (''Full chain''), </t>
    </r>
    <r>
      <rPr>
        <rFont val="Corbel"/>
        <b/>
        <color rgb="FF7F7F7F"/>
        <sz val="10.0"/>
      </rPr>
      <t>transport and storage</t>
    </r>
    <r>
      <rPr>
        <rFont val="Corbel"/>
        <color rgb="FF7F7F7F"/>
        <sz val="10.0"/>
      </rPr>
      <t xml:space="preserve"> (''T&amp;S''), and </t>
    </r>
    <r>
      <rPr>
        <rFont val="Corbel"/>
        <b/>
        <color rgb="FF7F7F7F"/>
        <sz val="10.0"/>
      </rPr>
      <t>storage</t>
    </r>
    <r>
      <rPr>
        <rFont val="Corbel"/>
        <color rgb="FF7F7F7F"/>
        <sz val="10.0"/>
      </rPr>
      <t xml:space="preserve"> (''Storage'') projects across phases, excluding suspended and decommissioned projects.</t>
    </r>
  </si>
  <si>
    <r>
      <rPr>
        <rFont val="Corbel"/>
        <color rgb="FF7F7F7F"/>
        <sz val="10.0"/>
      </rPr>
      <t xml:space="preserve">count </t>
    </r>
    <r>
      <rPr>
        <rFont val="Corbel"/>
        <b/>
        <color rgb="FF7F7F7F"/>
        <sz val="10.0"/>
      </rPr>
      <t>full chain</t>
    </r>
    <r>
      <rPr>
        <rFont val="Corbel"/>
        <color rgb="FF7F7F7F"/>
        <sz val="10.0"/>
      </rPr>
      <t xml:space="preserve"> (''Full chain''), </t>
    </r>
    <r>
      <rPr>
        <rFont val="Corbel"/>
        <b/>
        <color rgb="FF7F7F7F"/>
        <sz val="10.0"/>
      </rPr>
      <t>capture</t>
    </r>
    <r>
      <rPr>
        <rFont val="Corbel"/>
        <color rgb="FF7F7F7F"/>
        <sz val="10.0"/>
      </rPr>
      <t xml:space="preserve"> (''Capture''), and utilisation ("CCU") projects </t>
    </r>
    <r>
      <rPr>
        <rFont val="Corbel"/>
        <b/>
        <color rgb="FFFF0000"/>
        <sz val="10.0"/>
      </rPr>
      <t>excluding phases 2, 3, and 4,</t>
    </r>
    <r>
      <rPr>
        <rFont val="Corbel"/>
        <color rgb="FF7F7F7F"/>
        <sz val="10.0"/>
      </rPr>
      <t xml:space="preserve"> and suspended and decommissioned projects.</t>
    </r>
  </si>
  <si>
    <r>
      <rPr>
        <rFont val="Corbel"/>
        <color rgb="FF7F7F7F"/>
        <sz val="10.0"/>
      </rPr>
      <t xml:space="preserve">transport capacity of individual projects </t>
    </r>
    <r>
      <rPr>
        <rFont val="Corbel"/>
        <b/>
        <color rgb="FFFF0000"/>
        <sz val="10.0"/>
      </rPr>
      <t>is not cumulative</t>
    </r>
    <r>
      <rPr>
        <rFont val="Corbel"/>
        <color rgb="FF7F7F7F"/>
        <sz val="10.0"/>
      </rPr>
      <t xml:space="preserve"> and cannot be summed.</t>
    </r>
  </si>
  <si>
    <t>Project name</t>
  </si>
  <si>
    <t>ID</t>
  </si>
  <si>
    <t>Partners</t>
  </si>
  <si>
    <t>Project Status</t>
  </si>
  <si>
    <t>Project phase</t>
  </si>
  <si>
    <t>Announced capacity (Mt CO2/yr)</t>
  </si>
  <si>
    <t>Estimated capacity by IEA (Mt CO2/yr)</t>
  </si>
  <si>
    <t>Region</t>
  </si>
  <si>
    <t>Ref 1</t>
  </si>
  <si>
    <t>Ref 2</t>
  </si>
  <si>
    <t>Ref 3</t>
  </si>
  <si>
    <t>Ref 4</t>
  </si>
  <si>
    <t>Ref 5</t>
  </si>
  <si>
    <t>Ref 6</t>
  </si>
  <si>
    <t>Ref 7</t>
  </si>
  <si>
    <t>Link 1</t>
  </si>
  <si>
    <t>Link 2</t>
  </si>
  <si>
    <t>Link 3</t>
  </si>
  <si>
    <t>Link 4</t>
  </si>
  <si>
    <t>Link 5</t>
  </si>
  <si>
    <t>Link 6</t>
  </si>
  <si>
    <t>Link 7</t>
  </si>
  <si>
    <t>3D DMX ArcelorMittal and IFPEN Dunkirk 'REUZE'</t>
  </si>
  <si>
    <t>France</t>
  </si>
  <si>
    <t>ArcelorMittal, Engie, Infinium</t>
  </si>
  <si>
    <t/>
  </si>
  <si>
    <t>Europe</t>
  </si>
  <si>
    <t>https://newsroom.engie.com/actualites/engie-et-infinium-annoncent-un-partenariat-pour-developper-un-hub-industriel-denvergure-europeenne-de-production-de-carburants-de-synthese-a-dunkerque-6d4d-ff316.html</t>
  </si>
  <si>
    <t>https://corporate.arcelormittal.com/climate-action/decarbonisation-technologies/the-3d-project-dmx-demonstration-in-dunkirk</t>
  </si>
  <si>
    <t>3D DMX ArcelorMittal and IFPEN Dunkirk (full-scale)</t>
  </si>
  <si>
    <t>ArcelorMittal, ifp, Axens, Uetikon, Grassco, brevik, TotalEnergies (T&amp;S)</t>
  </si>
  <si>
    <t>https://automotive.arcelormittal.com/news_and_stories/news/2019DMXproject</t>
  </si>
  <si>
    <t>https://3d-ccus.com/3d-overview/</t>
  </si>
  <si>
    <t>7 Blue Ammonia Facility</t>
  </si>
  <si>
    <t>Qatar</t>
  </si>
  <si>
    <t>QAFCO, thyssenkrupp Uhde/Consolidated Contractors Company (EPC)</t>
  </si>
  <si>
    <t>Full Chain</t>
  </si>
  <si>
    <t>Hydrogen or ammonia</t>
  </si>
  <si>
    <t>Middle East</t>
  </si>
  <si>
    <t>https://www.qafco.qa/content/qafco-7-announcement</t>
  </si>
  <si>
    <t>https://www.thyssenkrupp.com/en/newsroom/press-releases/pressdetailpage/thyssenkrupp-uhde-to-build-world-scale-blue-ammonia-plant-in-qatar-138369</t>
  </si>
  <si>
    <t>8Rivers H2 (8RH2) (WY)</t>
  </si>
  <si>
    <t>United States</t>
  </si>
  <si>
    <t>8Rivers, Wyoming Energy Authority</t>
  </si>
  <si>
    <t>North America</t>
  </si>
  <si>
    <t>https://8rivers.com/portfolio/8-rivers-hydrogen/#</t>
  </si>
  <si>
    <t>Abadi CCS/CCUS</t>
  </si>
  <si>
    <t>Indonesia</t>
  </si>
  <si>
    <t>Inpex Masela 65%, Shell (trying to find a buyer for its shares), ITB (feasibility)</t>
  </si>
  <si>
    <t>Other Asia Pacific</t>
  </si>
  <si>
    <t>https://www.upstreamonline.com/lng/inpex-further-delays-flagship-abadi-lng-project/2-1-1173044</t>
  </si>
  <si>
    <t>https://www.ogj.com/pipelines-transportation/lng/article/14292056/inpex-submits-ccs-plan-for-abadi-lng-project</t>
  </si>
  <si>
    <t>https://www.spglobal.com/commodityinsights/en/market-insights/latest-news/lng/092823-interview-indonesia-to-finalize-presidential-ccsccus-regulation-by-year-end</t>
  </si>
  <si>
    <t>Ackerman Combined Cycle Plant (MS)</t>
  </si>
  <si>
    <t>Trifecta Renewable Solutions, Tennessee Valley Authority</t>
  </si>
  <si>
    <t>Red Hills CO2 storage hub (MS)</t>
  </si>
  <si>
    <t>https://www.energy.gov/fecm/project-selections-foa-2711-carbon-storage-validation-and-testing-round-2</t>
  </si>
  <si>
    <t>Acorn CCS phase 1-Capture at St Fergus</t>
  </si>
  <si>
    <t>United Kingdom</t>
  </si>
  <si>
    <t>Storegga(30%), Shell (30%), Harbour (30%), North Sea Midstream partners (10%)</t>
  </si>
  <si>
    <t>Acorn CCS</t>
  </si>
  <si>
    <t>https://www.upstreamonline.com/energy-transition/five-proposed-uk-carbon-capture-projects-meet-governments-eligibility-test/2-1-1047222</t>
  </si>
  <si>
    <t>https://www.offshore-energy.biz/carbon-clean-to-carry-out-feed-on-acorn-carbon-capture-plant/</t>
  </si>
  <si>
    <t>https://www.backthescottishcluster.co.uk/the-scottish-cluster-supply-chain</t>
  </si>
  <si>
    <t>https://www.storegga.earth/news/2021/news/acorn-project-partners-storegga-shell-u-k-and-harbour-energy-sign-mou-with-the-owners-of-the-segal-and-fuka-gas-terminals-at-st-fergus/</t>
  </si>
  <si>
    <t>https://www.scottishconstructionnow.com/articles/acorn-project-partners-select-carbon-clean-to-deliver-st-fergus-carbon-capture-plant-feed-study</t>
  </si>
  <si>
    <t>https://www.energyvoice.com/oilandgas/north-sea/370332/st-fergus-terminal-owner-joins-acorn-ccs-project-as-partner</t>
  </si>
  <si>
    <t>Acorn CCS phase 1-T&amp;S</t>
  </si>
  <si>
    <t>Acorn CCS phase 2</t>
  </si>
  <si>
    <t>https://www.theacornproject.uk/news-and-events/nsta-grants-carbon-storage-licences-to-acorn</t>
  </si>
  <si>
    <t>Acorn H2</t>
  </si>
  <si>
    <t>Storegga, Chrysaor, Shell</t>
  </si>
  <si>
    <t>https://assets.publishing.service.gov.uk/government/uploads/system/uploads/attachment_data/file/866380/Phase_1_-_Pale_Blue_Dot_Energy_-_Acorn_Hydrogen.pdf</t>
  </si>
  <si>
    <t>Acorn Isle of Grain to Peterhead shipping</t>
  </si>
  <si>
    <t>Acorn, Uniper</t>
  </si>
  <si>
    <t>https://netl.doe.gov/coal/carbon-storage/atlas/secarb</t>
  </si>
  <si>
    <t>Adams Fork Energy clean ammonia project (WV)</t>
  </si>
  <si>
    <t>Adams Fork Energy, the Flandreau Santee Sioux Tribe</t>
  </si>
  <si>
    <t>https://adamsforkenergy.com/</t>
  </si>
  <si>
    <t>https://investors.cnx.com/news-releases/2023/04-03-2023-114519172</t>
  </si>
  <si>
    <t>https://www.reuters.com/sustainability/cnx-resources-pulls-out-adams-fork-ammonia-project-2023-12-15/</t>
  </si>
  <si>
    <t>Adbri Project</t>
  </si>
  <si>
    <t>Australia</t>
  </si>
  <si>
    <t>Adbri, CarbonTP, Heavy Industry Low Emissions Technology Co-Operative Research Centre</t>
  </si>
  <si>
    <t>South West Hub Project</t>
  </si>
  <si>
    <t>Australia and New Zealand</t>
  </si>
  <si>
    <t>https://calix.global/co2-mitigation-focus-area/awarded-11m-in-government-funding-for-low-emissions-lime-project-with-adbri/</t>
  </si>
  <si>
    <t>ADM Cedar rapids bioethanol (IA)</t>
  </si>
  <si>
    <t>ADM</t>
  </si>
  <si>
    <t>Mt Simon Hub CCS Pipeline (IA)</t>
  </si>
  <si>
    <t>https://www.businesswire.com/news/home/20220110006079/en/</t>
  </si>
  <si>
    <t>ADM Clinton bioethanol (IA)</t>
  </si>
  <si>
    <t>ADM Decatur Campus CO2 Storage Site Expansion (IL)</t>
  </si>
  <si>
    <t>ADM Maroa/Forsyth CO2 Storage Site Development (IL)</t>
  </si>
  <si>
    <t>Maroa (IL)</t>
  </si>
  <si>
    <t>https://www.epa.gov/uic/current-class-vi-projects-under-review-epa</t>
  </si>
  <si>
    <t>ADNOC CO2 storage hub (Phase 2 of fertiglobe pilot)</t>
  </si>
  <si>
    <t>United Arab Emirates</t>
  </si>
  <si>
    <t>ADNOC</t>
  </si>
  <si>
    <t>ADNOC CO2 storage hub</t>
  </si>
  <si>
    <t>https://www.adnoc.ae/en/news-and-media/press-releases/2023/adnoc-announces-world-first-fully-sequestered-co2-injection-project</t>
  </si>
  <si>
    <t>Advanced CO2 Capture from Hydrogen Production Unit at Phillips 66 Rodeo Refinery (CA)</t>
  </si>
  <si>
    <t>Phillips 66</t>
  </si>
  <si>
    <t>https://www.netl.doe.gov/node/10875</t>
  </si>
  <si>
    <t>AEB Amsterdam</t>
  </si>
  <si>
    <t>Netherlands</t>
  </si>
  <si>
    <t>https://www.kn.lt/en/news/news/kn-akmenes-cementas-and-orlen-lietuva-to-evaluate-the-applicability-of-liquefied-co2-capture-technology/5686</t>
  </si>
  <si>
    <t>https://www.aebamsterdam.com/technology/</t>
  </si>
  <si>
    <t>Aemetis CCS (CA)</t>
  </si>
  <si>
    <t>Aemetis Carbon Capture (Aemetis)</t>
  </si>
  <si>
    <t>Aemetis CCS</t>
  </si>
  <si>
    <t>https://www.aemetis.com/products/carbon-capture/</t>
  </si>
  <si>
    <t>https://www.aemetis.com/aemetis-awarded-the-first-co2-sequestration-characterization-well-permit-issued-by-the-state-of-california/</t>
  </si>
  <si>
    <t>Aemetis CCS Keyes facility (CA)</t>
  </si>
  <si>
    <t>Aemetis</t>
  </si>
  <si>
    <t>https://www.globenewswire.com/news-release/2021/08/18/2282675/0/en/Aemetis-CCS-Drilling-Study-by-Baker-Hughes-Confirms-Feasibility-of-Sequestering-Two-Million-MT-per-Year-of-CO2-at-California-Ethanol-Plant-Sites.html</t>
  </si>
  <si>
    <t>Aemetis CCS Riverbank facility (CA)</t>
  </si>
  <si>
    <t>Air Liquide hydrogen facility Rotterdam</t>
  </si>
  <si>
    <t>Air Liquide (build, own, operate)</t>
  </si>
  <si>
    <t>Porthos</t>
  </si>
  <si>
    <t>https://netherlandsnewslive.com/the-botlek-oil-industry-wants-2-1-billion-euros-for-co2-storage/62256/</t>
  </si>
  <si>
    <t>https://www.pbl.nl/sites/default/files/downloads/pbl-2022-decarbonisation-of-the-industry-cluster-botlek-pernis-rotterdam-4946.pdf</t>
  </si>
  <si>
    <t>https://www.airliquide.com/group/press-releases-news/2023-12-19/air-liquide-build-world-scale-co2-capture-unit-contribute-rotterdams-industrial-basin</t>
  </si>
  <si>
    <t>https://www.hydrogeninsight.com/production/second-major-blue-hydrogen-project-reaches-final-investment-decision-in-rotterdam/2-1-1574743</t>
  </si>
  <si>
    <t>Air Liquide Shanghai Chemical Industry Park (SCIP) decarbonisation (Shanghai)</t>
  </si>
  <si>
    <t>People's Republic of China</t>
  </si>
  <si>
    <t>SCIPIG (Air Liquide)</t>
  </si>
  <si>
    <t>https://www.airliquide.com/group/press-releases-news/2022-07-19/air-liquide-build-two-new-hydrogen-production-units-carbon-capture-technology-shanghai-chemical</t>
  </si>
  <si>
    <t>https://www.businesswire.com/news/home/20230718825639/en/Air-Liquide-signs-new-green-financing-for-low-carbon-hydrogen-production-in-China-aligned-with-EU-Taxonomy</t>
  </si>
  <si>
    <t>Air Products for Exxonmobil Botlek Rotterdam refinery</t>
  </si>
  <si>
    <t>Exxonmobil, Air Products</t>
  </si>
  <si>
    <t>https://www.airproducts.com/company/news-center/2023/11/1106-air-products-blue-hydrogen-plant-europe-and-exxonmobil-long-term-agreement</t>
  </si>
  <si>
    <t>https://www.hydrogeninsight.com/production/largest-in-europe-air-products-announces-blue-hydrogen-plant-at-rotterdam-linked-to-dutch-offshore-ccs-network/2-1-1549667</t>
  </si>
  <si>
    <t>AirCapture DACU at Nutrien Kennewick Fertilizer (WA)</t>
  </si>
  <si>
    <t>AirCapture, Nutrien</t>
  </si>
  <si>
    <t>https://www.energy.gov/fecm/articles/selections-funding-opportunity-announcement-2560-direct-air-capture-combined</t>
  </si>
  <si>
    <t>AirCapture Nuclear DAC at JM Farley Nuclear (AL)</t>
  </si>
  <si>
    <t>Southern Company, Battelle, AirCapture LLC</t>
  </si>
  <si>
    <t>https://www.power-eng.com/emissions/doe-funds-direct-air-capture-project-at-alabama-nuclear-plant/</t>
  </si>
  <si>
    <t>Airhive Alpha Lab pilot</t>
  </si>
  <si>
    <t>Canada</t>
  </si>
  <si>
    <t>Airhive, Deep Sky</t>
  </si>
  <si>
    <t>https://airhive.earth/news/deep-sky-airhive-collab</t>
  </si>
  <si>
    <t>Aittaluoto power (Pori)</t>
  </si>
  <si>
    <t>Finland</t>
  </si>
  <si>
    <t>RenGas, Pori Energia</t>
  </si>
  <si>
    <t>https://ren-gas.com/en/projekti/pori-2/</t>
  </si>
  <si>
    <t>Aker CC Biomass CHP (unknown facility)</t>
  </si>
  <si>
    <t>Germany</t>
  </si>
  <si>
    <t>Aker CC, unknown company</t>
  </si>
  <si>
    <t>https://akercarboncapture.com/?cision_id=4338F917D2B89C6E</t>
  </si>
  <si>
    <t>Aker CC mineral production (unknown facilities)</t>
  </si>
  <si>
    <t>https://akercarboncapture.com/?cision_id=C8E822C2D97A90E2</t>
  </si>
  <si>
    <t>Aker CC power plant Europe (unknown facilities)</t>
  </si>
  <si>
    <t>Unknown</t>
  </si>
  <si>
    <t>https://akercarboncapture.com/?cision_id=42ED18602F06D910</t>
  </si>
  <si>
    <t>Aker CC refinery (unknown facility)</t>
  </si>
  <si>
    <t>Aker CC Swedish energy company (unknown)</t>
  </si>
  <si>
    <t>Sweden</t>
  </si>
  <si>
    <t>Aker CC waste to energy Northern Europe (unknown facility)</t>
  </si>
  <si>
    <t>https://akercarboncapture.com/?cision_id=3538EFD96277831D</t>
  </si>
  <si>
    <t>Aker CC WtE e-fuels</t>
  </si>
  <si>
    <t>https://akercarboncapture.com/?cision_id=4676790745A256E2</t>
  </si>
  <si>
    <t>Alaska Railbelt CCS Project (AK)</t>
  </si>
  <si>
    <t>University of Alaska Fairbanks</t>
  </si>
  <si>
    <t>Alberta Carbon Grid (ALB) phase 1 (Industrial heartland)</t>
  </si>
  <si>
    <t>Pembina Pipeline Corporation, TC Energy</t>
  </si>
  <si>
    <t>Alberta Carbon Grid (ALB)</t>
  </si>
  <si>
    <t>https://albertacarbongrid.ca/</t>
  </si>
  <si>
    <t>https://albertacarbongrid.ca/news/acg-secures-rights-to-evaluate-one-of-the-largest-carbon-storage-areas-in-alberta/</t>
  </si>
  <si>
    <t>Alberta Carbon Grid (ALB) phase 2</t>
  </si>
  <si>
    <t>Alberta Carbon Trunk Line (ACTL) - Edmonton Connector Phase 2</t>
  </si>
  <si>
    <t>Wolf Midstream</t>
  </si>
  <si>
    <t>Alberta Carbon Trunk Line (ACTL)</t>
  </si>
  <si>
    <t>https://www.newswire.ca/news-releases/wolf-midstream-to-extend-alberta-carbon-trunk-line-into-the-edmonton-region-enabling-large-scale-emissions-reduction-872102700.html</t>
  </si>
  <si>
    <t>https://gaspathways.com/wolf-midstream-to-extend-alberta-co2-pipeline-2209</t>
  </si>
  <si>
    <t>Alberta Carbon Trunk Line (ACTL) (ALB)</t>
  </si>
  <si>
    <t>Wolf Carbon Solutions (Wolf Midstream, Enhance Energy)</t>
  </si>
  <si>
    <t>Alberta Carbon Trunk Line (ACTL)/Enhance Clive Sequestration Facility</t>
  </si>
  <si>
    <t>https://majorprojects.alberta.ca/details/Alberta-Carbon-Trunk-Line/622</t>
  </si>
  <si>
    <t>Altalto</t>
  </si>
  <si>
    <t>Altalto Immingham Limited</t>
  </si>
  <si>
    <t>Northern Endurance Partnership</t>
  </si>
  <si>
    <t>https://www.altalto.com/2023/05/10/altalto-immingham-project-update/</t>
  </si>
  <si>
    <t>Altera Stella Maris CCS Project Phase 2</t>
  </si>
  <si>
    <t>Norway</t>
  </si>
  <si>
    <t xml:space="preserve">Altera, Hoegh LNG, Sevan SSP (FEED), Wintershall Dea </t>
  </si>
  <si>
    <t xml:space="preserve">Altera Stella Maris CCS/ Havstjerne </t>
  </si>
  <si>
    <t>https://alterainfra.com/what-we-do/ccs</t>
  </si>
  <si>
    <t>https://alterainfra.com/articles/one-step-closer-to-realising-stella-maris-ccs</t>
  </si>
  <si>
    <t>https://www.regjeringen.no/en/aktuelt/award-of-two-new-licences-for-co2-storage-on-the-norwegian-continental-shelf/id2970248/</t>
  </si>
  <si>
    <t>Aluminium Bahrain MHI capture</t>
  </si>
  <si>
    <t>Bahrain</t>
  </si>
  <si>
    <t>Aluminium Bahrain (Alba), Mitsubishi HI (Feasibility/tech)</t>
  </si>
  <si>
    <t>https://www.reuters.com/business/sustainable-business/aluminium-bahrain-mitsubishi-heavy-industries-sign-mou-carbon-capture-2022-01-19/</t>
  </si>
  <si>
    <t>Aluminium Dunkerque feasibility study</t>
  </si>
  <si>
    <t>EDF, Aluminium Dunkerque, Trimet, Rio Tinto and Fives</t>
  </si>
  <si>
    <t>https://papers.ssrn.com/sol3/papers.cfm?abstract_id=4271839</t>
  </si>
  <si>
    <t>https://www.usinenouvelle.com/article/nous-lancons-un-projet-de-capture-de-co2-pour-l-aluminium-primaire-annonce-guillaume-de-goys-president-d-aluminium-france.N1049874</t>
  </si>
  <si>
    <t>Amager Bakke/Amager Resource Centre (ARC)</t>
  </si>
  <si>
    <t>Denmark</t>
  </si>
  <si>
    <t>ARC, Babcock &amp; Wilcox, Copenhagen Port</t>
  </si>
  <si>
    <t>https://www.maritime-executive.com/article/copenhagen-port-participates-in-carbon-capture-and-storage-project</t>
  </si>
  <si>
    <t>https://www.energy-supply.dk/procurement/view/138997/market_dialogue_project_climaid_copenhagen_delivery_and_commissioning_of_a_carbon_capture_unit_at_arc_premises</t>
  </si>
  <si>
    <t>https://a-r-c.dk/klima-og-miljo/co2-fangst/</t>
  </si>
  <si>
    <t>https://a-r-c.dk/about-arc/carbon-capture/</t>
  </si>
  <si>
    <t>ANRAV-CCUS (Devnya plant)</t>
  </si>
  <si>
    <t>Bulgaria</t>
  </si>
  <si>
    <t>Heidelberg Materials, Petroceltic</t>
  </si>
  <si>
    <t>https://www.heidelbergmaterials.com/en/pr-12-07-2022</t>
  </si>
  <si>
    <t>https://www.heidelbergmaterials.com/en/pr-2023-01-20</t>
  </si>
  <si>
    <t>Antwerp@C CO2 Export Hub phase 1</t>
  </si>
  <si>
    <t>Belgium</t>
  </si>
  <si>
    <t>Air Liquide, BASF, Borealis, ExxonMobil, INEOS, TotalEnergies, Fluxys and the Port of Antwerp</t>
  </si>
  <si>
    <t>Antwerp@C</t>
  </si>
  <si>
    <t>https://newsroom.portofantwerpbruges.com/the-antwerpc-project-takes-a-major-next-step-towards-halving-co2-footprint#</t>
  </si>
  <si>
    <t>https://www.airliquide.com/group/press-releases-news/2022-12-12/air-liquide-fluxys-belgium-and-port-antwerp-bruges-awarded-eu-funding-building-antwerpc-co2-export</t>
  </si>
  <si>
    <t>https://energy.ec.europa.eu/news/connecting-europe-facility-over-eu-600-million-energy-infrastructure-support-european-green-deal-and-2022-12-08_en</t>
  </si>
  <si>
    <t>https://cinea.ec.europa.eu/news-events/news/cef-energy-antwerpc-co2-export-hub-receives-1446-million-eu-funding-co2-capture-infrastructure-2023-06-26_en</t>
  </si>
  <si>
    <t>Antwerp@C CO2 Export Hub phase 2</t>
  </si>
  <si>
    <t>Appalachian basin storage MoU (OH, PA, WV)</t>
  </si>
  <si>
    <t>Battelle, Equinor</t>
  </si>
  <si>
    <t>CO2NNECTION Central Appalachian Basin hub/Appalachian basin storage MoU (OH, PA, WV)</t>
  </si>
  <si>
    <t>https://www.equinor.com/news/us/explores-appalachian-basin-carbon-capture-storage-potential</t>
  </si>
  <si>
    <t>https://h2-tech.com/news/2023/09-2023/fidelis-new-energy-selects-battelle-carbon-services-to-support-the-mountaineer-gigasystem-hydrogen-project/</t>
  </si>
  <si>
    <t>Aramis CCS storage phase 1</t>
  </si>
  <si>
    <t xml:space="preserve">TotalEnergies, Shell, EBN, Gasunie, </t>
  </si>
  <si>
    <t>Aramis CCS</t>
  </si>
  <si>
    <t>https://www.frontiersin.org/articles/10.3389/fenrg.2021.644796/full</t>
  </si>
  <si>
    <t>https://www.aramis-ccs.com/faq</t>
  </si>
  <si>
    <t>https://ec.europa.eu/eusurvey/runner/Consultation_PCIcandidates_CO2networks</t>
  </si>
  <si>
    <t>https://www.staten-generaal.nl/9370000/1/j4nvgs5kjg27kof_j9vvkfvj6b325az/vlutrvd2g2y4</t>
  </si>
  <si>
    <t>https://energy.ec.europa.eu/news/connecting-europe-facility-nearly-eu600-million-energy-infrastructure-contributing-decarbonisation-2023-12-08_en</t>
  </si>
  <si>
    <t>Aramis CCS storage phase 2</t>
  </si>
  <si>
    <t>TotalEnergies, Shell, EBN, Gasunie</t>
  </si>
  <si>
    <t>Aramis CCS transport phase 1</t>
  </si>
  <si>
    <t>Arcelor LanzaTech Carbalyst (Steelanol) Ghent</t>
  </si>
  <si>
    <t>ArcelorMittal, LanzaTech, Primetals Technologies, E4tech</t>
  </si>
  <si>
    <t>http://www.steelanol.eu/en</t>
  </si>
  <si>
    <t>https://corporate.arcelormittal.com/climate-action/decarbonisation-technologies/carbalyst-capturing-and-re-using-our-carbon-rich-waste-gases-to-make-valuable-chemical-products</t>
  </si>
  <si>
    <t>https://www.eib.org/en/projects/pipelines/all/20170622</t>
  </si>
  <si>
    <t>https://www.globenewswire.com/news-release/2022/12/08/2569976/0/en/ArcelorMittal-S-A-ArcelorMittal-inaugurates-flagship-carbon-capture-and-utilisation-project-at-its-steel-plant-in-Ghent-Belgium.html</t>
  </si>
  <si>
    <t>Arcelor Mittal Air Liquide Low-carbon steel (phase 2?)</t>
  </si>
  <si>
    <t>Arcelor Mittal, Air Liquide</t>
  </si>
  <si>
    <t>https://corporate.arcelormittal.com/media/press-releases/arcelormittal-accelerates-its-decarbonisation-with-a-1-7-billion-investment-programme-in-france-supported-by-the-french-government</t>
  </si>
  <si>
    <t>ARGO waste-to-energy plant</t>
  </si>
  <si>
    <t>ARGO</t>
  </si>
  <si>
    <t>https://www.c4cph.dk/</t>
  </si>
  <si>
    <t>Aries (LA)</t>
  </si>
  <si>
    <t>ExxonMobil (formerly Denbury carbon solutions)</t>
  </si>
  <si>
    <t>https://www.denbury.com/operations/carbon-solutions/carbon-sequestration/</t>
  </si>
  <si>
    <t>https://s201.q4cdn.com/317576541/files/doc_presentation/2023/02/DEN-March-Presentation-vFINAL.pdf</t>
  </si>
  <si>
    <t>Arkalon CO2 Compression Facility (KS)</t>
  </si>
  <si>
    <t>Conestoga Energy</t>
  </si>
  <si>
    <t>https://www.energy.gov/sites/prod/files/2017/12/f46/jordan_bioeconomy_2017.pdf</t>
  </si>
  <si>
    <t>https://www.netl.doe.gov/sites/default/files/2018-11/Farnsworth-Unit-Project.pdf</t>
  </si>
  <si>
    <t>Arthit offshore gas field CCS</t>
  </si>
  <si>
    <t>Thailand</t>
  </si>
  <si>
    <t>PTTEP, Honeywell (tech and FEED)</t>
  </si>
  <si>
    <t>https://www.pttep.com/en/Newsandnmedia/Mediacorner/Pressreleases/Pttep-Initiates-Thailand-First-Ccs-Project-Pushing-Towards-Net-Zero-Green-House-Gas-Emissions.aspx</t>
  </si>
  <si>
    <t>https://en.prnasia.com/releases/apac/honeywell-provides-carbon-capture-technology-for-pttep-391078.shtml</t>
  </si>
  <si>
    <t>https://www.pttep.com/en/Sustainability/Carbon-Capture-And-Storage.aspx?mode=print</t>
  </si>
  <si>
    <t>Arun CCS</t>
  </si>
  <si>
    <t>Carbon Aceh, PEMA (JV)</t>
  </si>
  <si>
    <t>https://www.upstreamonline.com/energy-transition/reinvigorating-indonesian-giant-as-ccs-project/2-1-1190849</t>
  </si>
  <si>
    <t>https://www.carbonaceh.com/press-release-1</t>
  </si>
  <si>
    <t>https://acnf.jp/program/file/presentation/7_Panelist_MEMR-IDN.pdf</t>
  </si>
  <si>
    <t>Ascension Clean Energy (ACE) complex (LA)</t>
  </si>
  <si>
    <t>Clean Hydrogen Works (Joint venture between Denbury Carbon Solutions (ExxonMobil) (T&amp;S), Hafnia (ammonia export), MOL (shipping))</t>
  </si>
  <si>
    <t>Denbury Green pipeline /Gemini (LA)</t>
  </si>
  <si>
    <t>https://www.cleanhydrogenworks.com/_files/ugd/9b794f_71f2bbea67dc4ebb8ab789194a19132a.pdf</t>
  </si>
  <si>
    <t>Ash Grove Cement Foreman Plant (AR)</t>
  </si>
  <si>
    <t>Southern States Energy Board, DOE Office of Clean Energy Demonstrations</t>
  </si>
  <si>
    <t>https://www.energy.gov/oced/carbon-capture-demonstration-projects-program-front-end-engineering-design-feed-studies</t>
  </si>
  <si>
    <t>Asnæs Power Station</t>
  </si>
  <si>
    <t>Orsted, Aker CC (tech), NCC (construction)</t>
  </si>
  <si>
    <t>Northern Lights</t>
  </si>
  <si>
    <t>https://orsted.com/en/media/newsroom/news/2023/05/20230515676011</t>
  </si>
  <si>
    <t>https://www.bioenergy-news.com/news/orsted-bids-danish-biomass-fired-cogeneration-plants-into-carbon-capture-tender/</t>
  </si>
  <si>
    <t>https://orsted.com/en/media/newsroom/news/2023/12/oersted-begins-construction-of-denmarks-first-carb-13757543</t>
  </si>
  <si>
    <t>https://news.cision.com/ncc/r/ncc-contracted-by-orsted-to-construct-carbon-capture-plant-in-denmark,c3906317</t>
  </si>
  <si>
    <t>Athabasca Banks Carbon Hub (ALB)</t>
  </si>
  <si>
    <t xml:space="preserve"> Vault 44.01 Ltd. and Moraine Initiatives Ltd.</t>
  </si>
  <si>
    <t>Athabasca Leismer project (ALB)</t>
  </si>
  <si>
    <t>Entropy Inc, Athabasca Oil Corporation</t>
  </si>
  <si>
    <t>https://www.eralberta.ca/projects/details/entropy-carbon-capture-and-sequestration-of-in-situ-oil-production-process-at-athabascas-leismer-facility/</t>
  </si>
  <si>
    <t>https://financialpost.com/commodities/energy/oil-gas/athabasca-oil-carbon-capture-project-oilsands</t>
  </si>
  <si>
    <t>Atlantic Coast CO2 Emissions Storage Sink (ACCESS) (FL)</t>
  </si>
  <si>
    <t>Southern States Energy Board</t>
  </si>
  <si>
    <t>Project ACCESS (FL)</t>
  </si>
  <si>
    <t>https://omniamidstream.com/project/permian-regional-carbon-sequestration-prcs-hub</t>
  </si>
  <si>
    <t>Atlas Carbon Sequestration Hub Phase 1 (Shell's Polaris Carbon Capture project Shell hub) (ALB)</t>
  </si>
  <si>
    <t>Shell Canada Limited</t>
  </si>
  <si>
    <t>Atlas Carbon Sequestration Hub (ALB)</t>
  </si>
  <si>
    <t>https://www.linkedin.com/pulse/alberta-selects-shell-suncor-atco-atlas-carbon-hub-proposal-/</t>
  </si>
  <si>
    <t>https://www.beaver.ab.ca/public/download/files/231170</t>
  </si>
  <si>
    <t>https://www.keyera.com/investors/news/keyera-and-shell-sign-agreement-to-advance-clean-energy/</t>
  </si>
  <si>
    <t>Atlas Carbon Sequestration Hub Phase 2 (ALB)</t>
  </si>
  <si>
    <t>Shell Canada Limited, ATCO Energy Solutions, Suncor Energy</t>
  </si>
  <si>
    <t>https://www.upstreamonline.com/energy-transition/shell-unveils-plans-for-giant-canadian-carbon-capture-and-storage-project/2-1-1039795</t>
  </si>
  <si>
    <t>https://www.shell.ca/en_ca/about-us/projects-and-sites/scotford.html</t>
  </si>
  <si>
    <t>https://www.shell.ca/en_ca/media/news-and-media-releases/news-releases-2021/shell-proposes-large-scale-ccs-facility-in-alberta.html</t>
  </si>
  <si>
    <t>https://www.energyvoice.com/renewables-energy-transition/ccs/americas-ccs/336709/shell-polaris-ccs-alberta/</t>
  </si>
  <si>
    <t>https://www.linkedin.com/pulse/alberta-selects-shell-suncor-atco-atlas-carbon-hub-proposal-/?trk=organization-update-content_share-article</t>
  </si>
  <si>
    <t xml:space="preserve">Augusta C2 </t>
  </si>
  <si>
    <t>Italy-Greece</t>
  </si>
  <si>
    <t>Buzzi Unicem Spa</t>
  </si>
  <si>
    <t>Augusta-C2/Prinos CO2 storage</t>
  </si>
  <si>
    <t>https://zeroemissionsplatform.eu/wp-content/uploads/Detailed_information_regarding_the_candidate_projects_CO2_networks_Dec_2022_v2.pdf</t>
  </si>
  <si>
    <t>Aukra Hydrogen Hub</t>
  </si>
  <si>
    <t>Aker Horizons, Shell, CapeOmega</t>
  </si>
  <si>
    <t>https://news.cision.com/aker-clean-hydrogen/r/aker-clean-hydrogen-to-explore-hydrogen-production-facility-opportunities-in-aukra-in-norway,c3382436</t>
  </si>
  <si>
    <t>https://akerhorizons.com/what-we-do/aukra/</t>
  </si>
  <si>
    <t>Avedøre Power Station CCS</t>
  </si>
  <si>
    <t>Orsted, Aker CC (tech)</t>
  </si>
  <si>
    <t>https://orsted.com/en/media/newsroom/news/2021/06/857452362384936</t>
  </si>
  <si>
    <t>https://orsted.com/en/media/newsroom/news/2022/06/20220613532911</t>
  </si>
  <si>
    <t>https://akercarboncapture.com/?cision_id=E626D6BD3CFDB96F</t>
  </si>
  <si>
    <t>Avedøre Power Station CCU (Green Fuels for Denmark)</t>
  </si>
  <si>
    <t>Orsted</t>
  </si>
  <si>
    <t>https://orsted.com/en/media/newsroom/news/2022/12/13666863</t>
  </si>
  <si>
    <t>Babcock &amp; Wilcox’s (LA)</t>
  </si>
  <si>
    <t>Babcock &amp; Wilcox’s, CGI Gases (CO2 offtaker, transport), General Hydrogen (H2 offtaker)</t>
  </si>
  <si>
    <t>https://www.power-eng.com/hydrogen/hydrogen-co2-to-be-produced-at-babcock-wilcox-biomass-fueled-plant/#gref</t>
  </si>
  <si>
    <t>Bacton Thames Net Zero</t>
  </si>
  <si>
    <t>Eni</t>
  </si>
  <si>
    <t>Bacton Thames Net Zero initiative</t>
  </si>
  <si>
    <t>https://www.eni.com/en-IT/media/press-release/2022/09/eni-uk-applies-for-carbon-storage-license-for-hewett-depleted-field.html</t>
  </si>
  <si>
    <t>https://www.eni.com/static/bactonthamesnetzero/</t>
  </si>
  <si>
    <t>https://www.corygroup.co.uk/media/news-insights/cory-supports-launch-bacton-thames-net-zero-cooperation-agreement/</t>
  </si>
  <si>
    <t>https://enfinium.co.uk/enfinium-joins-the-bacton-thames-net-zero-cooperation-agreement/</t>
  </si>
  <si>
    <t>Balikpapan Refinery</t>
  </si>
  <si>
    <t>Pertamina, Air Liquide</t>
  </si>
  <si>
    <t>Mixed</t>
  </si>
  <si>
    <t>Kutai Basin CCUS hub</t>
  </si>
  <si>
    <t>https://www.pertamina.com/en/news-room/news-release/pertamina-air-liquide-agree-to-collaborate-in-developing-ccu-technology-at-the-balikpapan-refinery</t>
  </si>
  <si>
    <t>Banggai ammonia plant Central Sulawesi</t>
  </si>
  <si>
    <t>JOGMEC, Mitsubishi, PT Panca Amara Utama, ITB, Pertamina</t>
  </si>
  <si>
    <t>https://www.mitsubishicorp.com/jp/en/pr/archive/2021/html/0000046720.html</t>
  </si>
  <si>
    <t>Baotou Steel (Inner Mongolia) phase 1</t>
  </si>
  <si>
    <t>Baotou Steel Group</t>
  </si>
  <si>
    <t>https://group.pingan.com/media/news/2023/pingan-bank-grants-first-loan-to-pioneering-CCUS-project.html</t>
  </si>
  <si>
    <t>https://www.scmp.com/business/article/3225578/climate-finance-chinas-ping-bank-lends-us25-million-inner-mongolia-steel-maker-capture-carbon</t>
  </si>
  <si>
    <t>Baotou Steel (Inner Mongolia) phase 2</t>
  </si>
  <si>
    <t>Bapco MOL CCUS value chain</t>
  </si>
  <si>
    <t>Bapco energies (storage), MOL (transport)</t>
  </si>
  <si>
    <t>https://www.mol.co.jp/en/pr/2023/23147.html</t>
  </si>
  <si>
    <t>Barents Blue ammonia project Train 1</t>
  </si>
  <si>
    <t>Horisont Energi (50%), Fertiberia (50%)</t>
  </si>
  <si>
    <t>Polaris offshore storage facility (Errai project)</t>
  </si>
  <si>
    <t>https://www.ammoniaenergy.org/articles/barents-blue-ammonia-plant-gains-new-partners-set-to-triple-in-size/</t>
  </si>
  <si>
    <t>https://www.horisontenergi.no/esa-approves-state-aid-for-barents-blue-project/</t>
  </si>
  <si>
    <t>Barents Blue ammonia project Train 2</t>
  </si>
  <si>
    <t>Barents Blue ammonia project Train 3</t>
  </si>
  <si>
    <t>Barossa and Darwin liquefied natural gas (DLNG) CCUS</t>
  </si>
  <si>
    <t>Santos (43.4%), SK E&amp;S, JERA</t>
  </si>
  <si>
    <t>Bayu-Undan field storage hub</t>
  </si>
  <si>
    <t>https://www.upstreamonline.com/energy-transition/santos-betting-big-on-carbon-capture-in-bid-to-drive-down-emissions/2-1-1053585</t>
  </si>
  <si>
    <t>https://www.oedigital.com/news/491510-santos-could-store-co2-from-barossa-field-in-depleted-bayu-undan-reservoir</t>
  </si>
  <si>
    <t>https://www.santos.com/news/globally-significant-carbon-capture-and-storage-project-a-step-closer/</t>
  </si>
  <si>
    <t>https://www.energyvoice.com/renewables-energy-transition/393749/santos-enters-feed-for-giant-ccs-project-at-bayu-undan-offshore-east-timor/</t>
  </si>
  <si>
    <t>https://www.spglobal.com/commodityinsights/en/ci/research-analysis/santos-darwin-pipeline-duplication-dpd-project-confirmed-au.html</t>
  </si>
  <si>
    <t>https://www.prnewswire.com/apac/news-releases/honeywell-to-collaborate-with-sk-es-to-deploy-carbon-capture-technology-across-korea-and-southeast-asia-301941319.html</t>
  </si>
  <si>
    <t>Battle River Carbon Hub (ALB)</t>
  </si>
  <si>
    <t>Heartland Generation Ltd., Carbon Alpha</t>
  </si>
  <si>
    <t>https://www.alberta.ca/carbon-capture-utilization-and-storage-hub-development-process.aspx</t>
  </si>
  <si>
    <t>https://www.linkedin.com/posts/carbon-alpha_heartland-generation-battle-river-carbon-activity-6973270756914851840-aiw8/?trk=public_profile_like_view&amp;originalSubdomain=ca</t>
  </si>
  <si>
    <t>https://www.heartlandgeneration.com/post/heartland-generation-selected-by-government-of-alberta-to-evaluate-a-carbon-sequestration-hub-in-alberta</t>
  </si>
  <si>
    <t>Bayou Bend CCS offshore (TX)</t>
  </si>
  <si>
    <t>Chevron (50%), Talos Energy (25% and operator), Equinor (25%)</t>
  </si>
  <si>
    <t>https://www.talosenergy.com/operations/carbon-capture-and-sequestration/default.aspx</t>
  </si>
  <si>
    <t>https://www.offshore-mag.com/energy-transition/article/14298218/equinor-joins-chevron-talos-on-bayou-bend-ccs-project</t>
  </si>
  <si>
    <t>Bayu-Undan field storage hub Timor-Leste phase 1</t>
  </si>
  <si>
    <t>Santos (43.4%) , SK E&amp;S (25%), INPEX (11.4%), ENI (11%), JERA (6.1%), Tokyo Gas (3.1%)</t>
  </si>
  <si>
    <t>https://www.santos.com/wp-content/uploads/2022/03/Santos-2022-Climate-Change-Report_web.pdf</t>
  </si>
  <si>
    <t>https://www.santos.com/news/mous-executed-for-potential-co2-supply-to-underpin-santos-bayu-undan-ccs-project/</t>
  </si>
  <si>
    <t>https://www.santos.com/news/bayu-undan-joint-venture-and-timor-gap-sign-mou-to-cooperate-on-carbon-capture-and-storage/</t>
  </si>
  <si>
    <t>Bayu-Undan field storage hub Timor-Leste phase 2</t>
  </si>
  <si>
    <t>Bell Bay Powerfuels project (TAS)</t>
  </si>
  <si>
    <t>ABEL Energy, Iberdrola Australia, Johnson Matthey (methanol synthesis), Sungas Renewables (biomass gasifier)</t>
  </si>
  <si>
    <t>https://research.csiro.au/hyresource/abel-energy-bell-bay-powerfuels-project/</t>
  </si>
  <si>
    <t>Beremend cement factory</t>
  </si>
  <si>
    <t>Hungary</t>
  </si>
  <si>
    <t>DDC</t>
  </si>
  <si>
    <t>https://total-croatia-news.com/news/business/croatian-nexe/</t>
  </si>
  <si>
    <t>Berrima cement plant (NSW)</t>
  </si>
  <si>
    <t>Boral, Calix</t>
  </si>
  <si>
    <t>https://calix.global/co2-mitigation-focus-area/calix-and-boral-to-develop-carbon-abatement-project/</t>
  </si>
  <si>
    <t>https://www.leilac.com/project-boral/</t>
  </si>
  <si>
    <t>Big spring refinery (TX) pilot</t>
  </si>
  <si>
    <t>Delek, Svante</t>
  </si>
  <si>
    <t>https://www.energy.gov/oced/articles/oced-selects-four-projects-ky-ms-tx-and-wy-advance-technologies-reduce-harmful-carbon</t>
  </si>
  <si>
    <t>https://www.svanteinc.com/news/svante-to-deploy-first-of-a-kind-commercial-scale-carbon-capture-plant-at-delek-uss-texas-refinery-with-doe-support/?trk=feed_main-feed-card_feed-article-content</t>
  </si>
  <si>
    <t>BIGST gas fiels Cluster Heads of Agreement</t>
  </si>
  <si>
    <t>Malaysia</t>
  </si>
  <si>
    <t>Petronas, JX Nippon</t>
  </si>
  <si>
    <t>https://www.petronas.com/media/media-releases/petronas-carigali-jx-nippon-enter-heads-agreement-bigst-cluster-offshore</t>
  </si>
  <si>
    <t xml:space="preserve">BIOFOS Carbon Capture Project </t>
  </si>
  <si>
    <t>BIOFOS</t>
  </si>
  <si>
    <t>BIR Waste-to-Energy Bergen</t>
  </si>
  <si>
    <t>BIR, Aker CC</t>
  </si>
  <si>
    <t>https://akercarboncapture.com/?cision_id=92D8BAC2851B0A03</t>
  </si>
  <si>
    <t>Blue Bison ATR advanced CCUS system (WY)</t>
  </si>
  <si>
    <t>Tallgrass MLP Operations, LLC (FEED)</t>
  </si>
  <si>
    <t>BlueBonnet Sequestration Hub (Chambers, Liberty, and Jefferson County) (TX)</t>
  </si>
  <si>
    <t>1PointFive, Oxy low carbon ventures (Occidental)</t>
  </si>
  <si>
    <t>BlueBonnet sequestration hub</t>
  </si>
  <si>
    <t>https://www.oxy.com/news/news-releases/oxy-low-carbon-ventures-and-natural-resource-partners-l.p.-enter-into-co2-sequestration-agreement/</t>
  </si>
  <si>
    <t>https://www.1pointfive.com/1pointfive-announces-plan-to-develop-carbon-capture-and-sequestration-hub-in-southeast-texas</t>
  </si>
  <si>
    <t>Bonanza BioEnergy CCUS (KS)</t>
  </si>
  <si>
    <t>Conestoga Energy, Gary Climate Solutions Gary Climate Solutions</t>
  </si>
  <si>
    <t>https://www.geos.ed.ac.uk/sccs/project-info/2042</t>
  </si>
  <si>
    <t>http://epubs.democratprinting.com/publication/?m=5729&amp;i=39669&amp;p=30&amp;ver=html5</t>
  </si>
  <si>
    <t>Bonaparte CCS Assessment G7-AP</t>
  </si>
  <si>
    <t>Inpex (53%), TotalEnergies (26%), Woodside (21%, operator)</t>
  </si>
  <si>
    <t>https://totalenergies.com/media/news/press-releases/totalenergies-inpex-and-woodside-join-forces-develop-major-offshore-CO2-sequestration-project</t>
  </si>
  <si>
    <t>https://www.offshore-energy.biz/jogmec-to-support-inpexs-assessment-of-australian-ccs-potential/</t>
  </si>
  <si>
    <t>https://public.neats.nopta.gov.au/</t>
  </si>
  <si>
    <t>https://www.santos.com/news/santos-and-sk-es-to-collaborate-on-cross-border-carbon-capture-and-storage/</t>
  </si>
  <si>
    <t>Borealis Antwerp CCS</t>
  </si>
  <si>
    <t>Borealis</t>
  </si>
  <si>
    <t>Boreong blue hydrogen</t>
  </si>
  <si>
    <t>South Korea</t>
  </si>
  <si>
    <t>SK E&amp;S, Air Liquide Engineering and Construction (H2 production and liquefaction), GE Vernova, Korea Midland Power, Santos, etc.</t>
  </si>
  <si>
    <t>https://www.argusmedia.com/en/news/2249753-south-koreas-sk-es-plans-hydrogen-lng-expansion</t>
  </si>
  <si>
    <t>https://www.skens.com/en/sk/press/view.do?seq=3306&amp;head=&amp;keyword=&amp;type=</t>
  </si>
  <si>
    <t>http://www.businesskorea.co.kr/news/articleView.html?idxno=106374</t>
  </si>
  <si>
    <t>Borregaard / SAE (Borg CO2) (2 facilities)</t>
  </si>
  <si>
    <t>Borg Havn, Borregaard</t>
  </si>
  <si>
    <t>https://www.borgco2.no/reports</t>
  </si>
  <si>
    <t>https://www.geos.ed.ac.uk/sccs/project-info/2222</t>
  </si>
  <si>
    <t>https://norsus.no/wp-content/uploads/LCA-of-CCS-and-CCU_OR-28.21_final-report-1-1.pdf</t>
  </si>
  <si>
    <t>https://static1.squarespace.com/static/5cdba5274d546e0576dc53c7/t/633d7d156e8e6e430cfc71c5/1664974127440/220227_sluttrapp_CLIMIT_UMS_endelig.pdf</t>
  </si>
  <si>
    <t>Boundary Dam CCS (SASK)</t>
  </si>
  <si>
    <t>Saskpower</t>
  </si>
  <si>
    <t>http://sequestration.mit.edu/tools/projects/boundary_dam.html</t>
  </si>
  <si>
    <t>https://sequestration.mit.edu/tools/projects/boundary_dam.html</t>
  </si>
  <si>
    <t>https://www.saskpower.com/about-us/our-company/blog/2023/bd3-status-update-q4-2022</t>
  </si>
  <si>
    <t>Bow River Hub (ALB)</t>
  </si>
  <si>
    <t xml:space="preserve"> Inter Pipeline Ltd. and Entropy Inc. </t>
  </si>
  <si>
    <t>https://www.newswire.ca/news-releases/entropy-inc-provides-operational-and-corporate-update-821286982.html</t>
  </si>
  <si>
    <t>https://www.linkedin.com/posts/entropyinc_carboncapture-alberta-co2hubs-activity-6983488956248047616-kWhw/</t>
  </si>
  <si>
    <t>BP H2Teesside Phase 1</t>
  </si>
  <si>
    <t>BP, ADNOC</t>
  </si>
  <si>
    <t>https://www.bp.com/en/global/corporate/news-and-insights/press-releases/bp-plans-uks-largest-hydrogen-project.html</t>
  </si>
  <si>
    <t>https://www.aa.com.tr/en/economy/adnoc-bp-masdar-ink-deal-for-clean-hydrogen-development/2596124</t>
  </si>
  <si>
    <t>https://www.gov.uk/government/publications/cluster-sequencing-phase-2-eligible-projects-power-ccus-hydrogen-and-icc/cluster-sequencing-phase-2-track-1-project-negotiation-list-march-2023</t>
  </si>
  <si>
    <t>https://hydrogen-central.com/bp-selects-johnson-matthey-for-first-low-carbon-blue-hydrogen-project/</t>
  </si>
  <si>
    <t>BP H2Teesside Phase 2</t>
  </si>
  <si>
    <t>Brazeau Carbon Sequestration Hub (ALB)</t>
  </si>
  <si>
    <t xml:space="preserve"> Tidewater Midstream &amp; Infrastructure Ltd.</t>
  </si>
  <si>
    <t>Bridgeport Energy Moonie CCUS Project</t>
  </si>
  <si>
    <t>Bridgeport Energy Limited</t>
  </si>
  <si>
    <t>Broadwing Clean Energy Complex (IL)</t>
  </si>
  <si>
    <t>Warwick, ADM</t>
  </si>
  <si>
    <t>https://www.prnewswire.com/news-releases/8-rivers-capital-adm-announce-intention-to-make-illinois-home-to-game-changing-zero-emissions-project-301269296.html</t>
  </si>
  <si>
    <t>https://broadwing.energy/</t>
  </si>
  <si>
    <t>Broceni cement plant</t>
  </si>
  <si>
    <t>Latvia</t>
  </si>
  <si>
    <t>Schwenk's Building Material Group, Capsol (feasibility)</t>
  </si>
  <si>
    <t>CCS Baltic Consortium, Klapeida terminal</t>
  </si>
  <si>
    <t>https://www.globalcement.com/news/itemlist/tag/Schwenk%20Latvija</t>
  </si>
  <si>
    <t>Burns Harbour (IN)</t>
  </si>
  <si>
    <t>Dastur International Inc., ON Clean Energy, Inc., University of Texas,Cleveland-Cliffs Inc.</t>
  </si>
  <si>
    <t>https://www.energy.gov/fecm/articles/foa-2187-and-foa-2188-project-selections</t>
  </si>
  <si>
    <t>https://www.businesswire.com/news/home/20221207005491/en/</t>
  </si>
  <si>
    <t>Bushmills Ethanol Atwater (MN)</t>
  </si>
  <si>
    <t>Bushmills Ethanol, Summit Carbon Solutions</t>
  </si>
  <si>
    <t>Midwest carbon express</t>
  </si>
  <si>
    <t>https://summitcarbonsolutions.com/summit-carbon-solutions-partners-with-bushmills-ethanol%ef%bf%bc/</t>
  </si>
  <si>
    <t>Buxton Lime Net Zero</t>
  </si>
  <si>
    <t>Tarmac, SigmaRoc</t>
  </si>
  <si>
    <t>Liverpool Bay CO2 storage (Hynet)</t>
  </si>
  <si>
    <t>https://www.gov.uk/government/publications/cluster-sequencing-phase-2-eligible-projects-power-ccus-hydrogen-and-icc/cluster-sequencing-phase-2-shortlisted-projects-power-ccus-hydrogen-and-icc-august-2022</t>
  </si>
  <si>
    <t>Buzzi Unicem Augusta cement plant</t>
  </si>
  <si>
    <t>Italy</t>
  </si>
  <si>
    <t>C Zero phase 1</t>
  </si>
  <si>
    <t>Air Liquide, Lhoist, Duisport</t>
  </si>
  <si>
    <t>C Zero/Nautilus</t>
  </si>
  <si>
    <t>C Zero phase 2</t>
  </si>
  <si>
    <t>C Zero phase 3</t>
  </si>
  <si>
    <t xml:space="preserve">CalCapture (Elk Hills) (CA) </t>
  </si>
  <si>
    <t>Next carbon solutions (NextDecade), California Resource Corporation (Carbon TerraVault)</t>
  </si>
  <si>
    <t>Carbon TerraVault 1</t>
  </si>
  <si>
    <t>https://www.spglobal.com/commodityinsights/en/market-insights/latest-news/natural-gas/022820-californias-elk-hills-carbon-capture-plant-gets-backing-from-oil-and-gas-industry-fund</t>
  </si>
  <si>
    <t>https://poweringcalifornia.com/newsletter/crc-designing-californias-first-carbon-capture-and-sequestration-project/</t>
  </si>
  <si>
    <t>https://www.nsenergybusiness.com/news/fluor-crcs-cal-capture-project/</t>
  </si>
  <si>
    <t>CalCC Lhoist Air Liquide Lime plant Rety</t>
  </si>
  <si>
    <t>Air Liquide, Lhoist</t>
  </si>
  <si>
    <t>D'Artagnan</t>
  </si>
  <si>
    <t>https://www.airliquide.com/group/press-releases-news/2022-05-09/air-liquide-and-lhoist-join-forces-launch-first-its-kind-decarbonization-project-lime-production</t>
  </si>
  <si>
    <t>https://climate.ec.europa.eu/system/files/2022-07/LSC2_List_of_pre-selected_projects_6.pdf</t>
  </si>
  <si>
    <t>Caledonia Clean Energy (previously Captain Clean Energy)</t>
  </si>
  <si>
    <t>Summit Power</t>
  </si>
  <si>
    <t>https://ukccsrc.ac.uk/sites/default/files/documents/event/Stephen-kerr-calendonia.pdf</t>
  </si>
  <si>
    <t>Callisto Mediterranean CO2 Network phase 1</t>
  </si>
  <si>
    <t>France-Italy</t>
  </si>
  <si>
    <t>Air Liquide, Eni and Snam</t>
  </si>
  <si>
    <t>Ravenna CCS</t>
  </si>
  <si>
    <t>Callisto Mediterranean CO2 Network phase 2</t>
  </si>
  <si>
    <t>Calpine Baytown Energy Center (TX)</t>
  </si>
  <si>
    <t>Calpine, Technip Energies, Shell, Zachry Group</t>
  </si>
  <si>
    <t>https://www.technipenergies.com/en/media/press-releases/technip-energies-shell-catalysts-technologies-and-zachry-group-selected-calpines-carbon-capture</t>
  </si>
  <si>
    <t>Calpine Deer Park Energy Center (TX)</t>
  </si>
  <si>
    <t>Calpine Texas CCUS Holdings</t>
  </si>
  <si>
    <t>https://www.shell.com/business-customers/catalysts-technologies/resources-library/trade-release-shell-catalysts-and-technologies-and-calpine-deer-park-energy-center.html</t>
  </si>
  <si>
    <t>https://netl.doe.gov/node/11224</t>
  </si>
  <si>
    <t>Calpine Delta Energy Center (CA)</t>
  </si>
  <si>
    <t>ION Clean Energy, Inc., Calpine</t>
  </si>
  <si>
    <t>https://www.energy.gov/fecm/articles/funding-opportunity-announcement-2515-carbon-capture-rd-natural-gas-and-industrial</t>
  </si>
  <si>
    <t>https://calpinecarboncapture.com/</t>
  </si>
  <si>
    <t>https://www.energy.gov/articles/doe-invests-45-million-decarbonize-natural-gas-power-and-industrial-sectors-using-carbon</t>
  </si>
  <si>
    <t>Calpine Hermiston Power/HERO Basalt CarbonSafe (OR)</t>
  </si>
  <si>
    <t>University of Wyoming, PNNL, 1PointFive, Calpine, Carbfix, Schlumberger</t>
  </si>
  <si>
    <t>https://www.energy.gov/fecm/project-selections-foa-2610-carbonsafe-phase-ii-storage-complex-feasibility</t>
  </si>
  <si>
    <t>https://netl.doe.gov/sites/default/files/netl-file/23CM_CTS30_McLaughlin.pdf</t>
  </si>
  <si>
    <t>https://netl.doe.gov/carbon-management/carbon-storage/carbonsafe/publications</t>
  </si>
  <si>
    <t>Cameron Parish CO2 hub (LA)</t>
  </si>
  <si>
    <t>CarbonVert, Castex (joint venture)</t>
  </si>
  <si>
    <t>CANstore (CA)</t>
  </si>
  <si>
    <t>Electric Power Research Institute</t>
  </si>
  <si>
    <t>Capsol feasibility studies (2 plants, unknown)</t>
  </si>
  <si>
    <t>Capsol, unknown companies</t>
  </si>
  <si>
    <t>https://newsweb.oslobors.no/message/599544</t>
  </si>
  <si>
    <t>Carbon America Bridgeport Ethanol (NE)</t>
  </si>
  <si>
    <t>Carbon America</t>
  </si>
  <si>
    <t>https://www.tallgrass.com/newsroom/press-releases/tallgrass-to-capture-and-sequester-co2-emissions-from-adm-corn-processing-complex-in-nebraska</t>
  </si>
  <si>
    <t>Carbon America Sterling ethanol (CO)</t>
  </si>
  <si>
    <t>http://www.ethanolproducer.com/articles/19256/carbon-america-plans-ccs-projects-at-2-colorado-ethanol-plants%20https://coloradosun.com/2022/05/12/carbon-capture-colorado-ethanol-plants-greenhouse-gas-emissions/</t>
  </si>
  <si>
    <t>Carbon America Yuma ethanol (CO)</t>
  </si>
  <si>
    <t>Carbon Capture at Corn-processing complex (NE)</t>
  </si>
  <si>
    <t>Eastern Wyoming Sequestration Hub (WY)</t>
  </si>
  <si>
    <t>Carbon Capture on Air Liquide US Gulf Coast Steam Methane Reformer Using the CryocapTM FG Process (TX)</t>
  </si>
  <si>
    <t>Dastur International Inc., Air Liquide,University of Texas at Austin’s Bureau of Economic Geology</t>
  </si>
  <si>
    <t>https://www.energy.gov/fecm/additional-selections-funding-opportunity-announcement-2400-clean-hydrogen-production-storage</t>
  </si>
  <si>
    <t>Carbon Capture Retrofit at Sherman Generating Station (TX)</t>
  </si>
  <si>
    <t>Bechtel National, Inc.</t>
  </si>
  <si>
    <t>https://www.osti.gov/biblio/1836563</t>
  </si>
  <si>
    <t>https://www.energy.gov/fecm/foa-2058-front-end-engineering-design-feed-studies-carbon-capture-systems-coal-and-natural-gas</t>
  </si>
  <si>
    <t>https://ukccsrc.ac.uk/open-access-sherman-feed/</t>
  </si>
  <si>
    <t>Carbon Clean CEMEX Rudersdorf plant phase 1</t>
  </si>
  <si>
    <t>CEMEX, carbon clean, KBR(FEED)</t>
  </si>
  <si>
    <t>https://www.carbonclean.com/news/cemex-carbon-capture-project</t>
  </si>
  <si>
    <t>https://www.carbonclean.com/news/kbr-carbonclean</t>
  </si>
  <si>
    <t>Carbon Clean CEMEX Rudersdorf plant phase 2</t>
  </si>
  <si>
    <t>CEMEX, carbon clean</t>
  </si>
  <si>
    <t>Carbon reduced Ammonia plant St Rose (LA)</t>
  </si>
  <si>
    <t>St. Charles Clean Fuels (Copenhagen Infrastructure Partners and Sustainable Fuels Group)</t>
  </si>
  <si>
    <t>https://www.opportunitylouisiana.gov/led-news/news-releases/news/2023/04/19/st.-charles-clean-fuels-proposes-$4.6-billion-reduced-carbon-ammonia-facility-in-st.-rose</t>
  </si>
  <si>
    <t>https://www.fugro.com/news/business-news/2023/fugro-provides-geotechnical-expertise-for-clean-fuel-project-in-louisiana</t>
  </si>
  <si>
    <t>Carbon Storage Complex Southeastern Michigan (MI)</t>
  </si>
  <si>
    <t>Battelle Memorial Institute, DTE Energy</t>
  </si>
  <si>
    <t>Carbon TerraVault 1: Lone Cypress Hydrogen project (CA)</t>
  </si>
  <si>
    <t>Lone Cypress Energy services, California Resources Corporation (Carbon TerraVault)</t>
  </si>
  <si>
    <t>https://investors.crc.com/news/news-details/2022/California-Resources-Corporation-Announces-Carbon-Dioxide-Management-Agreement-For-CTVs-First-Permanent-Carbon-Storage-Project/default.aspx</t>
  </si>
  <si>
    <t>Carbon TerraVault 2 (CA)</t>
  </si>
  <si>
    <t xml:space="preserve">Carbon TerraVault Holdings LLC </t>
  </si>
  <si>
    <t>Carbon TerraVault 2</t>
  </si>
  <si>
    <t>https://www.crc.com/carbon-terravault/projects/california-dac-hub/default.aspx</t>
  </si>
  <si>
    <t>Carbon TerraVault 3 (CA)</t>
  </si>
  <si>
    <t>Carbon TerraVault Holdings LLC, Colorado School of Mines</t>
  </si>
  <si>
    <t>Carbon TerraVault 3</t>
  </si>
  <si>
    <t>Carbon TerraVault 4 (CA)</t>
  </si>
  <si>
    <t>Carbon TerraVault 4</t>
  </si>
  <si>
    <t>https://www.crc.com/carbon-terravault/default.aspx</t>
  </si>
  <si>
    <t>Carbon TerraVault 5 (CA)</t>
  </si>
  <si>
    <t>Carbon TerraVault 5</t>
  </si>
  <si>
    <t>Carbon TerraVault1: InEnTec (CA)</t>
  </si>
  <si>
    <t>California Resource Corporation (Carbon TerraVault), InEnTEc</t>
  </si>
  <si>
    <t>https://www.crc.com/carbon-terravault/Vaults/default.aspx</t>
  </si>
  <si>
    <t>Carbon TerraVault1: Verde (CA)</t>
  </si>
  <si>
    <t xml:space="preserve">California Resource Corporation (Carbon TerraVault), Verde Clean Fuels </t>
  </si>
  <si>
    <t>Carbon2Business LafargeHolcim Laegerdorf (Westkuste100/Hyscale100)</t>
  </si>
  <si>
    <t>Holcim Group, Hyscale100 consortium</t>
  </si>
  <si>
    <t>https://www.spglobal.com/platts/en/market-insights/latest-news/electric-power/062521-interview-german-heide-refinery-targets-300-mw-electrolyzer-by-end-2025</t>
  </si>
  <si>
    <t>https://www.heiderefinery.com/en/energy-transition-large-scale-hydrogen-technology-project-qualifies-for-the-next-round</t>
  </si>
  <si>
    <t>https://www.westkueste100.de/en/reallabor-westkueste-100-ausgewaehlt/</t>
  </si>
  <si>
    <t>Carbon2ProductAustria (C2PAT) - Lafarge Mannersdorf</t>
  </si>
  <si>
    <t>Austria</t>
  </si>
  <si>
    <t>Holcim Group, OMV, Verbund, Borealis</t>
  </si>
  <si>
    <t>https://www.borealisgroup.com/news/lafarge-omv-verbund-and-borealis-join-hands-to-capture-and-utilize-co2-on-an-industrial-scale</t>
  </si>
  <si>
    <t>https://www.europeanfiles.eu/environment/carbon2productaustria-c2pat</t>
  </si>
  <si>
    <t>https://www.holcim.com/sites/holcim/files/documents/holcim_ccus_july_2021.docx.pdf</t>
  </si>
  <si>
    <t>CarbonCapture DACU Carbon Cure at Gary Works (IN)</t>
  </si>
  <si>
    <t>CarbonCapture, CarbonCure, US Steel</t>
  </si>
  <si>
    <t>https://netl.doe.gov/sites/default/files/netl-file/22CM_CDR17_OBrien_2.pdf</t>
  </si>
  <si>
    <t>CarbonFrontier (CA)</t>
  </si>
  <si>
    <t xml:space="preserve">Aera Energy LLC </t>
  </si>
  <si>
    <t>https://www.aeraenergy.com/aera-announces-carbon-capture-and-storage-project-carbonfrontier/</t>
  </si>
  <si>
    <t>CarbonNet</t>
  </si>
  <si>
    <t>Victorian Government/Australian Government, (DNV)</t>
  </si>
  <si>
    <t>CarbonNET</t>
  </si>
  <si>
    <t>https://earthresources.vic.gov.au/projects/carbonnet-project</t>
  </si>
  <si>
    <t>https://www.dnv.com/cases/advancing-ccs-for-victoria-australia-the-carbonnet-project-181994</t>
  </si>
  <si>
    <t>https://earthresources.vic.gov.au/projects/carbonnet-project/about-the-project#:~:text=The%20CarbonNet%20Project%20aims%20to,sites%20in%20the%20Gippsland%20Basin.</t>
  </si>
  <si>
    <t>https://djsir.vic.gov.au/carbonnet/about-the-project</t>
  </si>
  <si>
    <t>CarbonSAFE Eos (CO)</t>
  </si>
  <si>
    <t>Colorado School of Mines, Carbon America and Los Alamos National Laboratory</t>
  </si>
  <si>
    <t>https://www.energy.gov/articles/biden-harris-administration-invests-251-million-expand-infrastructure-support-co2</t>
  </si>
  <si>
    <t>CarbonSAFE Illinois Storage Corridor (IL)</t>
  </si>
  <si>
    <t>University of Illinois, Illinois State Geological Survey, Carbon Solutions</t>
  </si>
  <si>
    <t>https://www.carbonsolutionsllc.com/projects/carbonsafe-illinois/</t>
  </si>
  <si>
    <t>Cauldron cement plant</t>
  </si>
  <si>
    <t>Aggregate Industries UK, Petrofac (feasibility)</t>
  </si>
  <si>
    <t>Peak cluster transport/Morecambe Net Zero Cluster</t>
  </si>
  <si>
    <t>Latvia-Lithuania</t>
  </si>
  <si>
    <t>Kalipedos Nafta AB</t>
  </si>
  <si>
    <t>CCS Baltic Constium, Klapeida terminal</t>
  </si>
  <si>
    <t>https://ccs-baltic.eu/</t>
  </si>
  <si>
    <t>CCS Sakakemang</t>
  </si>
  <si>
    <t>Repsol, Petronas, MOECO</t>
  </si>
  <si>
    <t>https://www.energyvoice.com/oilandgas/asia/307399/repsol-eyes-giant-carbon-storage-scheme-in-indonesia/</t>
  </si>
  <si>
    <t>https://theinsiderstories.com/repsol-explores-the-carbon-dioxide-project-in-sakakemang-block/</t>
  </si>
  <si>
    <t>https://www.repsol.com/content/dam/repsol-corporate/es/accionistas-e-inversores/pdf/low-carbon-initiatives-in-exploration-css.pdf</t>
  </si>
  <si>
    <t>https://www.upstreamonline.com/energy-transition/repsol-details-indonesia-ccs-project-linked-to-giant-gas-development/2-1-1081373</t>
  </si>
  <si>
    <t>CCUS at Red Hills natural gas processing complex (NM) EOR Phase 2</t>
  </si>
  <si>
    <t>Targa Resources Group</t>
  </si>
  <si>
    <t>https://www.lucid-energy.com/news/lucid-energy-group-receives-milestone-approval-epa-plans-develop-largest-carbon-capture-and</t>
  </si>
  <si>
    <t>https://www.upstreamonline.com/energy-transition/epa-approves-lucid-energy-ccs-project-the-largest-in-the-permian-basin/2-1-1145816</t>
  </si>
  <si>
    <t>https://www.mrt.com/business/energy/article/EPA-approves-Lucid-s-plan-for-major-Permian-CCS-16772892.php</t>
  </si>
  <si>
    <t>CCUS at Red Hills natural gas processing complex (NM) EOR Phase 3</t>
  </si>
  <si>
    <t>CCUS hub at Strathcona Resources Cold Lake Lindbergh, Orion, and Tucker SAGD facilities (x 3 projects) (ALB)</t>
  </si>
  <si>
    <t>Strathcona Resources Ltd.</t>
  </si>
  <si>
    <t>https://www.eralberta.ca/projects/details/feasibility-and-feed-for-post-combustion-flue-gas-carbon-capture-at-strathcona-resources-ltd-cold-lake-region-sagd-facilities-lindbergh-orion-and-tucker/</t>
  </si>
  <si>
    <t>CEIC-CNPC CCUS-EOR demonstration (Ningxia) Phase 1</t>
  </si>
  <si>
    <t>CEIC, CNPC</t>
  </si>
  <si>
    <t>https://sandpipercomms.com/environmental-social-and-governance-esg/carbon-capture-utilisation-and-storage-in-china/</t>
  </si>
  <si>
    <t>https://www.eco.gov.cn/news_info/64263.html</t>
  </si>
  <si>
    <t>CEIC-CNPC CCUS-EOR demonstration (Ningxia) Phase 2</t>
  </si>
  <si>
    <t>CEIC-CNPC CCUS-EOR demonstration (Ningxia) Phase 3</t>
  </si>
  <si>
    <t xml:space="preserve">CEIC-CNPC CCUS-EOR demonstration (Ningxia) Phase 3 (dedicated storage) </t>
  </si>
  <si>
    <t>Celsio CCS project terminal</t>
  </si>
  <si>
    <t>Hafslund Oslo Celsio (formerly Fortum Oslo Varme), Aker solutions (FEED)</t>
  </si>
  <si>
    <t>https://www.akersolutions.com/news/news-archive/2024/aker-solutions-awarded-feed-for-celsios-ccs-terminal-at-the-port-of-oslo/</t>
  </si>
  <si>
    <t>Cementa Slite plant</t>
  </si>
  <si>
    <t>Heidelberg Materials, Cementa</t>
  </si>
  <si>
    <t>https://www.heidelbergcement.com/en/pr-02-06-2021</t>
  </si>
  <si>
    <t>https://www.heidelbergcement.com/en/pr-30-05-2022</t>
  </si>
  <si>
    <t>https://www.cemnet.com/News/story/174370/work-accelerates-on-slite-ccs-plant.html</t>
  </si>
  <si>
    <t>CEMEX Balcones Cement plant (TX)</t>
  </si>
  <si>
    <t>Research Triangle Institute (RTI) International, Cemex</t>
  </si>
  <si>
    <t>https://www.energy.gov/fecm/additional-selections-funding-opportunity-announcement-2515</t>
  </si>
  <si>
    <t>https://www.cemexusa.com/-/cemex-and-rti-awarded-3.7-million-cooperative-agreement-to-advance-carbon-capture-technology-in-cement-manufacturing</t>
  </si>
  <si>
    <t>Central Alberta Hub (ALB)</t>
  </si>
  <si>
    <t xml:space="preserve"> Wolf Midstream, Whitecap Resources Inc., the First Nation Capital Investment Partnership (FNCIP), and Heart Lake First Nation</t>
  </si>
  <si>
    <t>Alberta Carbon TrunkLine (ACTL)/Central Alberta Hub (ALB)</t>
  </si>
  <si>
    <t>Central Interior Geological CCS Assessment (BC)</t>
  </si>
  <si>
    <t>Geoscience BC, Enbridge, BC government, CHFCA, City of Prince George, First nations Climate initiative, Foresight canada</t>
  </si>
  <si>
    <t>https://www.geosciencebc.com/projects/2022-008/</t>
  </si>
  <si>
    <t>https://www.geosciencebc.com/new-geoscience-bc-collaboration-to-help-guide-carbon-storage-decisions-in-central-and-northern-bc/</t>
  </si>
  <si>
    <t>Central Louisiana Regional Carbon Storage (CENLA) Hub (Wilcox) (LA) phase 1</t>
  </si>
  <si>
    <t>CapturePoint Solutions, Energy transfer</t>
  </si>
  <si>
    <t>Central Louisiana Regional Carbon Storage (CENLA) Hub (LA)</t>
  </si>
  <si>
    <t>https://capturepointllc.com/news/capturepoint-announces-intent-proceed-central-louisiana-carbon-capture-and-sequestration</t>
  </si>
  <si>
    <t>Central Louisiana Regional Carbon Storage (CENLA) Hub (Wilcox) (LA) phase 2</t>
  </si>
  <si>
    <t>https://www.permits.performance.gov/permitting-project/fast-41-covered-projects/central-louisiana-regional-carbon-storage-hub-vernon</t>
  </si>
  <si>
    <t>Central Louisiana Regional Carbon Storage (CENLA) Hub (Wilcox) (LA) phase 3</t>
  </si>
  <si>
    <t>Central Sumatera Basin CCUS hub</t>
  </si>
  <si>
    <t xml:space="preserve">Pertamina, Mitsui </t>
  </si>
  <si>
    <t>https://static1.squarespace.com/static/60b8dd7acb58186e05cb8387/t/63e31f41c84c7e0cbf1d4829/1675829057767/peta-ccus.jpg</t>
  </si>
  <si>
    <t>https://ekonomi.bisnis.com/read/20230814/44/1684866/gencarkan-ccus-pertamina-temukan-lokasi-penyimpanan-karbon-kapasitas-2-giga-ton</t>
  </si>
  <si>
    <t>https://www.pertamina.com/en/pertamina.s-4-new-collaborations-to-create-future-energy</t>
  </si>
  <si>
    <t>Centrica Equinor hydrogen hub Easington collaboration</t>
  </si>
  <si>
    <t>Centrica, Equinor</t>
  </si>
  <si>
    <t>https://www.centrica.com/media-centre/news/2022/centrica-and-equinor-sign-co-operation-agreement-for-east-yorkshire-hydrogen-hub/</t>
  </si>
  <si>
    <t>Century plant (TX)</t>
  </si>
  <si>
    <t>Mitchell group (formely owned by Occidental), Sandridge Energy</t>
  </si>
  <si>
    <t>https://www.industryweek.com/leadership/companies-executives/article/21946093/occidental-to-develop-enhanced-oil-recovery-assets-in-texas</t>
  </si>
  <si>
    <t>https://www.nsenergybusiness.com/features/top-carbon-capture-storage-projects/</t>
  </si>
  <si>
    <t>https://ghgdata.epa.gov/ghgp/service/facilityDetail/2021?id=1012121&amp;ds=A&amp;et=&amp;popup=true</t>
  </si>
  <si>
    <t>https://carboncredits.com/occidental-petroleum-quietly-abandons-biggest-carbon-capture-plant/</t>
  </si>
  <si>
    <t>Cerilon gas-to-liquids complex (ND)</t>
  </si>
  <si>
    <t>Cerilon GTL</t>
  </si>
  <si>
    <t>https://www.bicmagazine.com/projects-expansions/downstream/cerilon-gtl-facility-to-be-be-built-in-north-dakota/</t>
  </si>
  <si>
    <t>https://www.williamsnd.com/williams-county-issues-loan-to-cerilon-gtl-nd-as-development-plans-advance/</t>
  </si>
  <si>
    <t>CF Fertilisers Billingham Ammonia CCS</t>
  </si>
  <si>
    <t>Encyclis (former Covanta Europe)</t>
  </si>
  <si>
    <t>https://www.letsrecycle.com/news/two-efw-projects-shortlisted-for-carbon-capture-funding/</t>
  </si>
  <si>
    <t>CF Industries and Mitsui Blue ammonia complex (LA)</t>
  </si>
  <si>
    <t>CF Industries, Mitsui</t>
  </si>
  <si>
    <t>https://www.cfindustries.com/newsroom/2022/cf-mitsui-update</t>
  </si>
  <si>
    <t>https://www.gasworld.com/story/cf-industries-unveils-2bn-ammonia-complex-plans-in-louisiana/2095031.article/?red=1</t>
  </si>
  <si>
    <t>CF Industries blue ammonia Donaldsonville (LA)</t>
  </si>
  <si>
    <t>CF Industries, ExxonMobil (storage), EnLink Midstream (transport)</t>
  </si>
  <si>
    <t>ExxonMobil Ascension Parish storage (TX)</t>
  </si>
  <si>
    <t>https://www.ammoniaenergy.org/articles/cf-industries-invests-in-blue-ammonia-capacity-in-the-us/</t>
  </si>
  <si>
    <t>https://cen.acs.org/business/Chemical-makers-plan-blue-ammonia/100/i16</t>
  </si>
  <si>
    <t>https://www.cfindustries.com/globalassets/cf-industries/media/documents/2020-downloads/cf-industries-2020-annual-report.pdf</t>
  </si>
  <si>
    <t>https://gov.louisiana.gov/index.cfm/newsroom/detail/3858#.Y0djknbtXMp.twitter</t>
  </si>
  <si>
    <t>https://www.gasworld.com/cf-industries-unveils-2bn-ammonia-complex-plans-in-louisiana/2023620.article</t>
  </si>
  <si>
    <t>CF Industries blue ammonia Yazoo (LA)</t>
  </si>
  <si>
    <t>CF Industries</t>
  </si>
  <si>
    <t>Changling Gas plant /Jilin Oil Field CO2-EOR Full-scale (Jilin)</t>
  </si>
  <si>
    <t>PetroChina, CNPC</t>
  </si>
  <si>
    <t>https://www.sciencedirect.com/science/article/abs/pii/S1364032119308093</t>
  </si>
  <si>
    <t>https://news.bjx.com.cn/html/20221230/1280026.shtml</t>
  </si>
  <si>
    <t>http://www.caep.org.cn/sy/dqhj/gh/202107/W020210726513427451694.pdf</t>
  </si>
  <si>
    <t>Chevron Mitsui CO2 shipping SGP-AUS</t>
  </si>
  <si>
    <t>Singapore</t>
  </si>
  <si>
    <t>Chevron, Mitsui</t>
  </si>
  <si>
    <t>https://www.chevron.com/newsroom/2022/q4/chevron-and-mol-to-study-co2-shipping-from-singapore-to-australia</t>
  </si>
  <si>
    <t>China Energy Guohua Jinjie Power (Shaanxi)</t>
  </si>
  <si>
    <t>China Energy</t>
  </si>
  <si>
    <t>https://www.ogci.com/new-ogci-report-on-ccus-in-china/</t>
  </si>
  <si>
    <t>https://www.modernpowersystems.com/features/featureccus-becoming-a-commercial-reality-in-china-8770880/</t>
  </si>
  <si>
    <t>https://news.bjx.com.cn/html/20210628/1160627.shtml</t>
  </si>
  <si>
    <t>https://www.sohu.com/a/474302630_100273878</t>
  </si>
  <si>
    <t>China Energy Taizhou power (Jiangsu)</t>
  </si>
  <si>
    <t>https://news.bjx.com.cn/html/20211105/1186184.shtml</t>
  </si>
  <si>
    <t>https://www.globaltimes.cn/page/202112/1241339.shtml</t>
  </si>
  <si>
    <t>https://www.reuters.com/business/energy/china-energy-starts-operations-asias-largest-coal-carbon-capture-facility-2023-06-02/</t>
  </si>
  <si>
    <t>CinfraCap (Carbon Infrastructure Capture) - Port of Gothenburg</t>
  </si>
  <si>
    <t>Nordion Energi, Göteborg Energi, Renova, Gothenburg Port Authority, Preem, and St1.</t>
  </si>
  <si>
    <t>CinfraCap</t>
  </si>
  <si>
    <t>https://www.portofgothenburg.com/the-project-of-the-port/cinfracap/</t>
  </si>
  <si>
    <t>https://breakbulk.com/Articles/stocking-the-carbon-stores</t>
  </si>
  <si>
    <t>City of Estevan Power Plant</t>
  </si>
  <si>
    <t>8 Rivers Capital and Net Power</t>
  </si>
  <si>
    <t>https://www.prnewswire.com/news-releases/8-rivers-capital-and-city-of-estevan-awarded-federal-grant-to-perform-a-feasibility-study-on-a-net-power-plant-deployment-in-saskatchewan-301206842.html</t>
  </si>
  <si>
    <t>Cliff Head CCS Project</t>
  </si>
  <si>
    <t xml:space="preserve">Pilot Energy
</t>
  </si>
  <si>
    <t>Climeworks DAC at Brawley Geothermal (CA)</t>
  </si>
  <si>
    <t>University of Illinios, Climeworks</t>
  </si>
  <si>
    <t>https://www.ideals.illinois.edu/items/126230</t>
  </si>
  <si>
    <t>Climeworks Mammoth Project</t>
  </si>
  <si>
    <t>Iceland</t>
  </si>
  <si>
    <t>Climeworks, Carbfix</t>
  </si>
  <si>
    <t>https://climeworks.com/news/climeworks-announces-groundbreaking-on-mammoth?utm_source=Twitter&amp;utm_medium=Social&amp;utm_campaign=mammothannouncement&amp;utm_content=mammothnews</t>
  </si>
  <si>
    <t>https://www.edfenergy.com/energy/nuclear-new-build-projects/sizewell-c/news-views/sizewell-c-and-partners-awarded-dac-funding</t>
  </si>
  <si>
    <t>Climeworks Norsk e fuel phase 1</t>
  </si>
  <si>
    <t>Sunfire GmbH, Climeworks AG, Paul Wurth SA (SMS group), Valinor (Norsk Vind)</t>
  </si>
  <si>
    <t>https://www.norsk-e-fuel.com/articles/coming-soon-green-jet-fuel-from-mosjoen</t>
  </si>
  <si>
    <t>Climeworks Norsk e fuel phase 2</t>
  </si>
  <si>
    <t>Climeworks Norsk e fuel phase 3</t>
  </si>
  <si>
    <t>Climeworks Orca</t>
  </si>
  <si>
    <t>Climeworks, CarbFix</t>
  </si>
  <si>
    <t>https://www.edfenergy.com/energy/nuclear-new-build-projects/sizewell-c/news-views/sizewell-c-and-partners-awarded-direct-air-capture-funding</t>
  </si>
  <si>
    <t>https://www.bloomberg.com/news/features/2021-09-08/inside-the-world-s-largest-direct-carbon-capture-plant</t>
  </si>
  <si>
    <t>CNOOC Enping offshore CCS (Hong Kong)</t>
  </si>
  <si>
    <t>CNOOC</t>
  </si>
  <si>
    <t>https://www.reuters.com/business/sustainable-business/chinas-cnooc-launches-first-offshore-carbon-capture-project-2021-08-30/</t>
  </si>
  <si>
    <t>https://48qdhih3uxxncvf45h3e296c-wpengine.netdna-ssl.com/wp-content/uploads/2021/09/China_CCUS_paper_September_2021.pdf</t>
  </si>
  <si>
    <t>https://www-sasac-gov-cn.translate.goog/n2588025/n2588124/c20501671/content.html?_x_tr_sch=http&amp;_x_tr_sl=zh-CN&amp;_x_tr_tl=en&amp;_x_tr_hl=fr&amp;_x_tr_pto=nui</t>
  </si>
  <si>
    <t>https://www.reuters.com/business/environment/chinas-cnooc-completes-first-offshore-carbon-capture-site-2022-06-15/</t>
  </si>
  <si>
    <t>https://www.cnoocltd.com/art/2023/6/1/art_55170_15339040.html</t>
  </si>
  <si>
    <t>CNPC China Northwest hub phase 1 (Xinjiang)</t>
  </si>
  <si>
    <t>CNPC, OGCI</t>
  </si>
  <si>
    <t>CNPC China Northwest hub (Xinjiang)</t>
  </si>
  <si>
    <t>https://www.ogci.com/action-and-engagement/removing-carbon-dioxide-ccus/our-kickstarter-hubs/#hub4</t>
  </si>
  <si>
    <t>https://ccushub.ogci.com/focus_hubs/junggar-basin/</t>
  </si>
  <si>
    <t>CNPC China Northwest hub phase 2 (Xinjiang)</t>
  </si>
  <si>
    <t xml:space="preserve">CNPC China Northwest hub refinery hydrogen (Xinjiang) </t>
  </si>
  <si>
    <t>CO-Creator Pilot Startup program DACCS</t>
  </si>
  <si>
    <t>COWI, Removr</t>
  </si>
  <si>
    <t>https://www.removr.no/news/cowi-to-support-removrs-first-commercial-daccs-plants-in-iceland</t>
  </si>
  <si>
    <t>Co-op Belle Plaine Ethanol Complex (SK)</t>
  </si>
  <si>
    <t>Federated Co-operatives (FCL), Whitecap Resources Inc. (MoU with FCL to capture, transport and store)</t>
  </si>
  <si>
    <t>Southeast Saskatchewan CCUS Hub (Belle Plaine and Weyburn)</t>
  </si>
  <si>
    <t>https://www.fcl.crs/news-reports/news/article/fcl-exploring-carbon-capture-with-whitecap-to-meet-emissions</t>
  </si>
  <si>
    <t>https://www.newswire.ca/news-releases/whitecap-resources-inc-partners-with-federated-co-operatives-limited-to-reduce-co2-emissions-in-saskatchewan-807417476.html</t>
  </si>
  <si>
    <t>Co-op Renewable Diesel Complex (SK)</t>
  </si>
  <si>
    <t>Federated Co-operatives (FCL), Fluor and Whitecap Resources Inc.</t>
  </si>
  <si>
    <t>CO2 capture at Coal Creek (ND)</t>
  </si>
  <si>
    <t>EERC, NDIC, Rainbow Energy, Mitshubishi HI, Kiewit</t>
  </si>
  <si>
    <t>Coal creek capture: site characterisation and permitting (ND)</t>
  </si>
  <si>
    <t>https://insideclimatenews.org/news/17072021/north-dakota-coal-energy-transition-jobs-carbon-capture/</t>
  </si>
  <si>
    <t>CO2 capture at Duke Energy's East Bend Station (KY)</t>
  </si>
  <si>
    <t>EPRI, MTR</t>
  </si>
  <si>
    <t>https://netl.doe.gov/sites/default/files/netl-file/D-Dillon-EPRI-East-Bend-Membrane.pdf</t>
  </si>
  <si>
    <t>CO2 TO METHANOL Finnfjord Ferrosilicon</t>
  </si>
  <si>
    <t>Statkraft, Carbon Recycling International</t>
  </si>
  <si>
    <t>https://www.carbonrecycling.is/projects#finnfjord-emethanol</t>
  </si>
  <si>
    <t>https://industrienergi.no/nyhet/finnfjord-vil-lage-fiskefor-av-co2/</t>
  </si>
  <si>
    <t>CO2 TransPorts phase 2 (cross-border pipeline, phase 1 is Portos and Antwerp?)</t>
  </si>
  <si>
    <t>Port of Rotterdam, port of Antwerp, North Sea Port, Fluxys, Gasunie</t>
  </si>
  <si>
    <t>CO2TransPorts</t>
  </si>
  <si>
    <t>CO2MENT LafargeHolcim Florence (CO)</t>
  </si>
  <si>
    <t>Electricore, Svante, Holcim Group, Oxy Low Carbon Venture (Occidental), TotalEnergies</t>
  </si>
  <si>
    <t>https://energynorthern.com/2020/09/18/further-development-of-co2ment-project/</t>
  </si>
  <si>
    <t>https://www.holcim.com/joint-carbon-capture-project-usa-plant</t>
  </si>
  <si>
    <t>https://www.linkedin.com/posts/bob-slettehaugh_we-are-excited-to-be-working-with-holcim-activity-6925459018538700800-H4-M?utm_source=linkedin_share&amp;utm_medium=member_desktop_web</t>
  </si>
  <si>
    <t>https://www.holcim.com/media/media-releases/joint-carbon-capture-project-usa-plant</t>
  </si>
  <si>
    <t>CO2NEXT terminal phase 1</t>
  </si>
  <si>
    <t>Vopak, Gasunie</t>
  </si>
  <si>
    <t>CO2NEXT terminal phase 2</t>
  </si>
  <si>
    <t>CO2NNECTION Central Appalachian Basin hub (OH, PA, WV)</t>
  </si>
  <si>
    <t>Battelle</t>
  </si>
  <si>
    <t>https://www.energy.gov/fecm/articles/doe-invests-45-million-reduce-carbon-pollution#:~:text=WASHINGTON%2C%20D.C.%20%E2%80%94%20The%20U.S.%20Department,successful%20carbon%20transport%20and%20storage</t>
  </si>
  <si>
    <t>https://www.energy.gov/fecm/project-selections-foa-2614-carbon-management-round-3</t>
  </si>
  <si>
    <t>CO2nnectNow HES Wilhelmshaven Tank Terminal phase 1</t>
  </si>
  <si>
    <t>Wintershall Dea</t>
  </si>
  <si>
    <t>CO2nnectNow HES Wilhelmshaven Tank Terminal</t>
  </si>
  <si>
    <t>https://wintershalldea.com/en/newsroom/wintershall-dea-and-hes-wilhelmshaven-tank-terminal-intend-jointly-develop-co2-hub-wilhelmshaven</t>
  </si>
  <si>
    <t>CO2NTESSA</t>
  </si>
  <si>
    <t>Croatia</t>
  </si>
  <si>
    <t>Nexe Group,  ThyssenKrupp Group, and Nasice cement</t>
  </si>
  <si>
    <t>Geothermal CCS Croatia</t>
  </si>
  <si>
    <t>https://www.nexe.hr/en/co2ntessa/</t>
  </si>
  <si>
    <t>University of North Dakota</t>
  </si>
  <si>
    <t>Coastal Bend Carbon Management Project (TX)</t>
  </si>
  <si>
    <t>Port of Corpus Christi, Talos Energy, Howard Energy Partners, Texas A&amp;M University System</t>
  </si>
  <si>
    <t>Coastal Bend Carbon Management Partnership (TX)</t>
  </si>
  <si>
    <t>https://portofcc.com/port-of-corpus-christi-enters-into-agreement-with-talos-energy-and-howard-energy-partners-for-carbon-capture-and-sequestration-opportunities/</t>
  </si>
  <si>
    <t>https://portofcc.com/port-of-corpus-christi-awarded-16-4m-in-carbonsafe-grants-from-u-s-department-of-energy/</t>
  </si>
  <si>
    <t>Coastal Bend Offshore CO2 Storage (TX)</t>
  </si>
  <si>
    <t>Port of Corpus Christi, 1845 Carbon Storage LLC, Strategic Sequestration Development LLC, University of Texas Bureau of Economic Geology’s Gulf Coast Carbon Center</t>
  </si>
  <si>
    <t>Corpus Christi offshore storage (TX)</t>
  </si>
  <si>
    <t>Coda terminal Phase 1</t>
  </si>
  <si>
    <t>Carbfix, Dan-unity CO2</t>
  </si>
  <si>
    <t>Coda terminal</t>
  </si>
  <si>
    <t>https://www.carbfix.com/codaterminal</t>
  </si>
  <si>
    <t>https://bcforum.net/presentations2021/0301_K%C3%A1ri_Helgason.pdf</t>
  </si>
  <si>
    <t>https://www.linkedin.com/posts/carbfix_eu-cinea-environment-activity-7021767287204409344-DI_z/?utm_source=share&amp;utm_medium=member_desktop</t>
  </si>
  <si>
    <t>Coda terminal Phase 2</t>
  </si>
  <si>
    <t>Coda terminal phase 3</t>
  </si>
  <si>
    <t>Coffeyville fertiliser Plant (KS)</t>
  </si>
  <si>
    <t>Coffeyville Resources, Chaparral Energy, Coffeyville Resource Nitrogen Fertilizers</t>
  </si>
  <si>
    <t>https://www.geos.ed.ac.uk/sccs/project-info/89</t>
  </si>
  <si>
    <t>https://www.globenewswire.com/news-release/2011/03/29/443163/10562/en/Chaparral-Energy-Agrees-to-a-CO2-Purchase-and-Sale-Agreement-With-CVR-Energy-for-Capture-of-CO2-for-Enhanced-Oil-Recovery.html</t>
  </si>
  <si>
    <t>https://sequestration.mit.edu/tools/projects/coffeyville.html</t>
  </si>
  <si>
    <t>https://ghgdata.epa.gov/ghgp/service/facilityDetail/2021?id=1010975&amp;ds=A&amp;et=&amp;popup=true</t>
  </si>
  <si>
    <t>Colleferro plant</t>
  </si>
  <si>
    <t>Heidelberg Materials</t>
  </si>
  <si>
    <t>https://www.heidelbergmaterials.com/en/ecra-oxyfuel</t>
  </si>
  <si>
    <t>Combined Carbon Capture Solution on Air Liquide Northern California Steam Methane Reformer (CA)</t>
  </si>
  <si>
    <t>Electricore Inc., Air Liquide</t>
  </si>
  <si>
    <t>Commonwealth LNG CCS (LA)</t>
  </si>
  <si>
    <t>Commonwealth LNG, OnStream CO2 LLC (JV between Carbonvert Inc, Castex Carbon Solutions LLC) (own, design, operate capture)</t>
  </si>
  <si>
    <t>Cameron Parish CO2 Hub (LA)</t>
  </si>
  <si>
    <t>https://commonwealthlng.com/commonwealth-lng-signs-carbon-capture-and-storage-mou-with-onstream-co2/</t>
  </si>
  <si>
    <t>Competitive Power Ventures CCGT (WV)</t>
  </si>
  <si>
    <t>Competitive Power Ventures</t>
  </si>
  <si>
    <t>https://www.cpv.com/2022/09/16/multi-billion-dollar-combined-cycle-natural-gas-power-station-with-carbon-capture-announced-in-west-virginia/</t>
  </si>
  <si>
    <t>Connah's Quay</t>
  </si>
  <si>
    <t>Uniper</t>
  </si>
  <si>
    <t>https://www.uniper.energy/connahs-quay-low-carbon-power</t>
  </si>
  <si>
    <t>Core Energy CO2-EOR South Chester plant (MI)</t>
  </si>
  <si>
    <t>Core Energy</t>
  </si>
  <si>
    <t>https://www.osti.gov/servlets/purl/1547301</t>
  </si>
  <si>
    <t>https://ghgdata.epa.gov/ghgp/service/facilityDetail/2020?id=1010117&amp;ds=A&amp;et=&amp;popup=true</t>
  </si>
  <si>
    <t>Cormorant Clean Energy project (TX)</t>
  </si>
  <si>
    <t>8 Rivers, Casale</t>
  </si>
  <si>
    <t>https://8rivers.com/8-rivers-8rh2-ultra-low-carbon-hydrogen-technology-announcement/</t>
  </si>
  <si>
    <t>https://cormorant.energy/</t>
  </si>
  <si>
    <t>Corn LP Goldfield biorefinery (IA)</t>
  </si>
  <si>
    <t>Corn LP, Summit Carbon Solutions</t>
  </si>
  <si>
    <t>https://www.summitcarbonsolutions.com/our-partners</t>
  </si>
  <si>
    <t>https://www.reuters.com/markets/commodities/giant-pipeline-us-midwest-tests-future-carbon-capture-2021-11-23/</t>
  </si>
  <si>
    <t>https://www.summitcarbonsolutions.com/news/scsexpansionannouncement</t>
  </si>
  <si>
    <t>Corporation Energy Blue Ammonia/hydrogen Baidaratskaya Bay</t>
  </si>
  <si>
    <t>Russia</t>
  </si>
  <si>
    <t>Corporation Energy, Toyo Engineering Corporation, Itochu Plantech Inc, Others</t>
  </si>
  <si>
    <t>Eurasia</t>
  </si>
  <si>
    <t>Corporation Energy Blue Ammonia/hydrogen Seyakha</t>
  </si>
  <si>
    <t>Corpus Christi carbon storage hub (TX)</t>
  </si>
  <si>
    <t>Repsol (operator), Carbonvert, MEPUSA (Mitsui E&amp;P USA), POSCO</t>
  </si>
  <si>
    <t>Corpus Christi CO2 pipeline (TX)</t>
  </si>
  <si>
    <t>Enbridge (transport), Oxy low carbon ventures (Occidental) (Storage)</t>
  </si>
  <si>
    <t>Corpus Christi CO2 pipeline</t>
  </si>
  <si>
    <t>Corvus (WY)</t>
  </si>
  <si>
    <t>Denbury Rock Mountains Hub (WY)</t>
  </si>
  <si>
    <t>CORY EfW plant Belvedere</t>
  </si>
  <si>
    <t>Cory</t>
  </si>
  <si>
    <t>Viking CCS</t>
  </si>
  <si>
    <t>https://www.corygroup.co.uk/media/news-insights/cory-announces-plans-worlds-biggest-energy-waste-decarbonisation-project/</t>
  </si>
  <si>
    <t>https://www.letsrecycle.com/news/cory-in-187m-accounting-loss-despite-record-2021/</t>
  </si>
  <si>
    <t>https://www.harbourenergy.com/news-and-media/latest-news/2023/cory-group-sign-exclusive-agreement-with-viking-ccs/</t>
  </si>
  <si>
    <t>https://www.corygroup.co.uk/media/news-insights/cory-launches-statutory-consultation-decarbonisation-plans/</t>
  </si>
  <si>
    <t>Coyote Clean Power Project (CO)</t>
  </si>
  <si>
    <t>8Rivers, Southern Ute Indian Reservation</t>
  </si>
  <si>
    <t>https://www.powermag.com/inside-net-power-gas-power-goes-supercritical/</t>
  </si>
  <si>
    <t>CPNC coal power Baijiantan Karamay (Xinjiang)</t>
  </si>
  <si>
    <t>CNPC</t>
  </si>
  <si>
    <t>https://finance.sina.com.cn/esg/2023-08-27/doc-imzirrzz3229002.shtml</t>
  </si>
  <si>
    <t>Crawford Nickel</t>
  </si>
  <si>
    <t>Canada Nickel Company Inc.</t>
  </si>
  <si>
    <t>https://www.newswire.ca/news-releases/canada-nickel-announces-integration-of-carbon-capture-amp-storage-into-crawford-nickel-sulphide-project-845167884.html</t>
  </si>
  <si>
    <t>https://carbonherald.com/canada-nickel-confirms-strong-ccs-value-of-crawford-project/</t>
  </si>
  <si>
    <t>CRP Haifeng Project (Guangdong)</t>
  </si>
  <si>
    <t>China Resources Power</t>
  </si>
  <si>
    <t>http://www.gdccus.org/en/nd.jsp?id=560</t>
  </si>
  <si>
    <t>https://new.qq.com/rain/a/20201016A0DS3100</t>
  </si>
  <si>
    <t>https://www.cr-power.com/news/news3/202002/t20200225_532026.html</t>
  </si>
  <si>
    <t>Cstore 1</t>
  </si>
  <si>
    <t>deepC-store (dev and operator), Mitsui (for shipping), Technip Energies (TEN) (pre-FEED for hub facility)</t>
  </si>
  <si>
    <t>https://www.deepcstore.com/news/australian-ccs-conference-2021</t>
  </si>
  <si>
    <t>https://www.deepcstore.com/cstore1</t>
  </si>
  <si>
    <t>https://www.deepcstore.com/news/deepc-store-signs-loi-with-mol-and-ten-floating-ccs-hub-development</t>
  </si>
  <si>
    <t>CTSCo Project</t>
  </si>
  <si>
    <t>Glencore Carbon Transport and Storage Company (CTSCo), China Huaneng (capture tech, MoU)</t>
  </si>
  <si>
    <t>https://www.ctsco.com.au/</t>
  </si>
  <si>
    <t>https://www.glencore.com/media-and-insights/news/china-huaneng-and-glencore-sign-mou-on-ccus-project</t>
  </si>
  <si>
    <t>Cygnus (WY)</t>
  </si>
  <si>
    <t>Cypress Carbon Capture Project (LA)</t>
  </si>
  <si>
    <t>Taft Carbon Capture, DOE Office of Clean Energy Demonstrations</t>
  </si>
  <si>
    <t>Cypress DAC Hub (LA)</t>
  </si>
  <si>
    <t>Battelle, Climeworks, Heirloom Carbon, Gulf Coast Sequestration (T&amp;S provider)</t>
  </si>
  <si>
    <t>Gulf Coast Sequestration Hub (LA)</t>
  </si>
  <si>
    <t>https://www.battelle.org/insights/newsroom/press-release-details/battelle-climeworks-heirloom-carbon-gulf-coast-sequestration-bid-on-direct-air-capture-hub-for-department-of-energy</t>
  </si>
  <si>
    <t>D'Artagnan Dunkirk CO2 Hub Phase 1</t>
  </si>
  <si>
    <t>ArcelorMittal, Port of Dunkerque, Chaux et Dolomines du boulonnais, Verdalis, Air Liquide</t>
  </si>
  <si>
    <t>D'Artagnan/Nautilus</t>
  </si>
  <si>
    <t>https://ec.europa.eu/energy/maps/pci_fiches/PciFiche_12.8.pdf</t>
  </si>
  <si>
    <t>https://ec.europa.eu/energy/sites/default/files/detailed_information_regarding_the_candidate_projects_in_co2_network.pdf</t>
  </si>
  <si>
    <t>D'Artagnan Dunkirk CO2 Hub Phase 2</t>
  </si>
  <si>
    <t>D'Artagnan Dunkirk CO2 Hub Phase 3</t>
  </si>
  <si>
    <t>Dakota Ethanol Wentworth biorefinery (SD)</t>
  </si>
  <si>
    <t>Dakota Ethanol, Summit Carbon Solutions</t>
  </si>
  <si>
    <t>Dakota H2 Hub (ND)</t>
  </si>
  <si>
    <t>Bakken Energy, Mitsubishi HI (as Mitsubishi Power Americas), Mandan, Hidatsa, and Arikara Nation</t>
  </si>
  <si>
    <t>https://www.greencarcongress.com/2021/08/20210819-bakken.html</t>
  </si>
  <si>
    <t>https://www.bakkenenergy.com/press-releases/mha-nation-partnering-with-bakken-energy-and-mitsubishi-power-on-great-plains-hydrogen-hub/</t>
  </si>
  <si>
    <t>https://www.ammoniaenergy.org/articles/decarbonising-the-great-plains-synfuel-plant/</t>
  </si>
  <si>
    <t>Dalstur Energy Coal India coal hydrogen</t>
  </si>
  <si>
    <t>India</t>
  </si>
  <si>
    <t>Dalstur Energy (Kolkata), Coal India (CIL)</t>
  </si>
  <si>
    <t>https://energy.economictimes.indiatimes.com/news/coal/dastur-energy-to-set-up-blue-hydrogen-unit-with-coal-india/91455574</t>
  </si>
  <si>
    <t>Damhead Creek CCGT power station</t>
  </si>
  <si>
    <t>Oilex</t>
  </si>
  <si>
    <t>Medway Hub CCS</t>
  </si>
  <si>
    <t>https://www.synergiaenergy.com/sites/synergia-energy-ltd/files/synergia-energy-ltd/operations/united-kingdom/medway-hub-ccs-r7-we.pdf</t>
  </si>
  <si>
    <t>Daya Bay CCS Hub (Guangdong)</t>
  </si>
  <si>
    <t>Shell, ExxonMobil, CNOOC, and Guangdong Provincial Development &amp; Reform Commission (JSA)</t>
  </si>
  <si>
    <t>Daya Bay CCS Hub</t>
  </si>
  <si>
    <t>https://www.shell.com.cn/en_cn/media/media-releases/2022-media-releases/shell-partners-with-cnooc-guangdong-government-exxonmobil-on-offshore-carbon-capture-and-storage-hub-in-china.html</t>
  </si>
  <si>
    <t>https://www.linkedin.com/posts/jasonwongshell_ccs-poweringprogress-activity-7021325298562437121-tk54/?utm_source=share&amp;utm_medium=member_desktop</t>
  </si>
  <si>
    <t>Delaware Basin project (TX)</t>
  </si>
  <si>
    <t>Milestone carbon (Milestone Envrionmental services)</t>
  </si>
  <si>
    <t>https://www.milestone-es.com/About-Us/News-and-Events/Milestone-Carbon-Announces-Land-Agreement-for-Carbon-Hub-Development-in-the-Permian-Basin/</t>
  </si>
  <si>
    <t xml:space="preserve">Delta Rhyne Corridor </t>
  </si>
  <si>
    <t>Netherlands-Germany</t>
  </si>
  <si>
    <t>Shell, Port of Rotterdam, bp, RWE, thyssenkrupp, LyondellBasell, Heidelberg Materials, Attero and Chemelot</t>
  </si>
  <si>
    <t>https://www.shell.nl/media/persberichten/2022-media-releases/delta-corridor-links-industry-with-clean-h2-and-offshore-ccs-sol.html</t>
  </si>
  <si>
    <t>Denbury / Mitsubishi Gulf Coast ammonia project (TBD)</t>
  </si>
  <si>
    <t>Mitsubishi, ExxonMobil (formerly Denbury carbon solutions)</t>
  </si>
  <si>
    <t>https://www.businesswire.com/news/home/20210921005260/en/Denbury-Executes-Term-Sheet-with-Mitsubishi-Corporation-for-CO2-Transport-and-Storage-from-Ammonia-Project</t>
  </si>
  <si>
    <t>https://www.mitsubishicorp.com/jp/en/pr/archive/2021/html/0000047790.html</t>
  </si>
  <si>
    <t>Diamond Vault (LA)</t>
  </si>
  <si>
    <t xml:space="preserve">Cleco Power LLC, Battelle, Sargebt abd Kybdy </t>
  </si>
  <si>
    <t>https://ccusmap.com/markers/project-detail/diamond-vault</t>
  </si>
  <si>
    <t>Donghae CCS Project (capture sources under evaluation)</t>
  </si>
  <si>
    <t xml:space="preserve"> Korea National Oil Corporation and partners</t>
  </si>
  <si>
    <t>https://pmt.honeywell.com/us/en/about-pmt/newsroom/press-release/2021/11/sk-innovation-to-use-honeywell-technology-for-carbon-capture-and-sequestration-feasibility-study-in-korea?utm_medium=social&amp;utm_source=everyonesocial&amp;es_id=41eb30e602</t>
  </si>
  <si>
    <t>https://en.yna.co.kr/view/AEN20211118006300320</t>
  </si>
  <si>
    <t>http://www.koreaherald.com/view.php?ud=20210831000937</t>
  </si>
  <si>
    <t>https://splash247.com/hyundai-heavy-develops-offshore-co2-storage-platform/</t>
  </si>
  <si>
    <t>https://www.kedglobal.com/newsView/ked202105260012</t>
  </si>
  <si>
    <t>https://fuelcellsworks.com/news/abs-awards-aip-to-hhi-groups-green-hydrogen-production-platform-and-carbon-dioxide-injection-platform-design/</t>
  </si>
  <si>
    <t>https://www.hdec.kr/en/newsroom/news_view.aspx?NewsSeq=819&amp;NewsType=LATEST&amp;NewsListType=news_list</t>
  </si>
  <si>
    <t>Dorado (TX)</t>
  </si>
  <si>
    <t>ExxonMobil (former Denbury Carbon Solutions)</t>
  </si>
  <si>
    <t>Dos Bocas refinery</t>
  </si>
  <si>
    <t>Mexico</t>
  </si>
  <si>
    <t>Pemex</t>
  </si>
  <si>
    <t>Dow Fort Saskatchewan Path2Zero (ALB)</t>
  </si>
  <si>
    <t>Dow Chemical, Linde, Fluor, Wolf Midstream</t>
  </si>
  <si>
    <t>https://ihsmarkit.com/research-analysis/dow-to-build-first-netzero-ethylene-derivatives-complex-in-alb.html</t>
  </si>
  <si>
    <t>https://corporate.dow.com/en-us/news/press-releases/dow-announces-plan-to-build-world-s-first-net-zero-carbon-emissi</t>
  </si>
  <si>
    <t>https://cen.acs.org/environment/greenhouse-gases/Dow-details-plan-decarbonize-petrochemical/99/i37#:~:text=Its%20biggest%20initiative%20is%20to,the%20entire%20site%20by%202029</t>
  </si>
  <si>
    <t>https://fuelcellsworks.com/news/dow-selects-linde-as-clean-hydrogen-and-nitrogen-partner-for-its-proposed-net-zero-carbon-emissions-ethylene-and-derivatives-complex-in-canada/</t>
  </si>
  <si>
    <t>https://www.nsenergybusiness.com/news/dow-feed-contract-fluor-canadian-ethylene-derivatives-complex/</t>
  </si>
  <si>
    <t>https://calgaryherald.com/opinion/columnists/varcoe-dow-to-invest-8-8-billion-in-alberta-net-zero-petrochemical-project</t>
  </si>
  <si>
    <t>Draco (LA)</t>
  </si>
  <si>
    <t>https://ccusmap.com/markers/project-detail/denbury-draco</t>
  </si>
  <si>
    <t>https://oilandgaswatch.org/facility/6887</t>
  </si>
  <si>
    <t>Drax BECCS Project (Phase 1)</t>
  </si>
  <si>
    <t>Drax, Worley (FEED), Mitsubishi HI (tech)</t>
  </si>
  <si>
    <t>https://www.drax.com/press_release/drax-and-mitsubishi-heavy-industries-sign-pioneering-deal-to-deliver-the-worlds-largest-carbon-capture-power-project/</t>
  </si>
  <si>
    <t>https://biomassmagazine.com/articles/18574/drax-to-invest-l40m-in-next-stage-of-beccs-project</t>
  </si>
  <si>
    <t>https://www.drax.com/press_release/british-steel-forges-new-partnership-to-support-draxs-world-leading-carbon-capture-project/</t>
  </si>
  <si>
    <t>https://www.gov.uk/government/news/environment-agency-consults-on-drax-carbon-capture-plans</t>
  </si>
  <si>
    <t>https://www.drax.com/press_release/uk-government-approves-planning-application-for-beccs-at-drax-power-station/</t>
  </si>
  <si>
    <t>Drax BECCS Project (Phase 2)</t>
  </si>
  <si>
    <t>Drax US BECCS plant 1</t>
  </si>
  <si>
    <t>Drax</t>
  </si>
  <si>
    <t>https://www.drax.com/investors/progressing-global-beccs-opportunities/</t>
  </si>
  <si>
    <t>Drax US BECCS plant 2</t>
  </si>
  <si>
    <t>Dry Fork Integrated Commercial CCS/Wyoming CarbonSafe (WY)</t>
  </si>
  <si>
    <t>MTR Carbon Capture, Basin Electric Power Cooperative, Electric Power Research Institute, University of Wyoming, Bismarck</t>
  </si>
  <si>
    <t>Wyoming CarbonSAFE (WY)</t>
  </si>
  <si>
    <t>https://www.basinelectric.com/News-Center/news-releases/carbon-capture-project-at-dry-fork-station-begins-phase-3-testing</t>
  </si>
  <si>
    <t>https://www.coalage.com/breaking-news/wyoming-carbonsafe-project-drills-second-exploratory-well-at-dry-fork-station/</t>
  </si>
  <si>
    <t>https://www.netl.doe.gov/node/1303</t>
  </si>
  <si>
    <t>http://www.uwyo.edu/cegr/research-projects/wyoming-carbonsafe.html</t>
  </si>
  <si>
    <t>https://www.energy.gov/fecm/foa-1999-project-selections</t>
  </si>
  <si>
    <t>https://www.mining.com/co2-storage-project-in-americas-coal-country-one-step-closer-to-becoming-a-reality/</t>
  </si>
  <si>
    <t>https://www.osti.gov/biblio/1897679</t>
  </si>
  <si>
    <t>Duke Energy Edwardsport Integrated Gasification Combined Cycle plant (IN)</t>
  </si>
  <si>
    <t>Duke Energy, DOE Office of Clean Energy Demonstrations</t>
  </si>
  <si>
    <t>e-Alto</t>
  </si>
  <si>
    <t>Velocys, Clariant Catalysts, Technip Energies, British Airways</t>
  </si>
  <si>
    <t>https://www.altalto.com/2022/12/12/award-of-2-5m-grant-for-new-e-fuels-project/</t>
  </si>
  <si>
    <t>East Calgary Region Carbon Sequestration Hub (ALB)</t>
  </si>
  <si>
    <t xml:space="preserve"> Reconciliation Energy Transition Inc. (RETI), Sumitomo</t>
  </si>
  <si>
    <t>https://finance.yahoo.com/news/reconciliation-energy-transition-inc-announces-130000578.html</t>
  </si>
  <si>
    <t>https://www.newswire.ca/news-releases/reconciliation-energy-transition-inc-announces-successful-proposal-for-the-east-calgary-region-carbon-sequestration-hub-899913131.html</t>
  </si>
  <si>
    <t>https://www.newswire.ca/news-releases/reconciliation-energy-transition-inc-and-sumitomo-corporation-of-americas-announce-exclusivity-agreement-for-carbon-transportation-and-sequestration-project-in-alberta-canada-886172276.html</t>
  </si>
  <si>
    <t>East Kalimantan CCUS hub</t>
  </si>
  <si>
    <t>Kaltim Parna Industry, ITB</t>
  </si>
  <si>
    <t>East Niigata area CCS - Hokuetsu pulp plant</t>
  </si>
  <si>
    <t>Japan</t>
  </si>
  <si>
    <t>Hokuetsu</t>
  </si>
  <si>
    <t>East Niigata area CCS</t>
  </si>
  <si>
    <t>https://www.meti.go.jp/english/press/2023/0613_001.html</t>
  </si>
  <si>
    <t>East Niigata area CCS - Mitsubshi gas chemical</t>
  </si>
  <si>
    <t>Mitsubishi Gas Chemical</t>
  </si>
  <si>
    <t>East Niigata area CCS - Tohoku Electric Power</t>
  </si>
  <si>
    <t>Tohoku Electric Power</t>
  </si>
  <si>
    <t>East Niigata area CCS (capture sources under evaluation)</t>
  </si>
  <si>
    <t>JAPEX, Tohoku Electric Power, Mitsubishi Gas Chemical, Hokuetsu, NRI</t>
  </si>
  <si>
    <t>https://www.japex.co.jp/en/news/detail/20220530_02/</t>
  </si>
  <si>
    <t>Japan Petroleum Exploration : Entrust a Study in East-Niigata Area as the “Business Feasibility Study on Japanese Advanced CCS Project” in FY2023 by JOGMEC -August 08, 2023 at 01:06 am EDT | MarketScreener</t>
  </si>
  <si>
    <t xml:space="preserve">Eastern Louisiana Clean Hydrogen Complex (LA) </t>
  </si>
  <si>
    <t>Air Products</t>
  </si>
  <si>
    <t>https://www.airproducts.com/campaigns/la-blue-hydrogen-project</t>
  </si>
  <si>
    <t>https://carbonherald.com/air-products-to-go-ahead-with-7-billion-hydrogen-project-in-louisiana-with-carbon-capture-included/</t>
  </si>
  <si>
    <t>Tallgrass energy</t>
  </si>
  <si>
    <t>ECO2CEE (Poland EU CCS Interconnector) phase 1</t>
  </si>
  <si>
    <t>Poland, Latvia, Lithuania</t>
  </si>
  <si>
    <t>Air Liquide Polska, PKN Orlen, Lafarge Cement, Orlen Lietuva</t>
  </si>
  <si>
    <t>ECO2CEE (Gdansk terminal)</t>
  </si>
  <si>
    <t>https://ec.europa.eu/clima/system/files/2021-11/policy_funding_innovation-fund_large-scale_successful_projects_en.pdf</t>
  </si>
  <si>
    <t>https://ec.europa.eu/energy/maps/pci_fiches/PciFiche_12.9.pdf</t>
  </si>
  <si>
    <t>https://www.energy.gov/sites/default/files/2023-08/8.%20ECO2CEE%20PKN%20ORLEN.pdf</t>
  </si>
  <si>
    <t>https://www.orlen.pl/en/about-the-company/media/press-releases/2023/December-2023/ORLEN-EU-funding-secured-for-CO2-transshipment-terminal-</t>
  </si>
  <si>
    <t>ECO2CEE (previously Poland EU CCS Interconnector) phase 2</t>
  </si>
  <si>
    <t>ECO2CEE</t>
  </si>
  <si>
    <t>ECO2CEE (previously Poland EU CCS Interconnector) phase 3</t>
  </si>
  <si>
    <t>ECO2Normandy phase 1</t>
  </si>
  <si>
    <t>Air Liquide, Borealis, Esso (Exxon Mobil), TotalEnergies, Yara</t>
  </si>
  <si>
    <t>ECO2Normandy/Nautilus</t>
  </si>
  <si>
    <t>https://www.airliquide.com/group/press-releases-news/2021-07-12/air-liquide-borealis-esso-totalenergies-and-yara-collaborate-help-decarbonize-industrial-basin</t>
  </si>
  <si>
    <t>ECO2Normandy phase 2</t>
  </si>
  <si>
    <t>ECO2Normandy phase 3</t>
  </si>
  <si>
    <t>ECO2S: Early CO2 Storage Complex in Kemper County (MS)</t>
  </si>
  <si>
    <t>Southern States Energy Board, Mississipi Power (Southern Company)</t>
  </si>
  <si>
    <t>Project ECO2S: Early CO2 Storage Complex in Kemper County (MS)</t>
  </si>
  <si>
    <t>ECOPLANTA (Tarragona)</t>
  </si>
  <si>
    <t>Spain</t>
  </si>
  <si>
    <t>ECOPLANTA MOLECULAR RECYCLING
SOLUTIONS S.L</t>
  </si>
  <si>
    <t>https://climate.ec.europa.eu/system/files/2022-07/if_pf_2022_ecoplanta_en_0.pdf</t>
  </si>
  <si>
    <t>Edmonton Blue Hydrogen plant (ALB)</t>
  </si>
  <si>
    <t>Mitsubishi Corporation, Shell Canada</t>
  </si>
  <si>
    <t>https://www.mitsubishicorp.com/jp/en/pr/archive/2021/html/0000047710.html</t>
  </si>
  <si>
    <t>Edmonton Varme facility (ALB)</t>
  </si>
  <si>
    <t>Varme Energy, City of Edmonton</t>
  </si>
  <si>
    <t>https://www.varmeenergy.com/city-of-edmonton-and-varme-energy-to-divert-150-000-tonnes-of-waste-from-landfill-through-waste-to-energy-agreement</t>
  </si>
  <si>
    <t>El Camino (LA)</t>
  </si>
  <si>
    <t xml:space="preserve">Shell US Power and Gas LLC, Geo Stock Sandia LLC </t>
  </si>
  <si>
    <t>https://ccusmap.com/markers/project-detail/el-camino</t>
  </si>
  <si>
    <t>Elmworth Gas Plant</t>
  </si>
  <si>
    <t>Cenovus</t>
  </si>
  <si>
    <t>https://pathwaysalliance.ca/news/q-and-a-progress-on-the-pathways-alliance-net-zero-goal/</t>
  </si>
  <si>
    <t>https://www.cenovus.com/-/media/FCA5F5D0FBC345DC8FBC93DEF08D292E.ashx</t>
  </si>
  <si>
    <t>EM-Rhone</t>
  </si>
  <si>
    <t>Elyse Energy, Holcim, Air Liquide</t>
  </si>
  <si>
    <t>https://elyse.energy/en/elyse-energy-announces-the-opening-of-an-e-methanol-plant-on-the-roches-roussillon-chemical-hub</t>
  </si>
  <si>
    <t>Emerge CCS</t>
  </si>
  <si>
    <t>Uniper, Fortum</t>
  </si>
  <si>
    <t>https://www.uniper.energy/united-kingdom/projects-united-kingdom/emerge-centre</t>
  </si>
  <si>
    <t>Emirates Steel Industries (Abu Dhabi CCS Phase 1)</t>
  </si>
  <si>
    <t>ADNOC, Masdar</t>
  </si>
  <si>
    <t>https://www.cslforum.org/cslf/sites/default/files/documents/AbuDhabi2017/AbuDhabi17-TW-Sakaria-Session2.pdf</t>
  </si>
  <si>
    <t>https://www.energiron.com/wp-content/uploads/2019/05/ENERGIRON-DR-Technology-Overview.pdf</t>
  </si>
  <si>
    <t>Enbridge Ingleside Energy Center Low carbon ammonia (TX)</t>
  </si>
  <si>
    <t>Enbridge, Yara</t>
  </si>
  <si>
    <t>Corpus Christi CO2 pipeline (TX)/BlueBonnet sequestration hub (TX)</t>
  </si>
  <si>
    <t>https://www.enbridge.com/media-center/news/details?id=123722&amp;lang=en</t>
  </si>
  <si>
    <t>https://www.ammoniaenergy.org/articles/enbridge-and-yara-ccs-based-ammonia-in-texas/#:~:text=The%20ammonia%20production%20facility%2C%20pending,the%20facility%20is%20fully%20operational.</t>
  </si>
  <si>
    <t>ENEOS MOL JX CO2 shipping</t>
  </si>
  <si>
    <t>Japan-Australia</t>
  </si>
  <si>
    <t>ENEOS Corporation, JX Nippon Oil &amp; Gas Exploration Corporation, Electric Power Development Co.,Ltd. (J-POWER)</t>
  </si>
  <si>
    <t>Northern to Western Kyushu Offshore CCS</t>
  </si>
  <si>
    <t>https://www.offshore-energy.biz/mol-and-jx-to-develop-ccs-value-chain-between-japan-and-australia/</t>
  </si>
  <si>
    <t>Energean CO2 storage and hydrogen plant</t>
  </si>
  <si>
    <t>Greece</t>
  </si>
  <si>
    <t>Energean Plc</t>
  </si>
  <si>
    <t>Prinos CO2 storage</t>
  </si>
  <si>
    <t>https://www.worldoil.com/news/2021/2/25/energean-proposes-500mm-carbon-storage-facility-in-northern-greece</t>
  </si>
  <si>
    <t>https://www.halliburton.com/en/about-us/press-release/energean-selects-halliburton-carbon-storage-subsurface-study-greece</t>
  </si>
  <si>
    <t>Energy Recovery Facility Edmonton EcoPark</t>
  </si>
  <si>
    <t>North London Waste Authority (NLWA)</t>
  </si>
  <si>
    <t>Bacton Thames Net Zero Initiative</t>
  </si>
  <si>
    <t>http://www.northlondonheatandpower.london/project/</t>
  </si>
  <si>
    <t>http://northlondonheatandpower.london/news/nlwa-takes-next-step-towards-carbon-capture-in-edmonton/</t>
  </si>
  <si>
    <t>https://www.nlwa.gov.uk/news/edmonton-ecopark-steps-closer-towards-net-zero-and-beyond-major-new-partnership</t>
  </si>
  <si>
    <t>Enhance Clive Sequestration Facility (ACTL) (ALB)</t>
  </si>
  <si>
    <t>Enhance Energy</t>
  </si>
  <si>
    <t>Alberta Carbon Trunk Line (ACTL)/Enhance Clive Sequestration Facility (ALB)</t>
  </si>
  <si>
    <t>https://enhanceenergy.com/megatonne-milestone-charting-a-new-and-cleaner-path-forward-by-capturing-co2-and-producing-lower-carbon-energy/</t>
  </si>
  <si>
    <t>https://alberta.csaregistries.ca/GHGR_Listing/AEOR_ListingDetail.aspx?ProjectId=157</t>
  </si>
  <si>
    <t>ENI Ravenna power plant</t>
  </si>
  <si>
    <t>https://www.eni.com/en-IT/operations/italy-ravenna-upstream-activities.html</t>
  </si>
  <si>
    <t>ENI Venice bio-refinery Porto Marghera</t>
  </si>
  <si>
    <t>Enid fertiliser (OK)</t>
  </si>
  <si>
    <t>Koch Nitrogen Company, Daylight Petroleum</t>
  </si>
  <si>
    <t>http://www.zeroco2.no/projects/enid-fertiliser-plant</t>
  </si>
  <si>
    <t>https://applications.deq.ok.gov/permitspublic/storedpermits/7971.pdf</t>
  </si>
  <si>
    <t>EnLink midstream network (LA)</t>
  </si>
  <si>
    <t>EnLink Midstream</t>
  </si>
  <si>
    <t>Enlink midstream network (LA)</t>
  </si>
  <si>
    <t>https://sustainability.enlink.com/carbon-solutions/</t>
  </si>
  <si>
    <t xml:space="preserve">Enquest CCS Project </t>
  </si>
  <si>
    <t>Enquest CCS Ltd</t>
  </si>
  <si>
    <t>https://www.enquest.com/media/press-releases/article/enquest-plc-awarded-offer-of-carbon-storage-licences</t>
  </si>
  <si>
    <t>https://www.nstauthority.co.uk/news-publications/news/2023/net-zero-boost-as-carbon-storage-licences-accepted/</t>
  </si>
  <si>
    <t>Equinor Mongstad refinery</t>
  </si>
  <si>
    <t>Equinor, Aker Solutions</t>
  </si>
  <si>
    <t>https://www.akersolutions.com/news/news-archive/2024/aker-solutions-to-support-the-industrial-transformation-of-mongstad/</t>
  </si>
  <si>
    <t>Equinor Smeaheia storage phase 1 (start up phase)</t>
  </si>
  <si>
    <t>Equinor</t>
  </si>
  <si>
    <t>Wilhelmshaven/Smeahia</t>
  </si>
  <si>
    <t>https://www.equinor.com/energy/smeaheia</t>
  </si>
  <si>
    <t>Equinor Smeaheia storage phase 2</t>
  </si>
  <si>
    <t>https://www.equinor.com/news/archive/20220405-awarded-smeaheia-polaris-co2-licenses</t>
  </si>
  <si>
    <t>Eramet Sauda</t>
  </si>
  <si>
    <t>Eramet Norway</t>
  </si>
  <si>
    <t>https://www.enova.no/om-enova/om-organisasjonen/teknologiportefoljen/planlegging-installasjon-og-drift-av-karbonfangst-pilotanlegg-i-eramet-norway-sauda/</t>
  </si>
  <si>
    <t>Ervia Cork CCS -  Aghada CCGT</t>
  </si>
  <si>
    <t>Ireland</t>
  </si>
  <si>
    <t>Aghata, Ervia Cork</t>
  </si>
  <si>
    <t>Ervia Cork CCS</t>
  </si>
  <si>
    <t>https://www.ervia.ie/who-we-are/carbon-capture-storage/Cork-CCUS-CEF-PreFEED-Study-Presentation-Final-Report.pdf</t>
  </si>
  <si>
    <t>Ervia Cork CCS - Irving refinery</t>
  </si>
  <si>
    <t>Irving Oil, Ervia Cork</t>
  </si>
  <si>
    <t>Ervia Cork CCS - Whitegate CCGT</t>
  </si>
  <si>
    <t>Whitegate, Ervia Cork</t>
  </si>
  <si>
    <t>EU2NSEA</t>
  </si>
  <si>
    <t>Equinor and partners (incl. Heidelberg Materials)</t>
  </si>
  <si>
    <t>https://network.bellona.org/content/uploads/sites/3/2023/01/EU-CO2-INFRASTRUCTURE-IN-BLOOM-1.pdf</t>
  </si>
  <si>
    <t>Everest</t>
  </si>
  <si>
    <t>Lhoist, Air Liquide</t>
  </si>
  <si>
    <t>https://climate.ec.europa.eu/eu-action/eu-funding-climate-action/innovation-fund/calls-proposals/large-scale-calls/projects-selected-grant-preparation_en</t>
  </si>
  <si>
    <t>https://www.linkedin.com/posts/lhoist_innovationfund-decarbonisation-sustainableindustry-activity-7090635543415279616-Vx6q/</t>
  </si>
  <si>
    <t>Exshaw Cement Carbon Capture (ALB)</t>
  </si>
  <si>
    <t>Lafarge Canada (Holcim group)</t>
  </si>
  <si>
    <t>https://www.eralberta.ca/projects/details/exshaw-cement-carbon-capture-and-bow-valley-decarbonization/</t>
  </si>
  <si>
    <t>https://www.cbc.ca/news/canada/calgary/cement-carbon-capture-1.6968299</t>
  </si>
  <si>
    <t>Exxonmobil Antwerp Refinery CCS</t>
  </si>
  <si>
    <t>Exxonmobil</t>
  </si>
  <si>
    <t>ExxonMobil Baytown petrochemical site (TX)</t>
  </si>
  <si>
    <t>ExxonMobil, Honeywell (tech), Technip Energies (FEED)</t>
  </si>
  <si>
    <t>Houston CCS Hub</t>
  </si>
  <si>
    <t>https://corporate.exxonmobil.com/News/Newsroom/News-releases/2022/0301_ExxonMobil-planning-hydrogen-production-carbon-capture-and-storage-at-Baytown-complex</t>
  </si>
  <si>
    <t>https://corporate.exxonmobil.com/news/newsroom/news-releases/2023/0130_exxonmobil-awards-feed-for-worlds-largest-low-carbon-hydrogen-facility?sf174743581=1</t>
  </si>
  <si>
    <t>https://www.honeywell.com/us/en/press/2023/02/exxonmobil-to-deploy-honeywell-carbon-capture-technology</t>
  </si>
  <si>
    <t>ExxonMobil Fawley refinery</t>
  </si>
  <si>
    <t>ExxonMobil (UK affilIate Esso), SGN, Macquarie</t>
  </si>
  <si>
    <t>https://gaspathways.com/exxonmobil-in-uk-blue-hydrogen-partnership-397</t>
  </si>
  <si>
    <t>https://www.thesolentcluster.com/news/member-of-the-solent-cluster-wins-6-million-in-uk-government-funding-for-fawley-saf-feasibility-study/</t>
  </si>
  <si>
    <t>https://www.exxonmobil.co.uk/news/newsroom/uk-news-releases/2023/1128_exxonmobil-fawley-investment-will-strengthen-britains-energy-security</t>
  </si>
  <si>
    <t>ExxonMobil Vermilion parish storage: Pecan island (LA)</t>
  </si>
  <si>
    <t>ExxonMobil</t>
  </si>
  <si>
    <t>https://corporate.exxonmobil.com/news/newsroom/news-releases/2022/1012_landmark-emissions-reduction-project-in-louisiana-announced</t>
  </si>
  <si>
    <t>https://corporate.exxonmobil.com/news/news-releases/2023/0601_lcs-nucor-agreement</t>
  </si>
  <si>
    <t>Ferrybridge EfW</t>
  </si>
  <si>
    <t>Enfinium, Navigator CO2, Bechtel (feasibility)</t>
  </si>
  <si>
    <t>https://enfinium.co.uk/uks-first-train-to-zero-carbon-capture-rail-link-set-to-decarbonise-yorkshire-energy-facility-through-connection-to-teesside-terminal/</t>
  </si>
  <si>
    <t>https://enfinium.co.uk/enfinium-announces-plans-for-up-to-800m-investment-in-carbon-capture-project/</t>
  </si>
  <si>
    <t>https://enfinium.co.uk/enfinium-proposal-to-decarbonise-largest-energy-from-waste-site-in-uk-designated-as-nationally-significant-by-uk-government/</t>
  </si>
  <si>
    <t>Fidelis Project Cyclus Baton Rouge (LA)</t>
  </si>
  <si>
    <t>Fidelis new energy  (Cyclus Steam &amp; Power, Gron Fuels, Capio Sequestration)</t>
  </si>
  <si>
    <t>https://www.babcock.com/home/about/corporate/news/babcock-and-wilcox-with-kiewit-industrial-to-develop-and-deliver-worlds-largest-net-negative-co2-biomass-to-energy-facility-oxybright-carbon-capture-technologies</t>
  </si>
  <si>
    <t>https://ccusmap.com/markers/project-detail/capio-sherburne-sequestration</t>
  </si>
  <si>
    <t>Fife ethylene plant</t>
  </si>
  <si>
    <t>ExxonMobil, (Shell?)</t>
  </si>
  <si>
    <t>https://corporate.exxonmobil.com/news/news-releases/2021/1006_exxonmobil-increases-participation-in-scotland-carbon-capture-and-storage-project</t>
  </si>
  <si>
    <t>Filbornaverket plant Helsingborg</t>
  </si>
  <si>
    <t xml:space="preserve"> Öresundskraft, Capsol Technologies (tech provider)</t>
  </si>
  <si>
    <t>https://helsingborg.se/makingofasmartercity/new-technology-to-reduce-emissions-plans-for-a-ccs-facility-in-helsingborg/</t>
  </si>
  <si>
    <t>https://www.mynewsdesk.com/se/oresundskraft/pressreleases/oeresundskraft-in-unique-test-for-carbon-capture-funded-by-swedish-energy-agency-3180497</t>
  </si>
  <si>
    <t>Filer City Station plant (MI)</t>
  </si>
  <si>
    <t>CMS Enterprises Co, Babcock &amp; Wilcox (feasbility study), NorthStar Clean Energy, Tondu Corp</t>
  </si>
  <si>
    <t>https://www.babcock.com/home/about/corporate/news/babcock-and-wilcox-awarded-contract-to-study-bioenergy-with-carbon-capture-and-storage-beccs-conversion-for-coal-power-plant-in-michigan</t>
  </si>
  <si>
    <t>FlagshipTHREE Umea Dava plant</t>
  </si>
  <si>
    <t>Liquid Wind, Umea Energi</t>
  </si>
  <si>
    <t>https://www.liquidwind.se/news/liquidwind-plans-for-third-electrofuel-facility-in-swedish-umea</t>
  </si>
  <si>
    <t>https://www.liquidwind.se/facilities</t>
  </si>
  <si>
    <t>FlagshipTWO Sundsvall Korsta plant</t>
  </si>
  <si>
    <t>Liquid Wind, Sundsvall Energi</t>
  </si>
  <si>
    <t>https://www.liquidwind.se/news/liquidwind-announces-plans-for-flagshiptwo-sundsvall</t>
  </si>
  <si>
    <t>Fluxys Tournai-Zeebrugge</t>
  </si>
  <si>
    <t>Fluxys, Heidelberg Materials</t>
  </si>
  <si>
    <t>https://www.fluxys.com/en/about-us/energy-transition/hydrogen-carbon-infrastructure/carbon_preparing-to-build-the-network</t>
  </si>
  <si>
    <t xml:space="preserve">Fluxys-Equinor Belgium-Norway Trunk Line </t>
  </si>
  <si>
    <t>Belgium-Norway</t>
  </si>
  <si>
    <t>Fluxys, Equinor, Heidelberg Materials</t>
  </si>
  <si>
    <t>German Carbon Grid</t>
  </si>
  <si>
    <t>https://www.industryandenergy.eu/ccus/fluxys-and-equinor-to-move-captured-co2-to-north-sea-storage/</t>
  </si>
  <si>
    <t>https://www.equinor.com/news/fluxys-and-equinor-launch-solution-large-scale-decarbonisation</t>
  </si>
  <si>
    <t>Fortum waste solutions Nyborg</t>
  </si>
  <si>
    <t>Fortum waste solutions, Aker CC (feasibility)</t>
  </si>
  <si>
    <t>https://akercarboncapture.com/?cision_id=2F2C1FEABAAA8402</t>
  </si>
  <si>
    <t>Four corners carbon storage hub (NM)</t>
  </si>
  <si>
    <t>New Mexico Institute of Mining and Technology</t>
  </si>
  <si>
    <t>Four Corners Power Plant Integrated Carbon Capture and Storage (NM)</t>
  </si>
  <si>
    <t>Navajo Transitional Energy Company, LLC (NTEC), DOE Office of Clean Energy Demonstrations</t>
  </si>
  <si>
    <t>Freeport LNG CCS (TX)</t>
  </si>
  <si>
    <t>Talos Energy, Freeport LNG, Storegga</t>
  </si>
  <si>
    <t>https://www.talosenergy.com/news/press-release-details/2021/Talos-Energy-And-Freeport-LNG-To-Develop-Carbon-Capture-And-Sequestration-Project-On-Texas-Gulf-Coast/default.aspx</t>
  </si>
  <si>
    <t>Frevar KF / Kvitebjorn BIO-EL (Borg CO2) (2 facilities)</t>
  </si>
  <si>
    <t>Borg Havn, Kvitebjørn Bio-El and FREVAR</t>
  </si>
  <si>
    <t>FS Lucas do Rio Verde ethanol biorefinery complex</t>
  </si>
  <si>
    <t>Brazil</t>
  </si>
  <si>
    <t>Summit Agricultural group, Tapajós Participações S.A, FS Bioenergy, Schlumberger (Storage studies)</t>
  </si>
  <si>
    <t>Central and South America</t>
  </si>
  <si>
    <t>https://bioenergyinternational.com/biofuels-oils/fs-plans-south-americas-first-beccs-project-at-fs-lucas-do-rio-verde-in-brazil</t>
  </si>
  <si>
    <t>https://api.mziq.com/mzfilemanager/v2/d/34aeec8a-d08e-440f-ad7f-324e1e1e7745/68cf1f6d-4617-75a2-7b52-410a119594ca?origin=2</t>
  </si>
  <si>
    <t>https://bioenergyinternational.com/fs-plans-south-americas-first-beccs-project-at-fs-lucas-do-rio-verde-in-brazil/</t>
  </si>
  <si>
    <t>https://www.fs.agr.br/en/sustainability/sustainability-reports/</t>
  </si>
  <si>
    <t>https://petroleohoje.editorabrasilenergia.com.br/schlumberger-perto-de-perfurar-poco-para-ccs-no-mato-grosso/</t>
  </si>
  <si>
    <t>Future Biogas plants phase 1</t>
  </si>
  <si>
    <t>Future Biogas</t>
  </si>
  <si>
    <t>https://northernlightsccs.com/news/northern-lights-signs-memorandum-of-understanding-mou-with-future-biogas/</t>
  </si>
  <si>
    <t>https://www.climatexchange.org.uk/media/5132/cxc-review-of-international-delivery-of-negative-emission-technologies-february-2022.pdf</t>
  </si>
  <si>
    <t>Future Biogas plants phase 2</t>
  </si>
  <si>
    <t>G2 Net-Zero (LA)</t>
  </si>
  <si>
    <t>Net Power, Siemens, EJM</t>
  </si>
  <si>
    <t>https://www.offshore-energy.biz/g2-advances-its-net-zero-lng-export-project/</t>
  </si>
  <si>
    <t>https://www.globalccsinstitute.com/wp-content/uploads/2021/10/2021-Global-Status-of-CCS-Report_Global_CCS_Institute.pdf</t>
  </si>
  <si>
    <t>https://lngprime.com/americas/mcdermott-bags-g2-power-plant-feed-gig/38487/</t>
  </si>
  <si>
    <t>http://g2netzero.com/about.html</t>
  </si>
  <si>
    <t>Gärstaverket plant Linkoping</t>
  </si>
  <si>
    <t>Teniska Verken, Capsol Technologies (feasibility)</t>
  </si>
  <si>
    <t>https://www.capsoltechnologies.com/</t>
  </si>
  <si>
    <t>Gas power CCUS MoU</t>
  </si>
  <si>
    <t>GE Vernova, CARBONCO, BP, PLN Nusantara (Jawa 1)</t>
  </si>
  <si>
    <t>https://www.ge.com/news/press-releases/ge-vernova-carbonco-bp-pln-nusantara-and-jawa-1-to-develop-ccus-value-chain</t>
  </si>
  <si>
    <t>Gassum storage/Fyrkat network (Norne carbon storage hub)</t>
  </si>
  <si>
    <t>Fidelis new energy, Gas Storage Denmark, Capio Danmark (PCI coordinator), Ross Energy</t>
  </si>
  <si>
    <t>Norne carbon storage hub</t>
  </si>
  <si>
    <t>https://www.prnewswire.com/news-releases/fidelis-new-energy-to-store-3-million-tons-of-co2-in-denmark-in-2026-and-10-million-tons-by-2028-301638454.html</t>
  </si>
  <si>
    <t>https://www.prnewswire.com/da/pressemeddelelser/gas-storage-denmark-and-fidelis-new-energy-enter-into-a-collaboration-on-co2-storage-301823959.html</t>
  </si>
  <si>
    <t>https://norneccs.com/en/news/</t>
  </si>
  <si>
    <t>https://www.prnewswire.com/news-releases/aalborg-portland-and-fidelis-new-energy-enter-into-letter-of-intent-for-onshore-co2-storage-301845314.html</t>
  </si>
  <si>
    <t>https://www.prnewswire.com/news-releases/carbon-centric-and-fidelis-new-energy-enter-into-letter-of-intent-for-onshore-co2-storage-301913781.html</t>
  </si>
  <si>
    <t>Gemah field EOR</t>
  </si>
  <si>
    <t>Petrochina (Daqing Petroleum Services), PT Gemilang Buana Utama</t>
  </si>
  <si>
    <t>https://www.asiaccusnetwork-eria.org/blog-2-1/indonesia-reaches-an-initial-milestone-in-ccus</t>
  </si>
  <si>
    <t>Gemini (formerly Denbury Ascension Parish sequestration) (LA)</t>
  </si>
  <si>
    <t>Gemini (LA)</t>
  </si>
  <si>
    <t>https://www.denbury.com/investor-relations/press-releases/press-release-details/2022/Denbury-Expands-CO2-Sequestration-Portfolio-With-Additional-Site-in-Louisianas-Industrial-Corridor/default.aspx</t>
  </si>
  <si>
    <t>https://www.denbury.com/wp-content/uploads/2022/11/DEN-Pipeline-Schedule.pdf</t>
  </si>
  <si>
    <t>https://www.energytech.com/energy-storage/article/21253915/denbury-gains-ccs-rights-for-proposed-hydrogenammonia-complex-in-louisiana</t>
  </si>
  <si>
    <t>Genesee CCS (ALB)</t>
  </si>
  <si>
    <t>Capital Power, Enbridge (T&amp;S provider)</t>
  </si>
  <si>
    <t>Open Access Wabamun Carbon Hub (ALB)</t>
  </si>
  <si>
    <t>https://www.capitalpower.com/media/media_releases/capital-power-and-enbridge-collaborate-to-reduce-co2-emissions-in-alberta/</t>
  </si>
  <si>
    <t>https://www.capitalpower.com/media/media_releases/capital-power-advances-carbon-capture-project-at-genesee/</t>
  </si>
  <si>
    <t>Hydrocarbons Agency Croatia</t>
  </si>
  <si>
    <t>Geovault Carnarvon Basin CCS assessment</t>
  </si>
  <si>
    <t>Buru Energy (Geovault) and Energy Resources Ltd</t>
  </si>
  <si>
    <t>https://www.buruenergy.com/site/PDF/4bae9a34-0ffa-4e0e-8489-040130e66b92/BuruofferedGovernmentGrantforonshoreCCSProject</t>
  </si>
  <si>
    <t>Gerald Gentleman Station Carbon Capture (NE)</t>
  </si>
  <si>
    <t>ION Engineering, Nebraska Public Power District, Siemens, Koch Modular, Sargent &amp; Lundy</t>
  </si>
  <si>
    <t>https://www.nppd.com/press-releases/department-of-energy-awards-funding-for-phase-ii-of-carbon-capture-study-for-gentleman-station?locale=en</t>
  </si>
  <si>
    <t>German carbon transport grid</t>
  </si>
  <si>
    <t>Open Grid Europe (OGE), TES</t>
  </si>
  <si>
    <t>German Carbon transport grid</t>
  </si>
  <si>
    <t>https://oge.net/en/press-releases/2022/oge-and-tes-join-forces-to-develop-a-1-000-km-co-2-transmission-system</t>
  </si>
  <si>
    <t>Getica CCS - Turceni power plant</t>
  </si>
  <si>
    <t>Romania</t>
  </si>
  <si>
    <t>ISPE (feasibility), Alstom (feasibility) Oltenia, Transgaz</t>
  </si>
  <si>
    <t>https://static1.squarespace.com/static/5672ab009cadb60e553e3529/t/5a003971652dea4f7209d172/1509964149010/UEFISCDI_Oct2017.pdf</t>
  </si>
  <si>
    <t>https://www.globalccsinstitute.com/resources/publications-reports-research/getica-ccs-demo-project-romania-feasibility-study-overview-report-to-the-global-ccs-institute-public-report/</t>
  </si>
  <si>
    <t>GeZero carbon capture project (Geseke)</t>
  </si>
  <si>
    <t>Heidelberg Materials, Wintershall Dea (T&amp;S)</t>
  </si>
  <si>
    <t>https://www.heidelbergmaterials.com/en/pr-2023-07-13</t>
  </si>
  <si>
    <t>Ghent Carbon Hub</t>
  </si>
  <si>
    <t>Fluxys, ArcelorMittal, North Sea Port</t>
  </si>
  <si>
    <t>https://www.fluxys.com/en/press-releases/fluxys-group/2022/220818_press_ghent_carbon_hub</t>
  </si>
  <si>
    <t>Gismarvik CO2 hub</t>
  </si>
  <si>
    <t>Horisont Energi, EON</t>
  </si>
  <si>
    <t>Gismarvik CO2 hub/Errai project</t>
  </si>
  <si>
    <t>Glacial Lakes Energy Aberdeen biorefinery (SD)</t>
  </si>
  <si>
    <t>Glacial Lakes Energy, Summit Carbon Solutions</t>
  </si>
  <si>
    <t>Glacial Lakes Energy Mina biorefinery (SD)</t>
  </si>
  <si>
    <t>Glacial Lakes Energy Watertown biorefinery (SD)</t>
  </si>
  <si>
    <t>Glacier Gas Plant CCS full capacity (ALB)</t>
  </si>
  <si>
    <t xml:space="preserve"> Entropy Inc. ABC Engineering, University of Regina</t>
  </si>
  <si>
    <t>https://www.newswire.ca/news-releases/advantage-announces-advanced-modular-carbon-capture-and-storage-mccs-technology-first-commercial-mccs-deployment-at-glacier-and-founding-of-entropy-inc--817009085.html</t>
  </si>
  <si>
    <t>https://entropyinc.com/</t>
  </si>
  <si>
    <t>https://www.newswire.ca/news-releases/entropy-inc-provides-operational-update-on-glacier-ccs-project-854756477.html</t>
  </si>
  <si>
    <t>https://www.energyintel.com/0000018c-ace3-dd84-a3fd-bfe3ee4d0000</t>
  </si>
  <si>
    <t>Global thermostat headquarters plant (CO)</t>
  </si>
  <si>
    <t>Global Thermostat</t>
  </si>
  <si>
    <t>https://www.globalthermostat.com/news-and-updates/global-thermostat-colorado-headquarters</t>
  </si>
  <si>
    <t>https://www.canarymedia.com/articles/carbon-capture/a-buzzy-new-carbon-removal-plant-is-catching-and-releasing-co2</t>
  </si>
  <si>
    <t>Go4ECOPlant Lafarge Polska Kujawy plant</t>
  </si>
  <si>
    <t>Poland</t>
  </si>
  <si>
    <t>Lafarge Cement Polska (Holcim Group), Air Liquide, Protech Sp. z o. o. (FEED)</t>
  </si>
  <si>
    <t>https://www.go4ecoplanet.com/blog/lafarge-projekt-kujawy-go4ecoplanet-z-pozytywna-decyzja-srodowiskowa</t>
  </si>
  <si>
    <t>GO4ZERO Oburg cement plant</t>
  </si>
  <si>
    <t>Holcim Group, TotalEnergies, Air Liquide</t>
  </si>
  <si>
    <t>https://totalenergies.com/media/news/press-releases/TotalEnergies_and_Holcim_Join_Forces_for_First_Carbon-Free_Cement_Plant</t>
  </si>
  <si>
    <t>https://www.airliquide.com/sites/airliquide.com/files/2023-05/air-liquide-and-holcim-collaborate-project-decarbonize-cement-production-belgium_6450b11c65bc4.pdf</t>
  </si>
  <si>
    <t>https://www.globalcement.com/news/item/15498-holcim-belgium-secures-environmental-permit-for-obourg-cement-plant-kiln-upgrade</t>
  </si>
  <si>
    <t>Golden Grain Energy Mason City biorefinery (IA)</t>
  </si>
  <si>
    <t>Golden Grain Energy, Summit Carbon Solutions</t>
  </si>
  <si>
    <t>Gonfreville Raffinerie</t>
  </si>
  <si>
    <t>TotalEnergies, Air Liquide</t>
  </si>
  <si>
    <t>https://www.gasworld.com/air-liquide-and-totalenergies-join-forces-to-develop-normandy-ccs-project/2021712.article</t>
  </si>
  <si>
    <t>Goose Lake (LA)</t>
  </si>
  <si>
    <t xml:space="preserve">Gulf Coast Sequestration </t>
  </si>
  <si>
    <t>Gulf Coast Sequestration Hub(LA)</t>
  </si>
  <si>
    <t>Gorgon CCS</t>
  </si>
  <si>
    <t>Chevron (47.3 per cent, operator), Shell (25 per cent), ExxonMobil (25 per cent), Osaka Gas (1.25 per cent), Tokyo Gas (1 per cent), Chubu Electric Power (0.417 per cent)</t>
  </si>
  <si>
    <t>https://australia.chevron.com/our-businesses/gorgon-project/carbon-capture-and-storage</t>
  </si>
  <si>
    <t>https://www.chevron.com/-/media/shared-media/documents/chevron-sustainability-report-2021.pdf</t>
  </si>
  <si>
    <t>Grain CCGT power station</t>
  </si>
  <si>
    <t>Uniper, Technip Energies (PDP), Aker CC (PDP), Oilex</t>
  </si>
  <si>
    <t>Acorn Isle of Grain to Peterhead shipping/Acorn CCS</t>
  </si>
  <si>
    <t>https://akercarboncapture.com/?cision_id=9C7536F6175F2E14</t>
  </si>
  <si>
    <t>https://www.uniper.energy/united-kingdom/news/uniper-awards-design-study-contracts-for-grain-carbon-capture-project/</t>
  </si>
  <si>
    <t>Grand Ouest CO2 (GOCO₂) transport</t>
  </si>
  <si>
    <t>Grand Ouest, GRT Gaz, Heidelberg Materials, Elengy, Lafarge, Lhoist, TotalEnergies</t>
  </si>
  <si>
    <t>GoCO2</t>
  </si>
  <si>
    <t>https://www.heidelbergmaterials.fr/fr/groupe-goco2-un-projet-denvergure-de-captage-de-conditionnement-et-de-transport-du-co2-dorigine-industrielle-en-pays-de-la-loire-et-pour-le-grand-ouest</t>
  </si>
  <si>
    <t>https://www.globalcement.com/news/item/15992-go-co2-carbon-capture-and-storage-project-launched</t>
  </si>
  <si>
    <t>Grande Prairie Net Zero Gateway (ALB)</t>
  </si>
  <si>
    <t xml:space="preserve"> Keyera Corp.,  Entropy Inc., NorthRiver Midstream</t>
  </si>
  <si>
    <t>Grande Prairie Net Zero Gateway, NorthRiver Midstream Inc. (ALB)</t>
  </si>
  <si>
    <t>https://www.keyera.com/new-ventures/</t>
  </si>
  <si>
    <t>Grandpuits biorefinery</t>
  </si>
  <si>
    <t>Air Liquide, TotalEnergies</t>
  </si>
  <si>
    <t>https://www.airliquide.com/group/press-releases-news/2022-11-22/circular-economy-air-liquide-and-totalenergies-innovate-produce-renewable-and-low-carbon-hydrogen</t>
  </si>
  <si>
    <t>Granite Falls biorefinery (MN)</t>
  </si>
  <si>
    <t>Granite Falls Energy, Summit Carbon Solutions</t>
  </si>
  <si>
    <t>Great Carbon Valley DAC</t>
  </si>
  <si>
    <t>Kenya</t>
  </si>
  <si>
    <t>Climeworks, Great Carbon Valley</t>
  </si>
  <si>
    <t>Africa</t>
  </si>
  <si>
    <t>https://climeworks.com/news/climeworks-and-great-carbon-valley-chart-path-to-large-scale-dac</t>
  </si>
  <si>
    <t>Great Plains Synfuel Plant (ND) Weyburn-Midale (SK)</t>
  </si>
  <si>
    <t>Dakota Gasification company, Cenovus, Whitecap, Cardinal</t>
  </si>
  <si>
    <t>Weyburn storage unit</t>
  </si>
  <si>
    <t>http://www.zeroco2.no/projects/the-great-plains-synfuels-plant</t>
  </si>
  <si>
    <t>https://www.dakotagas.com/about-us/co2-capture-and-storage/</t>
  </si>
  <si>
    <t>https://www.wcap.ca/sustainability/co2-sequestration</t>
  </si>
  <si>
    <t>Great Plains Synfuel Plant to sequestration (ND)</t>
  </si>
  <si>
    <t>Dakota Gasification company</t>
  </si>
  <si>
    <t>https://dakotagas.com/News-Center/news-briefs/Storage-facility-permit-application-submitted-for-carbon-dioxide-sequestration-project</t>
  </si>
  <si>
    <t>https://dakotagas.com/News-Center/basin-today-stories/Cracking-the-code-Carbon-sequestration-project-will-benefit-environment,-co-op</t>
  </si>
  <si>
    <t>Green Plains Atkinson biorefinery (NE)</t>
  </si>
  <si>
    <t>Green Plains Atkinson, Summit Carbon Solutions</t>
  </si>
  <si>
    <t>Green Plains Central City biorefinery (NE)</t>
  </si>
  <si>
    <t>Green Plains Central City, Summit Carbon Solutions</t>
  </si>
  <si>
    <t>Green Plains Fairmont biorefinery (MN)</t>
  </si>
  <si>
    <t>Green Plains Fairmont, Summit Carbon Solutions</t>
  </si>
  <si>
    <t>Green Plains Otter Tail biorefinery (MN)</t>
  </si>
  <si>
    <t>Green Plains Otter Tail, Summit Carbon Solutions</t>
  </si>
  <si>
    <t>Green Plains Shenandoah biorefinery (MN)</t>
  </si>
  <si>
    <t>Green Plains Shenandoah, Summit Carbon Solutions</t>
  </si>
  <si>
    <t>Green Plains Superior biorefinery (IA)</t>
  </si>
  <si>
    <t>Green Plains Superior, Summit Carbon Solutions</t>
  </si>
  <si>
    <t>Green Plains Wood River biorefinery (NE)</t>
  </si>
  <si>
    <t>Green Plains Wood River, Summit Carbon Solutions</t>
  </si>
  <si>
    <t>Green Plains York biorefinery (NE)</t>
  </si>
  <si>
    <t>Green Plains York, Summit Carbon Solutions</t>
  </si>
  <si>
    <t>GreenCem</t>
  </si>
  <si>
    <t>Aalborg Portland, Aalborg University, DFDS, Aalborg Energi Holding, Port of Aalborg, REintegrate, RenoNord and Hydrogen Valley</t>
  </si>
  <si>
    <t>https://aalborgportlandholding.com/en/sustainability/Roadmap-to-2030#:~:text=In%20October%202022%2C%20a%20pilot,2%20per%20year%20by%202030.</t>
  </si>
  <si>
    <t>https://greencem.dk/the-project/</t>
  </si>
  <si>
    <t>GreenGen Huaneng IGCC Project Phase III (Tianjin)</t>
  </si>
  <si>
    <t>Huaneng</t>
  </si>
  <si>
    <t>Greenview Region CCS Project (ALB)</t>
  </si>
  <si>
    <t xml:space="preserve"> ARC Resources Ltd. </t>
  </si>
  <si>
    <t>GRTGaz CO2 backbone</t>
  </si>
  <si>
    <t>GRTGaz</t>
  </si>
  <si>
    <t>https://www.grtgaz.com/en/our-energy-transition/co2-transport</t>
  </si>
  <si>
    <t>Guanghui Energy CCUS integration project Phase 1 (Xinjiang)</t>
  </si>
  <si>
    <t>Guanghui Energy CO., Ltd, China Kunlun Engineering  (EPC)</t>
  </si>
  <si>
    <t>https://www.mrchub.com/news/406625-guanghui-energy-builds-up-carbon-capture-utilisation-and-storage-demonstration-project-in-china</t>
  </si>
  <si>
    <t>http://www.sse.com.cn/disclosure/listedinfo/announcement/c/new/2022-03-15/600256_20220315_1_lNNoFbgj.pdf</t>
  </si>
  <si>
    <t>https://news.bjx.com.cn/html/20230828/1328476.shtml</t>
  </si>
  <si>
    <t>Gulf Coast Hydrogen Hub HyVelocity (TX)</t>
  </si>
  <si>
    <t xml:space="preserve">GTI Energy, AES Corporation, Air Liquide, Chevron, Mitsubishi Power Americas, Chevron, Orsetd, Shell, Sempra Infrastructure </t>
  </si>
  <si>
    <t>https://www.hyvelocityhub.com/</t>
  </si>
  <si>
    <t>https://www.chevron.com/newsroom/2023/q1/hydrogen-hub-proposed-for-us-gulf-coast</t>
  </si>
  <si>
    <t>Gulf Coast Sequestration Hub Lake Charles (LA)</t>
  </si>
  <si>
    <t>https://gcscarbon.com/media/gulf-coast-sequestration-makes-initial-filing-to-obtain-epa-permit-for-ccs-project/</t>
  </si>
  <si>
    <t>https://gcscarbon.com/gulf-coast-sequestration-and-climeworks-sign-mou-to-develop-first-direct-air-capture-and-storage-hub-on-the-gulf-coast-in-louisiana/</t>
  </si>
  <si>
    <t>https://www.businesswire.com/news/home/20221121005556/en/Gulf-Coast-Sequestration-and-Climeworks-Sign-MOU-to-Develop-First-Direct-Air-Capture-and-Storage-Hub-on-the-Gulf-Coast-in-Louisiana</t>
  </si>
  <si>
    <t>Gundih CCUS EGR</t>
  </si>
  <si>
    <t>Pertamina, ITB, JGC, J-Power, JANUS (supported by METI Japan)</t>
  </si>
  <si>
    <t>https://www.upstreamonline.com/energy-transition/pertamina-drives-forward-with-ambitious-indonesia-ccus-project-plans/2-1-1032284</t>
  </si>
  <si>
    <t>Gwangyang LNG terminal blue hydrogen</t>
  </si>
  <si>
    <t>POSCO, ADNOC</t>
  </si>
  <si>
    <t>https://hydrogen-central.com/posco-teams-up-with-uae-adnoc-for-blue-hydrogen/</t>
  </si>
  <si>
    <t>H-vision plant 1</t>
  </si>
  <si>
    <t>bp</t>
  </si>
  <si>
    <t>https://www.h-vision.nl/en</t>
  </si>
  <si>
    <t>H2-gateway</t>
  </si>
  <si>
    <t>NHN, Gasterra, Gasunie, Port den Helder</t>
  </si>
  <si>
    <t>https://topsectorenergie.nl/documents/99/TKI_Nieuw_Gas-Overview_Hydrogen_projects_in_the_Netherlands_-_version_-_220627.pdf</t>
  </si>
  <si>
    <t>https://www.porttechnology.org/news/port-of-amsterdam-unveils-blue-hydrogen-plant-plan/</t>
  </si>
  <si>
    <t>H21 Leeds City Gate - Teesside hydrogen</t>
  </si>
  <si>
    <t>Northern Gas Networks</t>
  </si>
  <si>
    <t>https://h21.green/projects/h21-leeds-city-gate/</t>
  </si>
  <si>
    <t>H2BE</t>
  </si>
  <si>
    <t>Equinor, Engie</t>
  </si>
  <si>
    <t>https://www.equinor.com/en/news/20211215-launch-h2be-project-hydrogen-belgium.html</t>
  </si>
  <si>
    <t>H2GE Rostock</t>
  </si>
  <si>
    <t>Equinor, VNG</t>
  </si>
  <si>
    <t>https://www.equinor.com/energy/hydrogen</t>
  </si>
  <si>
    <t>H2NorthEast Phase 1</t>
  </si>
  <si>
    <t>Kellas Midstream, SSE Thermal (50%),Worley (FEED)</t>
  </si>
  <si>
    <t>https://www.kellasmidstream.com/news-kellas/kellas-announces-the-development-of-h2northeast-a-low-carbon-blue-hydrogen-production-site-in-teesside-uk#:~:text=H2%20NorthEast%20is%20being%20developed,blue%20hydrogen%20capacity%20by%202030.</t>
  </si>
  <si>
    <t>https://www.nof.co.uk/news/2023/october/kellas-midstream-enters-feed-for-its-h2northeast-hydrogen-project-on-teesside/</t>
  </si>
  <si>
    <t>https://www.sse.com/news-and-views/2023/12/sse-thermal-acquires-50-stake-in-h2northeast-hydrogen-project/</t>
  </si>
  <si>
    <t>H2NorthEast Phase 2</t>
  </si>
  <si>
    <t>Kellas Midstream, SSE Thermal (50%)</t>
  </si>
  <si>
    <t>H2Perth Woodside</t>
  </si>
  <si>
    <t>Woodside, McDermott (pre-FEED)</t>
  </si>
  <si>
    <t>https://files.woodside/docs/default-source/media-releases/woodside%27s-h2perth-to-make-western-australia-a-hydrogen-powerhouse.pdf?sfvrsn=3857b154_2</t>
  </si>
  <si>
    <t>https://research.csiro.au/hyresource/h2perth-new-project-added-november-2021/</t>
  </si>
  <si>
    <t>https://www.upstreamonline.com/energy-transition/carbon-capture-investment-decisions-to-watch-in-2022-woodmac/2-1-1160392?utm_content=205143412&amp;utm_medium=social&amp;utm_source=linkedin&amp;hss_channel=lcp-68760596</t>
  </si>
  <si>
    <t>https://www.mcdermott-investors.com/news/press-release-details/2022/McDermott-Awarded-Pre-FEED-Contract-for-Proposed-H2Perth-Project-from-Woodside-Energy/default.aspx</t>
  </si>
  <si>
    <t>Habshan-Bab gas plant (Abu Dhabi CCS Phase 2)</t>
  </si>
  <si>
    <t>ADNOC, Petrofac (EPC)</t>
  </si>
  <si>
    <t>https://adnoc.ae/en/news-and-media/press-releases/2020/adnoc-to-build-on-its-position-as-one-of-the-least-carbon-intensive-oil-and-gas-producers</t>
  </si>
  <si>
    <t>https://www.petrofac.com/media/news/adnoc-gas-awards-petrofac-contract-for-landmark-carbon-capture-utilisation-and-storage-project/</t>
  </si>
  <si>
    <t>https://www.adnoc.ae/en/News-and-Media/Press-Releases/2023/ADNOC-to-Invest-in-One-of-the-Largest-Integrated-Carbon-Capture-Projects-in-MENA</t>
  </si>
  <si>
    <t>Hackberry Carbon Sequestration (HCS) project at Cameron LNG (LA)</t>
  </si>
  <si>
    <t>TotalEnergies, Sempra Infrastructure, Mitsui, and Mitsubishi</t>
  </si>
  <si>
    <t>https://totalenergies.com/media/news/press-releases/united-states-launch-carbon-capture-project-decarbonize-liquefied-natural</t>
  </si>
  <si>
    <t>Hail and Gasha CO2 Management</t>
  </si>
  <si>
    <t>ADNOC (70%), Eni (10% - Only CO2 capture), Wintershall Dea (10%), OMV (5%), Lukoil (5%)</t>
  </si>
  <si>
    <t>https://www.adnoc.ae/our-projects/hail-ghasha/ghasha-mega-project</t>
  </si>
  <si>
    <t>https://www.h2-view.com/story/adnoc-takes-fid-on-17bn-carbon-capture-and-hydrogen-project/2100053.article.article/</t>
  </si>
  <si>
    <t>Hanson Padeswood Cement Works CCS</t>
  </si>
  <si>
    <t>Heidelberg Materials, Hanson, Mitsubishi HI (pre-FEED/FEED), Worley (FEED)</t>
  </si>
  <si>
    <t>https://www.constructionnews.co.uk/news/cement-giant-aims-to-bring-uk-first-net-zero-plant-online-by-2027-06-04-2022/</t>
  </si>
  <si>
    <t>https://www.mhi.com/news/22121502.html</t>
  </si>
  <si>
    <t>Harvest Bend CCS White Castle (LA)</t>
  </si>
  <si>
    <t xml:space="preserve">Harvest Bend CCS LLC (Talos Energy, Enlink Midsteram, Storegga) </t>
  </si>
  <si>
    <t>Harvest Bend (LA)</t>
  </si>
  <si>
    <t>https://www.harvestbendla.com/</t>
  </si>
  <si>
    <t>Havnso storage/Trelleborg network (Norne carbon storage hub)</t>
  </si>
  <si>
    <t>Havstjerne CO2 storage (Altera Stella Maris CCS Project Phase 1)</t>
  </si>
  <si>
    <t>Altera (50%), Wintershall Dea (50%</t>
  </si>
  <si>
    <t>https://www.globenewswire.com/news-release/2023/03/31/2638405/0/en/Altera-Infrastructure-and-Wintershall-Dea-Awarded-License-to-Develop-CO2-Storage-on-Norwegian-Continental-Shelf.html</t>
  </si>
  <si>
    <t>Haynesville Shale natural gas (LA)</t>
  </si>
  <si>
    <t>https://www.businesswire.com/news/home/20220804005835/en/CapturePoint-Solutions-LLC-Announces-Intended-Partnership-With-Energy-Transfer</t>
  </si>
  <si>
    <t>https://www.momentummidstream.com/news/m6-midstream-announces-final-investment-decision-and-completes-two-acquisitions-establish</t>
  </si>
  <si>
    <t>Heartland Greenway Storage (HGSS) NVC-1 (IL)</t>
  </si>
  <si>
    <t>Heartland Greenway Carbon Storage LLC (Navigator Carbon Ventures)</t>
  </si>
  <si>
    <t>Heartland Greenway Storage: Compass (IL)</t>
  </si>
  <si>
    <t>Heartland Greenway Carbon Storage LLC</t>
  </si>
  <si>
    <t>Suspended/cancelled/decommissioned</t>
  </si>
  <si>
    <t>Heartland Greenway Storage: Vervain (IL)</t>
  </si>
  <si>
    <t>Heartland hydrogen hub (ALB)</t>
  </si>
  <si>
    <t>Suncor, ATCO</t>
  </si>
  <si>
    <t>Atlas Carbon Sequestration Hub (alb)</t>
  </si>
  <si>
    <t>https://www.cbc.ca/news/canada/calgary/suncor-atco-hydrogen-project-alberta-1.6021796</t>
  </si>
  <si>
    <t>Heidelberg Materials Brevik cement</t>
  </si>
  <si>
    <t>Heidelberg Materials (Norcem), Aker CC (tech)</t>
  </si>
  <si>
    <t>https://gassnova.no/app/uploads/2020/11/Gassnova-Developing-Longship-FINAL-1.pdf</t>
  </si>
  <si>
    <t>https://www.heidelbergmaterials.com/en/pr-15-12-2020</t>
  </si>
  <si>
    <t>https://ccsnorway.com/app/uploads/sites/6/2020/07/NC03-NOCE-A-RA-0009-Redacted-FEED-Study-DG3-Report-Rev01-1.pdf</t>
  </si>
  <si>
    <t>https://netl.doe.gov/sites/default/files/netl-file/20CCUS_Carpenter.pdf</t>
  </si>
  <si>
    <t>Heidelberg Materials CBR Antoing Cement Plant (Anthemis)</t>
  </si>
  <si>
    <t>https://www.cbr.be/fr/cbr-a-lintention-de-construire-une-unite-hybride-de-capture-de-carbone-unique-en-son-genre-dans-sa-cimenterie-dantoing</t>
  </si>
  <si>
    <t>Heidelberg Materials LEILAC 2</t>
  </si>
  <si>
    <t>Heidelberg Materials, Calix</t>
  </si>
  <si>
    <t>https://www.heidelbergcement.com/en/pr-01-02-2021</t>
  </si>
  <si>
    <t>https://www.leilac.com/project-leilac-2/</t>
  </si>
  <si>
    <t>Heidelberg Materials Mitchell plant (IN)</t>
  </si>
  <si>
    <t>Mitchell CarbonSAFE (IL)</t>
  </si>
  <si>
    <t>https://cementproducts.com/2022/09/07/heidelbergcement-to-build-major-ccus-project-in-indiana/</t>
  </si>
  <si>
    <t>HeidelbergMaterials Edmonton Cement (ALB)</t>
  </si>
  <si>
    <t>Heidelberg Materials, Government of Canada (MoU), Enbridge, Technip (FEED)</t>
  </si>
  <si>
    <t>https://www.lehighhanson.com/resources/news/news/2021/01/22/low-carbon-cement-possible-with-ccs</t>
  </si>
  <si>
    <t>https://www.cemnet.com/News/story/172124/lehigh-cement-signs-mou-for-edmonton-ccus-project.html</t>
  </si>
  <si>
    <t>https://eralberta.ca/wp-content/uploads/2022/04/Lehigh-Edmonton-CCS-Feasibility-ERA-Project-Outcomes-Non-Confidential.pdf</t>
  </si>
  <si>
    <t>https://www.heidelbergmaterials.com/en/pr-2023-04-06</t>
  </si>
  <si>
    <t>https://www.canada.ca/en/innovation-science-economic-development/news/2023/04/government-of-canada-signs-partnership-with-heidelberg-materials-to-decarbonize-the-cement-and-concrete-industry.html</t>
  </si>
  <si>
    <t>https://www.mhi.com/news/23081702.html</t>
  </si>
  <si>
    <t>Heron Lake biorefinery (MN)</t>
  </si>
  <si>
    <t>Heron Lake BioEnergy, Summit Carbon Solutions</t>
  </si>
  <si>
    <t>HIF Cabo Negro eFuels Facility</t>
  </si>
  <si>
    <t>Chile</t>
  </si>
  <si>
    <t>HIF Chile</t>
  </si>
  <si>
    <t>https://hifglobal.com/docs/default-source/documentos-noticias/chile/2023-12-14-faro-del-sur-wind-park-permit-in-chile.pdf?sfvrsn=a1d2fd03_1</t>
  </si>
  <si>
    <t>https://hifglobal.com/docs/default-source/documentos-noticias/chile/2023-12-05-hif-and-enap-mou.pdf?sfvrsn=de7be150_3</t>
  </si>
  <si>
    <t>HIF Paysandú eFuels Facility Alur bioethanol plant</t>
  </si>
  <si>
    <t>Uruguay</t>
  </si>
  <si>
    <t>HIF Urugay, Alur</t>
  </si>
  <si>
    <t>https://hifglobal.com/docs/default-source/documentos-noticias/chile/2023-06-hif-global-continues-expansion-with-new-project-in-uruguay.pdf?sfvrsn=64c4d4e_1</t>
  </si>
  <si>
    <t>https://www.ancap.com.uy/innovaportal/file/18176/1/5---other-ancap-energy-transition-projects---europe-roadshow-2023.pdf</t>
  </si>
  <si>
    <t>HIF Tasmania eFuels Facility (TAS)</t>
  </si>
  <si>
    <t>HIF Asia Pacific, Technip (FEED), Forico (biomass supply)</t>
  </si>
  <si>
    <t>http://www.hiftasmania.com.au/</t>
  </si>
  <si>
    <t>https://hifglobal.com/wp-content/uploads/2022/07/HIF-Global-begins-approval-process-for-its-first-carbon-neutral-eFuels-manufacturing-facility-in-Australia.pdf</t>
  </si>
  <si>
    <t>https://hifglobal.com/docs/default-source/documentos-noticias/chile/pr-2023-11-28-hif-and-forico-agreement-(final).pdf?sfvrsn=6f90842d_1</t>
  </si>
  <si>
    <t>https://hifglobal.com/docs/default-source/documentos-noticias/chile/pr-2023-08-17-hif-engages-technip-energies-in-australia.pdf?sfvrsn=8795b0a4_1</t>
  </si>
  <si>
    <t>HIF USA eFuels Matagorda County (TX)</t>
  </si>
  <si>
    <t>HIF USA, Baker Hughes (DAC), Topsoe (e-fuel tech), Bechtel (FEED), Siemens energy (electrolysers), (Still involved? Honeywell (e-methanol to e-SAF tech), Johnson Matthey (e-methanol tech))</t>
  </si>
  <si>
    <t>https://www.hifglobal.com/docs/default-source/default-document-library/hif-global-selects-matagorda-county-for-efuels-facility.pdf?sfvrsn=6c09dfb1_3</t>
  </si>
  <si>
    <t>https://matthey.com/hif-global-jm-honeywell</t>
  </si>
  <si>
    <t>https://hifglobal.com/docs/default-source/documentos-noticias/chile/pr-2023-12-01-hif-usa-idemitsu-loi-for-emethanol-(1).pdf?sfvrsn=a4d07b9d_1</t>
  </si>
  <si>
    <t>Highwater Ethanol Lamberton biorefinery (MN)</t>
  </si>
  <si>
    <t>Highwater Ethanol Lamberton, Summit Carbon Solutions</t>
  </si>
  <si>
    <t>Hinton Bioenergy CCS project (ALB)</t>
  </si>
  <si>
    <t xml:space="preserve"> Vault 44.01 Ltd, West Fraser, TorchLight Bioresources</t>
  </si>
  <si>
    <t>Rocky Mountain Carbon Vault (ALB)</t>
  </si>
  <si>
    <t>https://www.eralberta.ca/projects/details/hinton-bioenergy-carbon-capture-and-storage-project/</t>
  </si>
  <si>
    <t>HOFOR Amagerværket</t>
  </si>
  <si>
    <t>Hofor</t>
  </si>
  <si>
    <t>https://www.geos.ed.ac.uk/sccs/project-info/2731</t>
  </si>
  <si>
    <t>Homeland Energy Solutions Lawler biorefinery (IA)</t>
  </si>
  <si>
    <t>Homeland Energy Solutions, Summit Carbon Solutions</t>
  </si>
  <si>
    <t xml:space="preserve">Hoosier #1 (Cardinal ethanol facility) (IN) </t>
  </si>
  <si>
    <t>One Carbon Partnership (Cardinal Ethanol, Vault 44.01 joint venture)</t>
  </si>
  <si>
    <t>https://www.businesswire.com/news/home/20230130005121/en/Cardinal-Ethanol-and-Vault-44.01-Form-Joint-Venture-to-Implement-a-Carbon-Capture-and-Sequestration-Project-in-Indiana</t>
  </si>
  <si>
    <t>https://www.epa.gov/system/files/documents/2023-02/One_Carbon_Partnership_AoR_and_Corrective_Action_Plan.pdf</t>
  </si>
  <si>
    <t>Horizon mine tailings (ALB)</t>
  </si>
  <si>
    <t>Canadian Natural Resources Ltd</t>
  </si>
  <si>
    <t>https://en.wikipedia.org/wiki/Horizon_Oil_Sands</t>
  </si>
  <si>
    <t>https://www.cnrl.com/content/uploads/2022-technology-and-innovation-case-studies.pdf</t>
  </si>
  <si>
    <t>Hover cement works Hannover phase 1</t>
  </si>
  <si>
    <t>Holcim Group, Cool Planet Technologies</t>
  </si>
  <si>
    <t>http://coolplanettech.com/wp/wp-content/uploads/2022/05/21-10-04-Hover-ESG-Announcment.pdf</t>
  </si>
  <si>
    <t>https://www.royalwhitecement.com/news/holcim-deutschland-secures-government-funding-for-hover-cement-plant-carbon-capture-project/</t>
  </si>
  <si>
    <t>http://coolplanettech.com/wp/wp-content/uploads/2022/10/22-09-29-CPT-Press-release-Final.pdf</t>
  </si>
  <si>
    <t>Hover cement works Hannover phase 2</t>
  </si>
  <si>
    <t>Huaneng Zhengning coal power plant (Gansu)</t>
  </si>
  <si>
    <t>China Huaneng Group</t>
  </si>
  <si>
    <t>https://www.gem.wiki/Huaneng_Zhengning_power_station</t>
  </si>
  <si>
    <t>https://news.bjx.com.cn/html/20221229/1279649.shtml</t>
  </si>
  <si>
    <t>https://www.seetao.com/details/95655.html</t>
  </si>
  <si>
    <t>Humberside CCS with Shell and Esso</t>
  </si>
  <si>
    <t>Shell (50%), Esso (ExxonMobil) (50%)</t>
  </si>
  <si>
    <t>Husker Ag Plainview biorefinery (NE)</t>
  </si>
  <si>
    <t>Husker Ag, Summit Carbon Solutions</t>
  </si>
  <si>
    <t>Hydrogen 2 Magnum (H2M)</t>
  </si>
  <si>
    <t>Nuon (Vattenfall sub.), Equinor, Gasunie</t>
  </si>
  <si>
    <t>https://www.equinor.com/en/news/evaluating-conversion-natural-gas-hydrogen.html</t>
  </si>
  <si>
    <t>https://www.nsenergybusiness.com/projects/nuon-magnum-power-plant/</t>
  </si>
  <si>
    <t>Hydrogen Energy Supply Chain (HESC) Project Full scale (CarbonNET)</t>
  </si>
  <si>
    <t>Kawasaki heavy industries, J-POWER, Iwatani Corporation, Marubeni Corporation, AGL, Sumitomo Corporation</t>
  </si>
  <si>
    <t>https://www.offshore-energy.biz/the-first-hydrogen-supply-chain-project-to-start-operations/</t>
  </si>
  <si>
    <t>https://www.google.com/search?q=HESC+pilot+project&amp;rlz=1C1GCEA_enFR968FR968&amp;oq=HESC+pilot+project&amp;aqs=chrome..69i57j69i60.3115j0j7&amp;sourceid=chrome&amp;ie=UTF-8</t>
  </si>
  <si>
    <t>https://www.agl.com.au/content/aglenergy/nsw/en/about-agl/media-centre/asx-and-media-releases/2018/april/agl-part-of-world-first-hydrogen-energy-supply-chain-project</t>
  </si>
  <si>
    <t>https://research.csiro.au/hyresource/hydrogen-energy-supply-chain-pilot-project/</t>
  </si>
  <si>
    <t>https://www.hydrogenenergysupplychain.com/japan-commits-aud2-35-billion-to-establish-liquefied-hydrogen-supply-chain/</t>
  </si>
  <si>
    <t>Hydrogen to Humber (H2H) Saltend phase 1</t>
  </si>
  <si>
    <t>Equinor, SSE Thermal, Linde (FEED/EPC), BOC (Operation and maintenance), Jonhson Matthey (FEED)</t>
  </si>
  <si>
    <t>https://www.spglobal.com/platts/ru/market-insights/latest-news/electric-power/110221-equinor-progresses-uk-blue-hydrogen-plant-project-with-pre-feed-contracts</t>
  </si>
  <si>
    <t>https://www.spglobal.com/platts/en/market-insights/latest-news/electric-power/110221-equinor-progresses-uk-blue-hydrogen-plant-project-with-pre-feed-contracts</t>
  </si>
  <si>
    <t>https://www.spglobal.com/commodityinsights/en/market-insights/latest-news/electric-power/110221-equinor-progresses-uk-blue-hydrogen-plant-project-with-pre-feed-contracts</t>
  </si>
  <si>
    <t>https://www.offshore-energy.biz/equinor-advances-its-low-carbon-hydrogen-project-with-major-feed-contract-in-place/#:~:text=Equinor's%20UK%20project%2C%20named%20Hydrogen,hub%20for%20low%2Dcarbon%20hydrogen.</t>
  </si>
  <si>
    <t>https://matthey.com/johnson-matthey-chosen-for-h2h-saltend-low-carbon-hydrogen-project</t>
  </si>
  <si>
    <t>https://www.equinor.com/news/uk/20240220-h2h-saltend-planning-permission-granted</t>
  </si>
  <si>
    <t>Hydrogen to Humber (H2H) Saltend phase 2</t>
  </si>
  <si>
    <t>HyNet Hydrogen Production Project (HPP) Plant 1 (Hynet phase 1)</t>
  </si>
  <si>
    <t>EET Hydrogen (former Vertex Hydrogen, joint venture Essar Oil 90% and progressive energy 10%), Johnson Matthey (capture tech)</t>
  </si>
  <si>
    <t>https://hynet.co.uk/wp-content/uploads/2020/10/HyNet_NW-Vision-Document-2020_FINAL.pdf</t>
  </si>
  <si>
    <t>https://assets.publishing.service.gov.uk/government/uploads/system/uploads/attachment_data/file/866401/HS384_-_Progressive_Energy_-_HyNet_hydrogen.pdf</t>
  </si>
  <si>
    <t>http://www.essaroil.co.uk/news/world-first-low-carbon-hydrogen-projects-in-the-north-west-win-13m-government-backing/</t>
  </si>
  <si>
    <t>https://www.eni.com/en-IT/net-zero/hynet-cattura-co2-uk.html</t>
  </si>
  <si>
    <t>https://www.ukpia.com/media-centre/news/2020/ukpia-welcomes-hynet-hydrogen-investments-at-essar-stanlow-refinery/</t>
  </si>
  <si>
    <t>http://www.essaroil.co.uk/news/low-carbon-project-at-stanlow-secures-government-backing/</t>
  </si>
  <si>
    <t>https://www.essaroil.co.uk/news/essar-oil-uk-to-build-360-million-carbon-capture-facility-to-deliver-on-its-ambition-to-be-a-leading-low-carbon-refinery/</t>
  </si>
  <si>
    <t>HyNet Hydrogen Production Project (HPP) Plant 2 (Hynet phase 2)</t>
  </si>
  <si>
    <t>EET Hydrogen (former Vertex Hydrogen, joint venture Essar Oil 90% and progressive energy 10%), KBR (capture tech and FEED)</t>
  </si>
  <si>
    <t>https://www.kbr.com/en/insights-news/press-release/kbr-wins-blue-hydrogen-technology-and-engineering-contract-eet-hydrogen</t>
  </si>
  <si>
    <t>Hynet North West (Liverpool Bay CO2 storage) phase 1</t>
  </si>
  <si>
    <t>Eni, Halliburton (Well completions)</t>
  </si>
  <si>
    <t>Hynet North West (Liverpool Bay CO2 storage)</t>
  </si>
  <si>
    <t>https://www.eni.com/en-IT/media/press-release/2023/03/eni-as-the-key-ccs-developer-in-the-uk.html</t>
  </si>
  <si>
    <t>https://www.halliburton.com/en/about-us/press-release/halliburton-wins-well-completions-contract-hynet-north-west-carbon-capture-storage-project</t>
  </si>
  <si>
    <t>Hynet North West (Liverpool Bay CO2 storage) phase 2</t>
  </si>
  <si>
    <t>Hynet Northwest phase 3</t>
  </si>
  <si>
    <t>Hynet consortium</t>
  </si>
  <si>
    <t>Hynovera</t>
  </si>
  <si>
    <t>HY2GEN, Gazel Energie</t>
  </si>
  <si>
    <t>https://marsactu.fr/hydrogene-biomasse-et-emplois-les-cles-de-la-reconversion-de-la-centrale-de-gardanne/</t>
  </si>
  <si>
    <t>https://glockenspiel-cat-x8e7.squarespace.com/hynovera</t>
  </si>
  <si>
    <t>Hynovi project (Vicat Montalieu plant)</t>
  </si>
  <si>
    <t>Vicat</t>
  </si>
  <si>
    <t>https://www.vicat.com/news/low-carbon-trajectory-vicat-and-hynamics-unveil-hynovi-project</t>
  </si>
  <si>
    <t>Hyskies Vattenfall CHP Lanzatech</t>
  </si>
  <si>
    <t>Vattenfall, SAS, Shell, Lanzatech</t>
  </si>
  <si>
    <t>https://group.vattenfall.com/press-and-media/pressreleases/2021/sas-vattenfall-shell-and-lanzatech-to-explore-synthetic-sustainable-aviation-fuel-production</t>
  </si>
  <si>
    <t>Ifestos Carbon Capture (Kamati plant)</t>
  </si>
  <si>
    <t>Titan Group</t>
  </si>
  <si>
    <t>https://www.titan-cement.com/net-zero/#1654414404277-6f473531-242d</t>
  </si>
  <si>
    <t>https://www.globalcement.com/news/item/16017-titan-group-s-kamari-cement-plant-to-host-1-9mt-yr-carbon-capture-project</t>
  </si>
  <si>
    <t>Illinois Basin Decatur Project (IL)</t>
  </si>
  <si>
    <t>ADM, Midwest Geological Sequestration Consortium</t>
  </si>
  <si>
    <t>https://pubs.naruc.org/pub.cfm?id=4AE5E75F-2354-D714-51B7-59DE74C41F5E</t>
  </si>
  <si>
    <t>Illinois Basin West CarbonSAFE (IL)</t>
  </si>
  <si>
    <t>University of Illinois</t>
  </si>
  <si>
    <t>https://www.energy.gov/fecm/project-selections-foa-2711-carbon-storage-validation-and-testing-round-1</t>
  </si>
  <si>
    <t>Illinois Clean Fuels Project (IL)</t>
  </si>
  <si>
    <t>Illinois clean fuels,</t>
  </si>
  <si>
    <t>http://icfuels.com/</t>
  </si>
  <si>
    <t>Illinois Industrial Carbon Capture and Storage (IL)</t>
  </si>
  <si>
    <t>https://investigatemidwest.org/2020/11/19/despite-hundreds-of-millions-in-tax-dollars-adms-carbon-capture-program-still-hasnt-met-promised-goals/</t>
  </si>
  <si>
    <t>https://www.greencarcongress.com/2011/08/iccs-20110826.html</t>
  </si>
  <si>
    <t>https://assets.adm.com/Sustainability/2019-Reports/ADM-WSP-Feasibility-Study-and-Goal-Document.pdf</t>
  </si>
  <si>
    <t>https://www.eesi.org/articles/view/adm-deploys-carbon-capture-and-sequestration-project-at-illinois-ethanol-pl</t>
  </si>
  <si>
    <t>https://www.energy.gov/fecm/archer-daniels-midland-company</t>
  </si>
  <si>
    <t>https://ghgdata.epa.gov/ghgp/service/facilityDetail/2021?id=1005661&amp;ds=A&amp;et=&amp;popup=true</t>
  </si>
  <si>
    <t>In Salah</t>
  </si>
  <si>
    <t>Algeria</t>
  </si>
  <si>
    <t>bp, Sonatrach, Equinor</t>
  </si>
  <si>
    <t>https://www.sciencedirect.com/science/article/pii/S1876610213007947</t>
  </si>
  <si>
    <t>https://sequestration.mit.edu/tools/projects/in_salah.html</t>
  </si>
  <si>
    <t>Ince Bioenergy Carbon Capture and Storage (InBECCS) scaleup</t>
  </si>
  <si>
    <t>Bioenergy Infrastructure Group (Evero), Peel NRE, Mitsubishi HI</t>
  </si>
  <si>
    <t>Liverpool Bay CO2 storage</t>
  </si>
  <si>
    <t>https://bioenergyinfrastructure.co.uk/news-article/ince-biomass-plant-chosen-as-site-for-innovative-carbon-capture-technology-project-at-protos-in-northwest/</t>
  </si>
  <si>
    <t>https://bioenergyinfrastructure.co.uk/news-article/bioenergy-infrastructure-group-partner-with-c-capture-on-project-awarded-1-7m-in-beis-funding-to-demonstrate-feasibility-of-next-generation-low-cost-carbon-capture-solutions-in-hard-to-decarbonise-in/</t>
  </si>
  <si>
    <t>https://bioenergyinfrastructure.co.uk/news-article/ince-bio-power-secures-funding-for-carbon-capture-demonstration-project-in-win-for-net-zero-ambitions-in-north-west/</t>
  </si>
  <si>
    <t>https://www.mhi.com/news/23110903.html</t>
  </si>
  <si>
    <t>Indian Oil Corporation Koyali refinery</t>
  </si>
  <si>
    <t>Indian Oil Corporation (IOCL), Dastur, Air Liquide and BEG for FEED</t>
  </si>
  <si>
    <t>https://www.gasworld.com/indian-oils-mammoth-ccus-project-progresses/2020367.article</t>
  </si>
  <si>
    <t>https://www.dasturenergy.com/dastur-successfully-completes-techno-economic-feasibility-of-indias-largest-carbon-capture-and-utilization-project/</t>
  </si>
  <si>
    <t>Industrial Carbon Capture (ICC) Stanlow</t>
  </si>
  <si>
    <t>Essar Energy Transition (Essar Oil), Kent (pre-FEED), MHI (FEED), Topsoe (tech partner)</t>
  </si>
  <si>
    <t>https://kentplc.com/news-insights/kent-wins-pre-feed-engineering-contract-for-360m-carbon-capture-plant-at-essar-stanlow-refinery-uk</t>
  </si>
  <si>
    <t>https://www.essaroil.co.uk/news/essar-launches-eet-to-invest-us-36-billion-in-energy-transition-in-the-uk-and-india/</t>
  </si>
  <si>
    <t>https://www.topsoe.com/press-releases/topsoe-selected-by-essar-to-provide-technology-for-360-million-carbon-capture-project?hs_amp=true</t>
  </si>
  <si>
    <t>Ineos Antwerp CCS</t>
  </si>
  <si>
    <t>INEOS</t>
  </si>
  <si>
    <t>INEOS Grangemouth refinery and hydrogen production</t>
  </si>
  <si>
    <t>INEOS, Petroineos</t>
  </si>
  <si>
    <t>https://www.spglobal.com/platts/en/market-insights/latest-news/electric-power/092221-ineos-to-invest-14-bil-in-blue-hydrogen-production-at-grangemouth-refinery</t>
  </si>
  <si>
    <t>https://www.spglobal.com/commodityinsights/en/market-insights/latest-news/electric-power/092221-ineos-to-invest-14-bil-in-blue-hydrogen-production-at-grangemouth-refinery</t>
  </si>
  <si>
    <t>Innovative Integration of Carbon Capture for Clean Power (ALB)</t>
  </si>
  <si>
    <t>Heartland Generation Ltd</t>
  </si>
  <si>
    <t>https://www.eralberta.ca/projects/details/innovative-integration-of-carbon-capture-for-clean-power/</t>
  </si>
  <si>
    <t>Integratred clean ammonia production, Port of Corpus Christi (TX) phase 1</t>
  </si>
  <si>
    <t>Rwe, Lotte Chemical Corporation, Mitsubishi Corporation (JSA)</t>
  </si>
  <si>
    <t>https://www.rwe.com/en/press/rwe-supply-and-trading/2023-02-08-rwe-lotte-mc-enter-into-jsa-to-develop-clean-ammonia-project/</t>
  </si>
  <si>
    <t>Integratred clean ammonia production, Port of Corpus Christi (TX) phase 2</t>
  </si>
  <si>
    <t>Itochu/Petronas ammonia project (ALB)</t>
  </si>
  <si>
    <t>Itochu Corporation, Petronas Energy Canada Ltd, and Inter Pipeline Ltd.</t>
  </si>
  <si>
    <t>https://www.theedgemarkets.com/article/japans-itochu-conduct-feasibility-study-petronas-subsidiary-canada-production-ammonia</t>
  </si>
  <si>
    <t>https://www.itochu.co.jp/en/news/press/2022/220524.html</t>
  </si>
  <si>
    <t>J-Power Sumitomo joint feasibility clean hydrogen Latrobe Valley (VI)</t>
  </si>
  <si>
    <t>J-Power, Sumitomo corporation</t>
  </si>
  <si>
    <t>https://www.jpower.co.jp/english/news_release/pdf/news230308e.pdf</t>
  </si>
  <si>
    <t>James M  Barry Electric Generating Plant CCUS (AL)</t>
  </si>
  <si>
    <t>Southern Company Services, Linde Gas North America LLC, GE Gas Power</t>
  </si>
  <si>
    <t>https://netl.doe.gov/project-information?p=FE0032131</t>
  </si>
  <si>
    <t>https://netl.doe.gov/project-information?p=FE0031847</t>
  </si>
  <si>
    <t>Javelina Refinery CCS (TX)</t>
  </si>
  <si>
    <t>Port of Corpus Christi Authority, Howard Midstream</t>
  </si>
  <si>
    <t>https://portofcc.com/port-of-corpus-christi-responds-to-united-nations-intergovernmental-panel-on-climate-change-announces-carbon-neutral-blue-hydrogen-production-facility/</t>
  </si>
  <si>
    <t>https://www.greencarcongress.com/2021/08/20210814-pocc.html</t>
  </si>
  <si>
    <t>Jiling Petrochemical CCUS (Nanjing refinery) (Jiangsu) phase 1</t>
  </si>
  <si>
    <t>Sinopec (Nanjing refinery), Jiling Petrochemical, Jiangsu oilfield</t>
  </si>
  <si>
    <t>Jiangsu oilfield</t>
  </si>
  <si>
    <t>http://www.tanjiaoyi.com/article-44241-1.html</t>
  </si>
  <si>
    <t>Joint study CCS value chain Japan Malaysia phase 1 (M3 CCS Project)</t>
  </si>
  <si>
    <t>Japan-Malaysia</t>
  </si>
  <si>
    <t>Japan Petroleum Exploration Co., Ltd. (JAPEX), JGC Holdings Corporation (JGC HD), Kawasaki Kisen Kaisha, Ltd. (“K” LINE), Petronas CCS Ventures</t>
  </si>
  <si>
    <t>https://www.japex.co.jp/en/news/detail/20231120_01/</t>
  </si>
  <si>
    <t>https://www.gasworld.com/story/petronas-subsidiary-and-japanese-firms-sign-co2-storage-deal-in-sarawak/2134988.article/</t>
  </si>
  <si>
    <t>Joint study CCS value chain Japan Malaysia phase 2</t>
  </si>
  <si>
    <t>Joint study CCS value chain Japan Malaysia steel</t>
  </si>
  <si>
    <t>Japan Petroleum Exploration Co., Ltd. (JAPEX), JGC Holdings Corporation (JGC HD), Kawasaki Kisen Kaisha, Ltd. (“K” LINE), and JFE Steel Corporation, Petronas</t>
  </si>
  <si>
    <t>https://www.kline.co.jp/en/news/carbon-neutral/carbon-neutral7943232713056097109/main/0/link/220729EN.pdf</t>
  </si>
  <si>
    <t>https://www.japex.co.jp/en/news/detail/20230619_01/</t>
  </si>
  <si>
    <t>JSA Pertamina Chevron East Kalimantan</t>
  </si>
  <si>
    <t>Pertamina, Chevron</t>
  </si>
  <si>
    <t>https://indonesia.chevron.com/en/news/latest-news/2023/chevron-and-pertamina-sign-joint-study-agreement-to-explore-development-of-ccs-ccus-technology</t>
  </si>
  <si>
    <t>Jubail CCS Hub agreement (*capture sources under evaluation)</t>
  </si>
  <si>
    <t>Saudi Arabia</t>
  </si>
  <si>
    <t>Saudi Aramco, SLB, Linde</t>
  </si>
  <si>
    <t>Jubail CCS hub</t>
  </si>
  <si>
    <t>https://www.reuters.com/business/energy/saudi-aramco-energy-ministry-sign-agreement-establish-carbon-capture-storage-hub-2022-11-10/</t>
  </si>
  <si>
    <t>K+S Potash CCS</t>
  </si>
  <si>
    <t>K+S Potash Canada, Whitecap Resources</t>
  </si>
  <si>
    <t>https://natural-resources.canada.ca/science-and-data/funding-partnerships/opportunities/current-investments/heat-integrated-carbon-capture-and-storage-potash-mine/25243</t>
  </si>
  <si>
    <t>https://www.ks-potashcanada.com/wp-content/uploads/2023/11/22-KSPC-CommunityReport-REV.pdf</t>
  </si>
  <si>
    <t>https://training.saskatchewan.ca/EnergyAndResources/Files/Notices/2023/MRO%20120-23.pdf</t>
  </si>
  <si>
    <t>K6 Program- Lumbres cement plant</t>
  </si>
  <si>
    <t>EQIOM, Air Liquide, France Industries, VDZ</t>
  </si>
  <si>
    <t>https://www.nasdaq.com/press-release/air-liquide-and-eqiom-project-in-northern-france-selected-by-the-european-innovation</t>
  </si>
  <si>
    <t>Kairos@C</t>
  </si>
  <si>
    <t>Air Liquide, BASF</t>
  </si>
  <si>
    <t>https://www.basf.com/global/en/media/news-releases/2021/11/p-21-385.html</t>
  </si>
  <si>
    <t>https://www.basf.com/global/en/media/news-releases/2021/03/p-21-166.html</t>
  </si>
  <si>
    <t>Kalundborg refinery project</t>
  </si>
  <si>
    <t xml:space="preserve">Kalundborg, Aker Carbon Capture </t>
  </si>
  <si>
    <t>https://www.prnewswire.com/news-releases/aker-carbon-capture-to-deliver-five-just-catch-units-and-equipment-for-over-eur-200-million-to-orsted-bioenergy-plants-in-denmark-301824370.html</t>
  </si>
  <si>
    <t>Karamay Dunhua methanol plant (Xinjiang)</t>
  </si>
  <si>
    <t>Dunhua Oil Company</t>
  </si>
  <si>
    <t>https://www.researchgate.net/publication/342354904_China_Status_of_CO2_Capture_Utilization_and_Storage_CCUS_2019</t>
  </si>
  <si>
    <t>https://www.adb.org/publications/roadmap-carbon-capture-and-storage-demonstration-and-deployment-prc</t>
  </si>
  <si>
    <t>http://www.asiachem.org/en/2018CO2-1005</t>
  </si>
  <si>
    <t>Keadby 3 Carbon Capture Power Station</t>
  </si>
  <si>
    <t>SSE Thermal, Equinor, Aker Solutions (FEED), Siemens Energy and Doosan Babcock; Fugro (ground investigation contract)</t>
  </si>
  <si>
    <t>https://www.ssethermal.com/flexible-generation/development/keadby-3-ccs/</t>
  </si>
  <si>
    <t>https://aecom.com/uk/press-releases/aecom-to-continue-its-role-on-keadby-3-carbon-capture-power-station-project/</t>
  </si>
  <si>
    <t>https://news.cision.com/aker-carbon-capture-as/r/new-flagship-project-for-aker-carbon-capture-in-the-uk,c3586443</t>
  </si>
  <si>
    <t>https://www.equinor.com/news/uk/landmark-power-ccs-project-in-humber-becomes-uk%27s-first-to-gain-planning-consent</t>
  </si>
  <si>
    <t>https://www.fugro.com/media-centre/news/fulldetails/2023/01/17/fugro-s-geo-data-supports-development-of-uk-s-first-flexible-power-station-with-carbon-capture-technology</t>
  </si>
  <si>
    <t>Kemper county CCUS (MS)</t>
  </si>
  <si>
    <t>Mississippi Power (Southern Company)</t>
  </si>
  <si>
    <t>http://www.zeroco2.no/projects/kemper-county-igcc</t>
  </si>
  <si>
    <t>https://sequestration.mit.edu/tools/projects/kemper.html</t>
  </si>
  <si>
    <t>Kern River Eastridge cogeneration plant San Joaquin Valley (CA)</t>
  </si>
  <si>
    <t>Chevron, Fluor (FEED, tech licensing)</t>
  </si>
  <si>
    <t>https://www.chevron.com/newsroom/2022/q2/chevron-launches-carbon-capture-and-storage-project-in-san-joaquin-valley</t>
  </si>
  <si>
    <t>KeyState Natural Gas Synthesis (ARCH2) (PA)</t>
  </si>
  <si>
    <t>KeyState Energy</t>
  </si>
  <si>
    <t>https://environmental.pasenategop.com/wp-content/uploads/sites/34/2021/03/03.10.2021-Babb-Perry-KeyState-Senate-Energy-Comm.-Hearing-3.10.21.pdf</t>
  </si>
  <si>
    <t>https://keystate.net/projects/pa/</t>
  </si>
  <si>
    <t>https://www.carboncapturejournal.com/ViewNews.aspx?NewsID=5838</t>
  </si>
  <si>
    <t>KOdeCO project</t>
  </si>
  <si>
    <t>Holcim Group, Air Liquide</t>
  </si>
  <si>
    <t>https://annual-report.holcim.com/fileadmin/user_upload/2022/pdf/24022023-finance-holcim-fy-2022-report-full-en-3914999618.pdf</t>
  </si>
  <si>
    <t>Kotka power (Kotka)</t>
  </si>
  <si>
    <t>RenGas, Kotkan Energia</t>
  </si>
  <si>
    <t>https://ren-gas.com/en/projekti/kotka-2/</t>
  </si>
  <si>
    <t>Kredsløb Energipark Lisbjerg</t>
  </si>
  <si>
    <t>Kredsløb</t>
  </si>
  <si>
    <t>https://www.kredslob.dk/professionel/produkter-og-services/co2-fangst-i-aarhus</t>
  </si>
  <si>
    <t>Pertamina</t>
  </si>
  <si>
    <t>Kutina Petrokemija ammonia (ICORD project?)</t>
  </si>
  <si>
    <t>INA, MOL Group</t>
  </si>
  <si>
    <t>Zutica and Ivanic grad EOR extension</t>
  </si>
  <si>
    <t>https://innovationorigins.com/en/croatia-plans-to-store-co2-in-depleted-oil-fields-smart-or-a-drop-in-the-ocean/</t>
  </si>
  <si>
    <t>https://molgroup.info/storage/documents/case_studies/climate_change/co2_eor_project_croatia_origin.pdf</t>
  </si>
  <si>
    <t>KVA Linth Waste-to-Energy Niederurnen</t>
  </si>
  <si>
    <t>Swizterland</t>
  </si>
  <si>
    <t>KVA Linth, VBSA, Capsol (feasibility)</t>
  </si>
  <si>
    <t>https://www.akersolutions.com/globalassets/investors/presentations/aker-carbon-capture-company-presentation-aug-6-2020.pdf</t>
  </si>
  <si>
    <t>https://www.wastetodaymagazine.com/news/waste-to-energy-capsol-co2-capsol-carbon-capture/</t>
  </si>
  <si>
    <t>https://www.carboncapturejournal.com/ViewNews.aspx?NewsID=5472</t>
  </si>
  <si>
    <t>Kymijärvi power (Lahti)</t>
  </si>
  <si>
    <t>RenGas, Lahti Energia</t>
  </si>
  <si>
    <t>https://ren-gas.com/en/projekti/lahti-2/</t>
  </si>
  <si>
    <t>L10 CCS</t>
  </si>
  <si>
    <t>Eni (following acquisition of Neptune Energy), EBN, ExxonMobil, Tenaz Energy</t>
  </si>
  <si>
    <t>Aramis/L10 CCS</t>
  </si>
  <si>
    <t>https://www.offshore-mag.com/renewable-energy/article/14188825/neptune-energy-leading-dutch-north-sea-carbon-capture-and-storage-study</t>
  </si>
  <si>
    <t>https://www.neptuneenergy.com/esg/l10-area-ccs-development</t>
  </si>
  <si>
    <t>https://www.neptuneenergy.com/media/press-releases/year/2023/dutch-large-scale-co2-storage-project-l10ccs-reaches-feed-phase</t>
  </si>
  <si>
    <t>LA CCS (LA)</t>
  </si>
  <si>
    <t>DT Midstream Holdings LLC</t>
  </si>
  <si>
    <t>https://ccusmap.com/markers/project-detail/la-ccs-project</t>
  </si>
  <si>
    <t>Labarge Shute Creek Gas Processing Plant 1.2 Mtpa expansion (WY)</t>
  </si>
  <si>
    <t xml:space="preserve">ExxonMobil </t>
  </si>
  <si>
    <t>https://corporate.exxonmobil.com/news/newsroom/news-releases/2022/0225_exxonmobil-to-expand-carbon-capture-and-storage-at-labarge-wyoming-facility</t>
  </si>
  <si>
    <t>https://www.sciencedirect.com/science/article/pii/S1876610211008101</t>
  </si>
  <si>
    <t>https://corporate.exxonmobil.com/what-we-do/delivering-industrial-solutions/carbon-capture-and-storage/ccs-in-action</t>
  </si>
  <si>
    <t>Labarge Shute Creek Gas Processing Plant 2010 expansion (WY)</t>
  </si>
  <si>
    <t>ExxonMobil, Fleur de Lis Energy LLC/Renee Acquisition LLC ; Chevron; Devon Energy Denbury</t>
  </si>
  <si>
    <t>https://www.ogj.com/general-interest/companies/article/17284133/exxonmobil-finishes-shute-creek-carbon-capture-expansion</t>
  </si>
  <si>
    <t>Labarge Shute Creek Gas Processing Plant original (WY)</t>
  </si>
  <si>
    <t>https://corporate.exxonmobil.com/-/media/global/files/advancing-climate-solutions-progress-report/2023/2023-acs-progress-report.pdf</t>
  </si>
  <si>
    <t>https://ghgdata.epa.gov/ghgp/service/facilityDetail/2021?id=1002150&amp;ds=A&amp;et=&amp;popup=true</t>
  </si>
  <si>
    <t>LafargeHolcim Ste Genevieve plant (MO)</t>
  </si>
  <si>
    <t>University of Illinois, Holcim Group, Air Liquide</t>
  </si>
  <si>
    <t>https://cementproducts.com/2021/12/06/lafargeholcim-study-to-advance-carbon-capture-tech/</t>
  </si>
  <si>
    <t>https://netl.doe.gov/sites/default/files/netl-file/22CM_PSC15_Salih.pdf</t>
  </si>
  <si>
    <t>Lake Charles low carbon ammonia (LA)</t>
  </si>
  <si>
    <t>Proman, Mitsubishi</t>
  </si>
  <si>
    <t>https://www.proman.org/news/proman-mitsubishi-sign-mou-to-develop-world-scale-ultra-low-carbon-ammonia-plant-in-lake-charles-usa/</t>
  </si>
  <si>
    <t>Lake Charles Methanol (LA)</t>
  </si>
  <si>
    <t>Proman, ExxonMobil (formerly Denbury), Fluor</t>
  </si>
  <si>
    <t>https://www.lakecharlesmethanol.com/</t>
  </si>
  <si>
    <t>https://www.globalccsinstitute.com/wp-content/uploads/2020/03/2-ION-CLEAN-ENERGY-DC-FORUM.pdf</t>
  </si>
  <si>
    <t>Lake Charles Power Station Integrated CO2 Capture Project (LA)</t>
  </si>
  <si>
    <t>Entergy, Talos, DOE Office of Clean Energy Demonstrations</t>
  </si>
  <si>
    <t>Lamont Carbon Hub (ALB)</t>
  </si>
  <si>
    <t>Wolf Midstream, Whitecap Resources</t>
  </si>
  <si>
    <t>Alberta Carbon Trunk Line (Transport), Lamont Carbon Hub (Storage)</t>
  </si>
  <si>
    <t>https://www.wcap.ca/application/files/5117/0467/2525/WCP_2024_01_07.pdf</t>
  </si>
  <si>
    <t>Leo (MS)</t>
  </si>
  <si>
    <t>Denbury NEJD Pipeline (MS-LA)/Leo (MS)</t>
  </si>
  <si>
    <t>https://www.businesswire.com/news/home/20221212005682/en/Denbury-and-Weyerhaeuser-Announce-Agreement-for-CO2-Sequestration-Site-in-Mississippi</t>
  </si>
  <si>
    <t>https://s201.q4cdn.com/317576541/files/doc_presentations/2023/May/07/den-may-presentation-final.pdf</t>
  </si>
  <si>
    <t>LG&amp;E Cane Run NGCC CR7 (KY)</t>
  </si>
  <si>
    <t>LG&amp;E Cane Run, Electric Power Research Institute (FEED), University of Kentucky (tech), DOE (FEED funding)</t>
  </si>
  <si>
    <t>https://lge-ku.com/newsroom/press-releases/2023/03/31/lge-and-ku-epri-university-kentucky-begin-industry-leading</t>
  </si>
  <si>
    <t>Libra  (LA)</t>
  </si>
  <si>
    <t>Lapis Energy (50% permitting process pre-FID), ExxonMobil (formerly Denbury carbon solutions) (50%; operatorship managing construction)</t>
  </si>
  <si>
    <t>https://carbonherald.com/lapis-energy-and-denbury-collaborate-on-carbon-sequestration-project/</t>
  </si>
  <si>
    <t>Lighthouse Green Fuels</t>
  </si>
  <si>
    <t>Alfanar</t>
  </si>
  <si>
    <t>https://www.lighthousegreenfuels.co.uk/sustainable-aviation-fuel/</t>
  </si>
  <si>
    <t>Limeco Waste-to-Energy Dietikon</t>
  </si>
  <si>
    <t>Limeco, Aker CC</t>
  </si>
  <si>
    <t>https://akercarboncapture.com/?cision_id=651C8691C32227C8#:~:text=Aker%20Carbon%20Capture%20has%20been,to%2Denergy%20plants%20in%20Switzerland.</t>
  </si>
  <si>
    <t>Lincolnway Energy Nevada biorefinery (IA)</t>
  </si>
  <si>
    <t>Lincolnway Energy, Summit Carbon Solutions</t>
  </si>
  <si>
    <t>Linde Clear Lake HyCO Plant (TX)</t>
  </si>
  <si>
    <t>Linde (CO2 capture on CO production site, CCU tech), Celanese (operator of methanol plant), Fairway methanol</t>
  </si>
  <si>
    <t>https://www.linde.com/news-media/press-releases/2022/linde-expands-agreement-with-celanese-to-provide-decarbonization-solutions</t>
  </si>
  <si>
    <t>https://www.celanese.com/news-and-media/2024/celanese-begins-carbon-capture-utilization-operations-at-clear-lake</t>
  </si>
  <si>
    <t>Linde hydrogen plant for OCI fertilizer blue ammonia Beaumont (TX)</t>
  </si>
  <si>
    <t>Linde (owns, builds, operates), OCI (H2 demand)</t>
  </si>
  <si>
    <t>ExxonMobil Vermilion parish storage</t>
  </si>
  <si>
    <t>https://www.ammoniaenergy.org/articles/maire-tecnimont-plans-million-tonne-per-year-blue-ammonia-plant-in-the-us/</t>
  </si>
  <si>
    <t>https://www.oci.nl/news/2022-oci-to-start-construction-of-new-world-scale-hydrogen-based-blue-ammonia-facility-in-texas-with-production-expected-in-q1-2025/</t>
  </si>
  <si>
    <t>https://www.linde.com/news-media/press-releases/2023/linde-to-invest-1-8-billion-to-supply-clean-hydrogen-to-oci-s-world-scale-blue-ammonia-project-in-the-u-s-gulf-coast</t>
  </si>
  <si>
    <t>https://www.linde.com/news-media/press-releases/2023/linde-signs-agreement-with-exxonmobil-for-carbon-dioxide-off-take</t>
  </si>
  <si>
    <t>https://fuelcellsworks.com/news/ocis-1-1-mtpa-texas-ammonia-project-remains-on-track-to-commence-production-in-early-2025/?mc_cid=433fe54022&amp;mc_eid=da4624d261</t>
  </si>
  <si>
    <t>Linde-BASF capture SMR plant Covent (LA)</t>
  </si>
  <si>
    <t>Praxair</t>
  </si>
  <si>
    <t>https://www.osti.gov/servlets/purl/1898038</t>
  </si>
  <si>
    <t>Linden (IN)</t>
  </si>
  <si>
    <t>Vault</t>
  </si>
  <si>
    <t>LIPOR Maia Energy Recovery Plant PtL facility</t>
  </si>
  <si>
    <t>Portugal</t>
  </si>
  <si>
    <t>LIPOR (Intermunicipal Waste Management of Greater Porto), P2X Europe and Veolia</t>
  </si>
  <si>
    <t>https://www.veolia.com/en/our-media/newsroom/press-releases/power-liquid-project-transforms-municipal-waste-waste-derived-CO2-portugal</t>
  </si>
  <si>
    <t>Little Sioux Corn Processors Marcus biorefinery (IA)</t>
  </si>
  <si>
    <t>Little Sioux Corn Processors, Summit Carbon Solutions</t>
  </si>
  <si>
    <t>Lloydminster Upgrader</t>
  </si>
  <si>
    <t>Lone Star Storage Hub Project (Jasper) (TX)</t>
  </si>
  <si>
    <t>BP carbon solutions, Linde (capture/CO2 supplier)</t>
  </si>
  <si>
    <t>https://www.bp.com/en/global/corporate/news-and-insights/press-releases/bp-and-linde-plan-major-ccs-project-to-advance-decarbonization-efforts-across-texas-gulf-coast.html</t>
  </si>
  <si>
    <t>Longford gas plant</t>
  </si>
  <si>
    <t>Sea CCS hub</t>
  </si>
  <si>
    <t>Longleaf CCS (AL)</t>
  </si>
  <si>
    <t>Tenaska, Southern States Energy Board</t>
  </si>
  <si>
    <t>https://longleafccs.com/</t>
  </si>
  <si>
    <t xml:space="preserve">Lorain CCS (OH) </t>
  </si>
  <si>
    <t>Lorain Carbon Zero Solutions</t>
  </si>
  <si>
    <t>https://www.epa.gov/system/files/documents/2023-01/Lorain_Testing_and_Monitoring_Plan.pdf</t>
  </si>
  <si>
    <t>Lost Cabin Gas Plant (WY)</t>
  </si>
  <si>
    <t>Contango Oil &amp; Gas (bought plant in 2021 from Conocophillips), ExxonMobil (formerly Denbury)</t>
  </si>
  <si>
    <t>https://s201.q4cdn.com/317576541/files/doc_presentation/2022/08/08/2022-08-DEN-August-Corporate-Presentation_MASTER-(1).pdf</t>
  </si>
  <si>
    <t>https://www.naturalgasintel.com/contango-snags-conocophillips-gassy-wind-river-assets-for-67m/</t>
  </si>
  <si>
    <t>http://pipeline.wyo.gov/plantcode.cfm?gp_code=2765</t>
  </si>
  <si>
    <t>Louis Dreyfus Grand Junction biorefinery (IA)</t>
  </si>
  <si>
    <t>Louis Dreyfus Grand Junction, Summit Carbon Solutions</t>
  </si>
  <si>
    <t>Louis Dreyfus Norfolk biorefinery (IA)</t>
  </si>
  <si>
    <t>Louis Dreyfus Norfolk, Summit Carbon Solutions</t>
  </si>
  <si>
    <t>Louisiana Green Fuels Project  (LA)</t>
  </si>
  <si>
    <t>Strategic Biofuels LLC, Louisianna Green Fuels, SLB</t>
  </si>
  <si>
    <t>https://bioenergyinternational.com/strategic-biofuels-completes-ccs-test-well-program-at-planned-biorefinery-site/</t>
  </si>
  <si>
    <t>https://strategicbiofuels.com/</t>
  </si>
  <si>
    <t>https://biomassmagazine.com/articles/18800/strategic-biofuels-project-moves-into-feed#:~:text=Strategic%20Biofuels%2C%20the%20leader%20in,end%20engineering%20design%20(FEED)%20or</t>
  </si>
  <si>
    <t>https://www.naturalgasintel.com/louisiana-green-diesel-project-using-ccs-advancing-for-caldwell-parish-port/</t>
  </si>
  <si>
    <t>https://matthey.com/jm-and-bp-strategic-biofuels-project</t>
  </si>
  <si>
    <t>https://strategicbiofuels.com/wp-content/uploads/2023/06/SLB-News-Release-1.pdf</t>
  </si>
  <si>
    <t xml:space="preserve">Lyse Forus Energigjenvinning Stavanger </t>
  </si>
  <si>
    <t>Lyse, Forus Energi, Aker CC (tech)</t>
  </si>
  <si>
    <t>https://www.districtenergy.org/blogs/district-energy/2021/02/03/aker-carbon-capture-eyes-ccs-project-at-waste-to-e</t>
  </si>
  <si>
    <t>https://akercarboncapture.com/about-us/key-projects/</t>
  </si>
  <si>
    <t>Magnolia sequestration hub (Allen Parish) (LA)</t>
  </si>
  <si>
    <t>Magnolia sequestration hub llc (Oxy low carbon ventures (Occidental))</t>
  </si>
  <si>
    <t>Magnolia sequestration hub</t>
  </si>
  <si>
    <t>https://netl.doe.gov/sites/default/files/netl-file/23CM_CTS28_Watson.pdf</t>
  </si>
  <si>
    <t>Marquis Industrial Complex (IL)</t>
  </si>
  <si>
    <t>Marquis Inc., Gas Liquids Engineering Ltd (FEED)</t>
  </si>
  <si>
    <t>https://marquisindustrialcomplex.com/who-we-are</t>
  </si>
  <si>
    <t>https://www.prnewswire.com/news-releases/gle-commences-engineering-on-carbon-capture-at-marquis-industrial-complex-301769736.html</t>
  </si>
  <si>
    <t>Maskwa Project (ALB)</t>
  </si>
  <si>
    <t xml:space="preserve"> Kiwetinohk Energy Corp.</t>
  </si>
  <si>
    <t>Meadowbrook storage hub (ALB)</t>
  </si>
  <si>
    <t>Bison Low Carbon Ventures , Enerflex, PrairieSky Royalty, IRC Enterprises, Marubeni Corporation</t>
  </si>
  <si>
    <t>https://fortsaskonline.com/articles/alberta-picks-six-proposals-to-develop-carbon-storage-hubs-in-industrial-heartland</t>
  </si>
  <si>
    <t>https://www.alberta.ca/carbon-sequestration-tenure-management.aspx</t>
  </si>
  <si>
    <t>https://www.marubeni.com/en/news/2023/release/00073.html</t>
  </si>
  <si>
    <t>Medway CCGT power station</t>
  </si>
  <si>
    <t>Synergia Energy Ltd (50%) and Wintershall Dea (50%)</t>
  </si>
  <si>
    <t>https://www.oedigital.com/news/506131-synergia-and-wintershall-dea-secure-uk-north-sea-carbon-storage-license-for-medway-hub-ccs-project</t>
  </si>
  <si>
    <t>MEPAU Mid West CCUS hub</t>
  </si>
  <si>
    <t>Mitsui E&amp;P Australia (MEPAU), JOGMEC</t>
  </si>
  <si>
    <t>Mid West CCUS hub</t>
  </si>
  <si>
    <t>https://www.energyvoice.com/renewables-energy-transition/ccs/404600/australia-pledges-50m-for-two-ccs-hubs/</t>
  </si>
  <si>
    <t>https://www.mitsui.com/jp/en/topics/2021/1242033_12171.html</t>
  </si>
  <si>
    <t>Merritt Electrofuels Project DAC (BC)</t>
  </si>
  <si>
    <t>Huron Clean Energy , Oxy Low Carbon Ventures, Upper Nicola Band and Carbon Engineering  (Oxy)</t>
  </si>
  <si>
    <t>https://carbonengineering.com/news-updates/large-scale-commercial-facility-fuel-from-air/</t>
  </si>
  <si>
    <t>https://news.gov.bc.ca/releases/2021EMLI0063-001970</t>
  </si>
  <si>
    <t>Metropolitan Area CCS - Nippon steel plant</t>
  </si>
  <si>
    <t>INPEX Corporation, Nippon Steel Corporation, Kanto Natural Gas Development Co., Ltd.</t>
  </si>
  <si>
    <t>Metropolitan Area CCS</t>
  </si>
  <si>
    <t>Metropolitan Area CCS (capture sources under evaluation)</t>
  </si>
  <si>
    <t>https://www.argusmedia.com/en//news/2458762-japan-to-fund-seven-projects-to-advance-ccs-strategy</t>
  </si>
  <si>
    <t>Mid West Clean Energy Project</t>
  </si>
  <si>
    <t xml:space="preserve">Pilot Energy, Warrego Energy, APA group, KNCC (Transportation
</t>
  </si>
  <si>
    <t>https://www.pilotenergy.com.au/sites/pilotenergy.com.au/files/asx-announcements/61045427.pdf</t>
  </si>
  <si>
    <t>https://www.pilotenergy.com.au/sites/pilotenergy.com.au/files/asx-announcements/61013340.pdf</t>
  </si>
  <si>
    <t>https://fuelcellsworks.com/news/consortium-formed-to-progress-pilots-mid-west-blue-hydrogen-and-carbon-capture-storage-ccs-project/</t>
  </si>
  <si>
    <t>https://hydrogen-central.com/pilot-energy-studies-competitive-clean-hydrogen-ammonia-producer/</t>
  </si>
  <si>
    <t>https://www.kn-cc.com/news/newsflash-kncc-pilotenergy</t>
  </si>
  <si>
    <t>Midland Basin project: Dusek CCS (TX)</t>
  </si>
  <si>
    <t xml:space="preserve">Milestone carbon (Milestone Envrionmental services), Texas Pacific Land Corporation </t>
  </si>
  <si>
    <t>Midland Basin project (TX)</t>
  </si>
  <si>
    <t>https://www.milestone-es.com/About-Us/News-and-Events/Milestone-Carbon-Announces-Development-of-Carbon-Sequestration-Hub-in-Midland-Basin/</t>
  </si>
  <si>
    <t>Midwest AgEnergy Blue Flint ethanol (ND)</t>
  </si>
  <si>
    <t xml:space="preserve">Blue Flint Sequester Company LLC, Harvestone Low Carbon Partners, Ag Energy Group LLC </t>
  </si>
  <si>
    <t>https://www.biofuelsdigest.com/bdigest/2020/10/14/midwest-agenergy-drilling-ccs-test-well-at-blue-flint-ethanol-plant/</t>
  </si>
  <si>
    <t>https://www.midwestagenergy.com/story-midwest-agenergys-blue-flint-facility-advancing-co2-project-receives-34-million-grant-375-204078</t>
  </si>
  <si>
    <t>https://www.nd.gov/ndic/csea/applications/r1/C-01-08%20public%20documents/MAG%20CSEA%20Application%20-Carbon%20Capture%20&amp;%20Sequestration%20Project%20110121.pdf</t>
  </si>
  <si>
    <t>https://ethanolproducer.com/articles/harvestone-co2-injection-commences-at-blue-flint-ethanol-ccs-project</t>
  </si>
  <si>
    <t>Midwest Carbon Express (NE, SD, ND, MI, IA)</t>
  </si>
  <si>
    <t>Summit carbon solutions (SK E&amp;S 10%)</t>
  </si>
  <si>
    <t>https://www.dtnpf.com/agriculture/web/ag/news/article/2023/08/04/summits-carbon-project-faces-setback</t>
  </si>
  <si>
    <t>Mikawa Power Plant BECCS Fukuoka Prefecture</t>
  </si>
  <si>
    <t>SIGMA Power Ariake (Toshiba), ESS</t>
  </si>
  <si>
    <t>https://www.global.toshiba/ww/news/energy/2020/10/news-20201031-01.html</t>
  </si>
  <si>
    <t>https://www.chemengonline.com/japanese-consortium-begins-five-year-large-scale-carbon-capture-project/</t>
  </si>
  <si>
    <t>https://www.global.toshiba/ww/news/corporate/2016/07/pr2601.html</t>
  </si>
  <si>
    <t>https://papers.ssrn.com/sol3/papers.cfm?abstract_id=4282099#</t>
  </si>
  <si>
    <t>Mineral carbonation international Carbon Plant demonstrator</t>
  </si>
  <si>
    <t>Mineral Carbonation International</t>
  </si>
  <si>
    <t>https://www.mineralcarbonation.com/blog/ccus-grant-awarded?categoryId=12078</t>
  </si>
  <si>
    <t>https://www.mineralcarbonation.com/customers</t>
  </si>
  <si>
    <t>Minerva (LA)</t>
  </si>
  <si>
    <t>Minnedosa Ethanol Plant (MB)</t>
  </si>
  <si>
    <t>https://natural-resources.canada.ca/science-and-data/funding-partnerships/opportunities/current-investments/minnedosa-ethanol-plant-co2-sequestration/25229</t>
  </si>
  <si>
    <t>Mission Zero Technologies pilot 2</t>
  </si>
  <si>
    <t>Oman</t>
  </si>
  <si>
    <t>Mission Zero Technologies</t>
  </si>
  <si>
    <t xml:space="preserve">https://www.missionzero.tech/ </t>
  </si>
  <si>
    <t>Mitchell CarbonSAFE (IN)</t>
  </si>
  <si>
    <t>Illinois State Geological Survey, Heidelberg Materials, Projeo, IGS, University of Illinois</t>
  </si>
  <si>
    <t>MOL Szank field CO2 EOR</t>
  </si>
  <si>
    <t>MOL group</t>
  </si>
  <si>
    <t>https://molgroup.info/storage/documents/publications/annual_reports/2021/mol_plc_consolidated_annual_report_2021_eng.pdf</t>
  </si>
  <si>
    <t>Monkey Island carbon storage project (LA)</t>
  </si>
  <si>
    <t>Advanced Resources International Inc.</t>
  </si>
  <si>
    <t>Montauk Energy biogas plants (TX)</t>
  </si>
  <si>
    <t>Montauk Renewables, EE North America (European Energy)</t>
  </si>
  <si>
    <t>https://www.greencarcongress.com/2023/08/20230808-montauk.html</t>
  </si>
  <si>
    <t>https://ir.montaukrenewables.com/news-releases/news-release-details/ee-north-america-and-montauk-renewables-forge-groundbreaking</t>
  </si>
  <si>
    <t>Montezuma NorCal Carbon Hub (CA)</t>
  </si>
  <si>
    <t>Montezuma Carbon LLC, University of Berkeley, Lawrence Berkeley National Lab</t>
  </si>
  <si>
    <t>https://www.epa.gov/uic/uic-permits-epas-pacific-southwest-region-9</t>
  </si>
  <si>
    <t>Moomba Carbon Capture and Storage</t>
  </si>
  <si>
    <t>Santos, Beach Energy</t>
  </si>
  <si>
    <t>Moomba CCS storage hub</t>
  </si>
  <si>
    <t>https://www.santos.com/wp-content/uploads/2021/11/211101-Santos-announces-FID-on-Moomba-carbon-capture-and-storage-project.pdf</t>
  </si>
  <si>
    <t>https://www.santos.com/news/moomba-carbon-capture-and-storage-injection-trial-successful/</t>
  </si>
  <si>
    <t>https://www.santos.com/news/moomba-ccs-project-boosted-by-a15-million-grant-from-carbon-capture-use-and-storage-development-fund/</t>
  </si>
  <si>
    <t>https://www.santos.com/news/moomba-ccs-progressing-at-pace-and-on-track-for-2024/</t>
  </si>
  <si>
    <t>https://www.santos.com/news/santos-secures-moomba-carbon-capture-and-storage-finance-to-drive-decarbonisation/</t>
  </si>
  <si>
    <t>Moomba CCS storage hub (phase 2)</t>
  </si>
  <si>
    <t>Australia-Japan</t>
  </si>
  <si>
    <t>Santos, JX Nippon Oil &amp; Gas Exploration Corporation, ENEOS</t>
  </si>
  <si>
    <t>https://www.santos.com/news/santos-announces-fid-on-moomba-carbon-capture-and-storage-project/</t>
  </si>
  <si>
    <t>https://www.santos.com/news/santos-jx-and-eneos-to-collaborate-on-carbon-capture-and-storage-to-support-moomba-ccs-phase-2-and-help-japan-decarbonise/</t>
  </si>
  <si>
    <t>Moomba CCS storage hub (phase 3)</t>
  </si>
  <si>
    <t>Santos,  JX Nippon Oil &amp; Gas Exploration Corporation, ENEOS</t>
  </si>
  <si>
    <t>Moomba CCS storage hub (phase 4)</t>
  </si>
  <si>
    <t>Moraine (GE) Power Generation (ALB)</t>
  </si>
  <si>
    <t>Moraine Initiative Ltd (GE)</t>
  </si>
  <si>
    <t>https://morainepower.ca/project-details/</t>
  </si>
  <si>
    <t>https://morainepowerca.files.wordpress.com/2023/06/moraine_project_map-2.png</t>
  </si>
  <si>
    <t>Morecambe Net Zero Cluster</t>
  </si>
  <si>
    <t>Spirit Energy (Centrica and Stadtwerke Mucnchen GmbH joint venture)</t>
  </si>
  <si>
    <t>https://www.spirit-energy.com/newsroom/press-releases/spirit-energy-launches-plan-for-carbon-storage-cluster/</t>
  </si>
  <si>
    <t>https://www.mnzcluster.com/news/mnz-cluster-signs-memorandum-of-understanding-with-peak-cluster</t>
  </si>
  <si>
    <t>https://www.energylivenews.com/2023/05/19/morecambe-gas-fields-embrace-carbon-capture/</t>
  </si>
  <si>
    <t>Mote biomass-to-hydrogen plant (CA)</t>
  </si>
  <si>
    <t>Mote, CarbonCure, Fluor Corporation, SungasRenewables</t>
  </si>
  <si>
    <t>https://www.greencarcongress.com/2021/12/20211216-mote.html</t>
  </si>
  <si>
    <t>https://www.businesswire.com/news/home/20220524005541/en/Mote-Enters-Advanced-Stage-of-Engineering-Design-for-Southern-California-Carbon-Negative-Hydrogen-Facility</t>
  </si>
  <si>
    <t>Mote biomass-to-hydrogen plant, 2nd facility (CA)</t>
  </si>
  <si>
    <t>Mote</t>
  </si>
  <si>
    <t>https://www.businesswire.com/news/home/20230810509160/en/Mote-Kicks-Off-Second-Biomass-to-Hydrogen-Project-in-Northern-California</t>
  </si>
  <si>
    <t>Motor Oil Hellas (Iris)</t>
  </si>
  <si>
    <t>Motor Oil</t>
  </si>
  <si>
    <t>https://www.marketscreener.com/quote/stock/MOTOR-OIL-HELLAS-CORINTH--1408781/news/Motor-Oil-Hellas-Corinth-Refineries-S-A-The-Innovation-Fund-Grant-Agreement-for-Motor-Oil-s-fla-45590584/</t>
  </si>
  <si>
    <t>https://www.moh.gr/en/news/motor-oil-group-makes-decisive-progress-in-its-green-transformation-with-the-support-of-the-e-e-innovation-fund/</t>
  </si>
  <si>
    <t>MoU ADNOC ENEOS Mitsui Ruwais Industrial Area</t>
  </si>
  <si>
    <t>ADNOC, ENEOS, Mitsui</t>
  </si>
  <si>
    <t>https://www.offshore-energy.biz/adnoc-eneos-mitsui-to-look-into-clean-hydrogen-supply-chain-between-uae-and-japan/</t>
  </si>
  <si>
    <t>Mountaineer Gigasystem (WV) Phase 1</t>
  </si>
  <si>
    <t>Fidelis new energy, State of West Virginia, MCDA, West Virginia University, West Virginia DNR,WVGES, Babcock &amp; Wilcox, Topsoe, Battelle Carbon Services (Storage)</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</si>
  <si>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</si>
  <si>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</si>
  <si>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Mountaineer Gigasystem (WV) Phase 2</t>
  </si>
  <si>
    <t>Mountaineer Gigasystem (WV) Phase 3</t>
  </si>
  <si>
    <t>Mountaineer Gigasystem (WV) Phase 4</t>
  </si>
  <si>
    <t>ADM, Wolf Carbon Solutions (Wolf Midstream)</t>
  </si>
  <si>
    <t>https://www.howden.com/en-us/news/chart-wolf-mou</t>
  </si>
  <si>
    <t>https://www.adm.com/globalassets/standalone-pages/carbon-sequestration--storage/cp-221047_ccscampaignmaterialswolfpipeline_fly_eng_220803_r4.pdf</t>
  </si>
  <si>
    <t>https://www.adm.com/globalassets/standalone-pages/carbon-sequestration--storage/cp-221047_ccscampaignmaterialswolfpipeline_fly_eng_220803_r4.pdf/</t>
  </si>
  <si>
    <t>Multi-user Burrup CCUS hub and network (Karratha CCS Project)</t>
  </si>
  <si>
    <t>Woodside, bp, Shell, Chevron, MIMI (50/50 Mitsubishi and Mitsui)</t>
  </si>
  <si>
    <t>Burrup CCUS hub</t>
  </si>
  <si>
    <t>https://www.offshore-energy.biz/woodside-bp-and-mimi-join-forces-for-ccs-study-in-australia/</t>
  </si>
  <si>
    <t>Mustang Station Carbon Capture (TX)</t>
  </si>
  <si>
    <t>Golden Spread Electric Cooperative,  University of Texas at Austin </t>
  </si>
  <si>
    <t>Nagoya port cluster (capture sources under evaluation)</t>
  </si>
  <si>
    <t>Japan-Indonesia</t>
  </si>
  <si>
    <t>BP, Chubu Electric</t>
  </si>
  <si>
    <t>Nagoya port cluster</t>
  </si>
  <si>
    <t>https://www.chuden.co.jp/english/corporate/releases/pressreleases/1211821_5163.html</t>
  </si>
  <si>
    <t>Nairyah1 and Nairyah 2 plants</t>
  </si>
  <si>
    <t>SPPC</t>
  </si>
  <si>
    <t>https://www.arabnews.com/node/2435581/business-economy</t>
  </si>
  <si>
    <t>Nanhai petrochemical plant-Capture for Daya bay CCS (Guangdong)</t>
  </si>
  <si>
    <t>Shell</t>
  </si>
  <si>
    <t>Daya bay CCS Hub</t>
  </si>
  <si>
    <t>Navigator Terminal train</t>
  </si>
  <si>
    <t>Neau Lime plant</t>
  </si>
  <si>
    <t>Lhoist</t>
  </si>
  <si>
    <t>Net Power Odessa gas plant (TX)</t>
  </si>
  <si>
    <t>Net Power, Oxy low carbon ventures (Occidental) (T&amp;S), 8 Rivers capital (funding)</t>
  </si>
  <si>
    <t>https://netpower.com/net-power-announces-its-first-utility-scale-clean-energy-power-plant-integrated-with-co2-sequestration/</t>
  </si>
  <si>
    <t>Net Zero Teesside Power</t>
  </si>
  <si>
    <t>BP, Equinor</t>
  </si>
  <si>
    <t>https://www.carboncapturejournal.com/ViewNews.aspx?NewsID=4894</t>
  </si>
  <si>
    <t>https://www.netzeroteesside.co.uk/news/net-zero-teesside-nzt-power-named-on-desnzs-track-1-project-negotiation-list/</t>
  </si>
  <si>
    <t>https://www.newcivilengineer.com/latest/costain-completes-engineering-design-for-two-carbon-capture-projects-on-teesside-01-02-2024/</t>
  </si>
  <si>
    <t>https://www.gov.uk/government/news/the-net-zero-teesside-project-development-consent-decision-announced</t>
  </si>
  <si>
    <t>Net-zero Hydrogen Energy Complex (ALB)</t>
  </si>
  <si>
    <t>Air Products, Baker Hughes</t>
  </si>
  <si>
    <t>https://fuelcellsworks.com/news/air-products-announces-1-3-billion-dollar-net-zero-hydrogen-energy-complex-in-edmonton-alberta-canada/</t>
  </si>
  <si>
    <t>https://www.airproducts.com/news-center/2022/11/1108-air-products-receive-475-million-cad-net-zero-hydrogen-complex-funding</t>
  </si>
  <si>
    <t>https://www.airproducts.com/news-center/2022/09/0906-imperial-advances-renewable-diesel-plans-awards-hydrogen-contract-to-air-products</t>
  </si>
  <si>
    <t>https://majorprojects.alberta.ca/details/Air-Products-Hydrogen-Production-and-Liquefaction-Facility/4461/</t>
  </si>
  <si>
    <t>https://www.airproducts.com/company/innovation/carbon-capture</t>
  </si>
  <si>
    <t>https://news.imperialoil.ca/news-releases/news-releases/2023/Imperial-Approves-720-million-for-Largest-Renewable-Diesel-Facility-in-Canada/default.aspx</t>
  </si>
  <si>
    <t>NextDecade Rio Grande LNG (TX)</t>
  </si>
  <si>
    <t>NextDecade, Mitsubishi HI (ESA/Tech)</t>
  </si>
  <si>
    <t>BlueBonnet sequestration hub (TX)</t>
  </si>
  <si>
    <t>https://nextdecade.gcs-web.com/static-files/ce6f04c5-06c0-4a99-b89e-dd70344bac4e</t>
  </si>
  <si>
    <t>https://www.naturalgasintel.com/nextdecade-targets-rio-grande-fid-early-next-year-after-latest-spa/</t>
  </si>
  <si>
    <t>Nihon Shipyard Mistubishi Shipbuilding JV LCO2 carrier</t>
  </si>
  <si>
    <t>Mitsubishi Shipbuilding (Mitsubishi Heavy Industries (MHI)) Group,Nihon Shipyard Co.</t>
  </si>
  <si>
    <t>https://www.mhi.com/news/23052201.html</t>
  </si>
  <si>
    <t>NL CCS Direct Injection (Noordkaap)</t>
  </si>
  <si>
    <t>Eni (following acquisition of Neptune Energy), EBN, ExxonMobil, Tenaz Energy &amp; Cape Omega</t>
  </si>
  <si>
    <t>Noorkaap</t>
  </si>
  <si>
    <t>https://benelux.rwe.com/en/press/2023-02-22-capeomega-and-neptune-energy-announce-noordkaap-rwe-signs-letter-of-intent-/</t>
  </si>
  <si>
    <t>Nordbex Aker feasibility study</t>
  </si>
  <si>
    <t>Aker CC, Nordbex AB</t>
  </si>
  <si>
    <t>https://akercarboncapture.com/?cision_id=127052DDD0AA5012</t>
  </si>
  <si>
    <t>https://akercarboncapture.com/?cision_id=B878513B1A89CB04</t>
  </si>
  <si>
    <t>Norske Skog Saugbrugs (Borg CO2)</t>
  </si>
  <si>
    <t>Borg Havn, Norske Skog Saugbrugs</t>
  </si>
  <si>
    <t>North Dakota CarbonSAFE (ND)</t>
  </si>
  <si>
    <t>Summit carbon solutions, Minnkota Power Cooperative, Inc., University of North Dakota EERC (data from CarbonSafe used for project)</t>
  </si>
  <si>
    <t>https://www.projecttundrand.com/post/minnkota-and-summit-carbon-solutions-announce-co2-storage-partnership</t>
  </si>
  <si>
    <t>https://undeerc.org/research/projects/ndcarbonsafe.html#d56e191--2</t>
  </si>
  <si>
    <t>North Drumheller Hub (ALB)</t>
  </si>
  <si>
    <t xml:space="preserve"> Bison Low Carbon Ventures Inc. </t>
  </si>
  <si>
    <t>https://www.stalbertgazette.com/local-news/carbon-capture-plant-proposed-west-of-legal-bison-brister-comeau-wierzba-5969255</t>
  </si>
  <si>
    <t>North East Alliance blue ammonia Yakutia Phase 1</t>
  </si>
  <si>
    <t xml:space="preserve">North East Alliance, Gas production companies in Western Yakutia
</t>
  </si>
  <si>
    <t>North East Alliance blue ammonia Yakutia Phase 2</t>
  </si>
  <si>
    <t>North Lincolnshire NLGEP</t>
  </si>
  <si>
    <t>Solar 21 Renewable Energy Limited</t>
  </si>
  <si>
    <t>https://northlincolnshiregreenenergypark.co.uk/nlgep-our-plans/</t>
  </si>
  <si>
    <t>North Sea CO2 corridor</t>
  </si>
  <si>
    <t>Belgium-Germany</t>
  </si>
  <si>
    <t>Wintershell dea, Fluxys, OGE</t>
  </si>
  <si>
    <t>Wintershell dea-Fluxys belgium-germany pipeline</t>
  </si>
  <si>
    <t>https://wintershalldea.com/en/newsroom/pi-23-04-fluxys</t>
  </si>
  <si>
    <t>https://wintershalldea.com/en/newsroom/pi-23-42</t>
  </si>
  <si>
    <t>Northern Endurance Partnership phase 1</t>
  </si>
  <si>
    <t>BP, Equinor, TotalEnergies (partners), Worley (technical advisors), Costain (FEED transport)</t>
  </si>
  <si>
    <t>https://www.netzeroteesside.co.uk/northern-endurance-partnership/</t>
  </si>
  <si>
    <t>https://genesisenergies.com/news/genesis-awarded-northern-endurance-partnership-nep-offshore-feed</t>
  </si>
  <si>
    <t>https://www.equinor.com/news/uk/20220512-east-coast-cluster-carbon-storage-licences</t>
  </si>
  <si>
    <t>https://www.reuters.com/business/sustainable-business/shell-pulls-out-large-carbon-capture-project-northern-england-2023-04-25/</t>
  </si>
  <si>
    <t>Northern Endurance Partnership phase 2</t>
  </si>
  <si>
    <t>https://www.eni.com/en-IT/operations/storage-reuse-co2.html</t>
  </si>
  <si>
    <t>Northern Endurance Partnership phase 3</t>
  </si>
  <si>
    <t>Northern Gulf of Thailand CCS Exploration project</t>
  </si>
  <si>
    <t>PTTEP, INPEX (under cooperation between Thai Department of Mineral Fuels and JOGMEC)</t>
  </si>
  <si>
    <t>https://www.pttep.com/en/Newsandnmedia/News/2024-Northern-Got-Ccs-Study.aspx?mode=print</t>
  </si>
  <si>
    <t>Northern Lights Phase 1</t>
  </si>
  <si>
    <t>Shell (33.3%), TotalEnergies (33.3%), Equinor (33.3%)</t>
  </si>
  <si>
    <t>https://ccsnorway.com/app/uploads/sites/6/2020/10/Potential-for-reduced-cost-for-carbon-capture-2019.pdf</t>
  </si>
  <si>
    <t>https://www.regjeringen.no/contentassets/943cb244091d4b2fb3782f395d69b05b/en-gb/pdfs/stm201920200033000engpdfs.pdf</t>
  </si>
  <si>
    <t>https://totalenergies.com/projects/carbon-capture-and-storage/northern-lights-first-major-carbon-capture-and-storage-project</t>
  </si>
  <si>
    <t>https://www.svanehoj.com/about/news/svanehoj-to-supply-pumps-for-northern-lights-co2-carriers/</t>
  </si>
  <si>
    <t>Northern Lights Phase 2</t>
  </si>
  <si>
    <t>https://norlights.com/news/northern-lights-awards-ship-management-contract-to-k-line/</t>
  </si>
  <si>
    <t>https://norlights.com/news/northern-lights-enters-charter-agreement-to-expand-fleet-with-a-fourth-co2-ship/</t>
  </si>
  <si>
    <t>Northern Plains Nitrogen Blue ammonia (ND)</t>
  </si>
  <si>
    <t>Northern Plains Nitrogen, Summit Carbon Solutions (T&amp;S)</t>
  </si>
  <si>
    <t>https://www.grandforksherald.com/news/local/although-no-word-northern-plains-nitrogen-plant-is-imminent-in-grand-forks-press-release-sparks-discussion</t>
  </si>
  <si>
    <t>https://northernplainsnitrogen.com/summit-carbon-solutions-partners-with-blue-ammonia-project-to-decarbonize-ag-supply-chain/</t>
  </si>
  <si>
    <t>https://www.prnewswire.com/news-releases/summit-carbon-solutions-partners-with-blue-ammonia-project-to-decarbonize-ag-supply-chain-301457380.html</t>
  </si>
  <si>
    <t>Northern to Western Kyushu Offshore CCS - Eneos refinery</t>
  </si>
  <si>
    <t>Eneos Holdings, J-Power, JX</t>
  </si>
  <si>
    <t>Northern to Western Kyushu Offshore CCS - J-Power power plant</t>
  </si>
  <si>
    <t>J-Power</t>
  </si>
  <si>
    <t>https://www.argusmedia.com/en/news/2329764-japans-eneos-jpower-to-study-domestic-ccs-project</t>
  </si>
  <si>
    <t>Northern to Western Kyushu Offshore CCS (capture sources under evaluation)</t>
  </si>
  <si>
    <t>Norvik Infrastructure CCS East (NICE)</t>
  </si>
  <si>
    <t xml:space="preserve">Ports of Stockhom,  Stockholm Exergi, Mälarenergi, Söderenergi, Vattenfall, Heidelberg Materials, Nordkalk, and Plagazi </t>
  </si>
  <si>
    <t>https://www.portsofstockholm.com/about-us/news/2023/stockholm-norvik-port-potential-ccs-hub-in-sweden/</t>
  </si>
  <si>
    <t>https://news.cision.com/plagazi-ab/r/plagazi-joins-leading-project-for-carbon-capture---storage-management-in-stockholm-norvik-harbour,c3736083</t>
  </si>
  <si>
    <t>Novatek Obskiy Gas Chemical Complex Blue ammonia</t>
  </si>
  <si>
    <t>Novatek</t>
  </si>
  <si>
    <t>https://www.upstreamonline.com/energy-transition/novatek-speeds-up-hydrogen-and-ccs-preparations/2-1-1046544</t>
  </si>
  <si>
    <t>\\vfiler1\group0\IEA\DOCS\Hydrogen\Global Hydrogen Review 2022\3. Research\Russia_Atlas_Hydrogen_Projects.pdf</t>
  </si>
  <si>
    <t>https://www.upstreamonline.com/energy-transition/novatek-steps-up-ambitions-on-blue-ammonia-and-hydrogen/2-1-1090858</t>
  </si>
  <si>
    <t>Nucor Covent plant (LA)</t>
  </si>
  <si>
    <t>Nucor, ExxonMobil</t>
  </si>
  <si>
    <t>https://nucor.com/news-release/19816</t>
  </si>
  <si>
    <t>Nutrien Redwater Fertilizer (ALB) phase 1</t>
  </si>
  <si>
    <t>Nutrien (formerly Agrium)</t>
  </si>
  <si>
    <t>Nutrien Redwater Fertilizer (ALB) phase 2</t>
  </si>
  <si>
    <t>https://www.eralberta.ca/projects/details/nutrien-redwater-carbon-capture-study/</t>
  </si>
  <si>
    <t>NWR Sturgeon Refinery (ALB)</t>
  </si>
  <si>
    <t>Northwest Redwater Partnership</t>
  </si>
  <si>
    <t>https://actl.ca/actl-project/about-actl/</t>
  </si>
  <si>
    <t>https://www.sciencedirect.com/science/article/pii/S1876610213008849</t>
  </si>
  <si>
    <t>https://open.alberta.ca/dataset/90f61413-0ef1-45a4-9e1c-6bff7c23fd7e/resource/f63e6823-4eec-4a62-9590-b6a091c7a058/download/energy-actl-knowledge-sharing-2019-summary-report.pdf</t>
  </si>
  <si>
    <t>OCAP</t>
  </si>
  <si>
    <t>OCAP (Linde)</t>
  </si>
  <si>
    <t>Oceania CCS (capture sources under evaluation)</t>
  </si>
  <si>
    <t>Japan-unknown</t>
  </si>
  <si>
    <t>Nippon steel, ExxonMobil, Mitsubishi</t>
  </si>
  <si>
    <t>Oceania CCS</t>
  </si>
  <si>
    <t>Other Asia Pacific - Australia and New Zealand</t>
  </si>
  <si>
    <t>https://www.mitsubishicorp.com/jp/en/pr/archive/2023/html/0000050630.html</t>
  </si>
  <si>
    <t>OCI Fertilizer plant phase 1 (IA)</t>
  </si>
  <si>
    <t>OCI, Enerflex (CO2 capture), Blackrock (funding), Navigor (T)</t>
  </si>
  <si>
    <t>Heartland Greenway</t>
  </si>
  <si>
    <t>https://www.oci.nl/news/2022-oci-progresses-iowa-s-carbon-capture-sequestration-project-to-abate-its-co2-emissions-and-produce-low-carbon-ammonia-urea-and-def-in-the-us/</t>
  </si>
  <si>
    <t>OCI Fertilizer plant phase 2 (IA)</t>
  </si>
  <si>
    <t>Offshore Malay CCS (capture sources under evaluation)</t>
  </si>
  <si>
    <t>Mitsui, TotalEnergies, PETRONAS</t>
  </si>
  <si>
    <t>Offshore Malay CCS</t>
  </si>
  <si>
    <t>https://totalenergies.com/media/news/press-releases/totalenergies-partners-petronas-and-mitsui-carbon-storage-hub-malaysia</t>
  </si>
  <si>
    <t>Olso Celsio</t>
  </si>
  <si>
    <t>Hafslund Oslo Celsio (formerly Fortum Oslo Varme), Aker CC (FEED)</t>
  </si>
  <si>
    <t>https://www.spglobal.com/commodityinsights/en/market-insights/latest-news/electric-power/111621-interview-fortum-oslo-varme-hails-ccs-for-waste-plant-as-model-for-hard-to-abate-sectors</t>
  </si>
  <si>
    <t>https://gassnova.no/en/news/revised-state-budget-government-guarantees-carbon-capture-at-klemetsrud</t>
  </si>
  <si>
    <t>https://www.linkedin.com/posts/jannicke-gerner-bjerk%C3%A5s-a65aa86b_hafslundoslocelsio-celsio-ccs-activity-6937322763439230976-87Bf?utm_source=linkedin_share&amp;utm_medium=member_desktop_web</t>
  </si>
  <si>
    <t>https://www.businesswire.com/news/home/20220703005020/en/Technip-Energies-Awarded-a-Large-EPC-Contract-by-Hafslund-Oslo-Celsio-for-a-World-First-Carbon-Capture-and-Storage-Project-at-Waste-to-Energy-Plant-in-Norway</t>
  </si>
  <si>
    <t>https://gassnova.no/en/news/celsio-puts-klemetsrud-carbon-capture-project-on-hold</t>
  </si>
  <si>
    <t>https://akercarboncapture.com/?cision_id=637CE56D2A8E4DDE</t>
  </si>
  <si>
    <t>OLYMPUS Holcim Milaki</t>
  </si>
  <si>
    <t>Omifco ammonia capture</t>
  </si>
  <si>
    <t>OQ group, Omifco</t>
  </si>
  <si>
    <t>https://www.zawya.com/en/projects/industry/omans-oq-weighs-blue-ammonia-production-from-omifco-plant-d6jrc6bz</t>
  </si>
  <si>
    <t>One Earth Energy ethanol CCS (IL)</t>
  </si>
  <si>
    <t>One Earth Energy</t>
  </si>
  <si>
    <t>http://www.ethanolproducer.com/articles/18527/rex-reports-profitable-q2-for-ethanol-segment</t>
  </si>
  <si>
    <t>https://netl.doe.gov/project-information?p=FE0031892</t>
  </si>
  <si>
    <t>http://ethanolproducer.com/articles/17119/doe-funds-ccus-project-at-ethanol-plant-opens-new-ccus-foa</t>
  </si>
  <si>
    <t>https://ethanolproducer.com/articles/20070/rex-reports-progress-with-ccs-project-plans-capacity-expansion</t>
  </si>
  <si>
    <t>Opal Carbon Hub (ALB)</t>
  </si>
  <si>
    <t>Enbridge, Capital Power, Heidelberg Materials, First Nation Capital Investment Partnership (FNCIP)</t>
  </si>
  <si>
    <t>https://www.prnewswire.com/news-releases/lehigh-cement-and-enbridge-agree-to-advance-a-co2-storage-solution-in-alberta-301468110.html</t>
  </si>
  <si>
    <t>https://www.eralberta.ca/projects/details/genesee-ccs/</t>
  </si>
  <si>
    <t>Orchard (TX)</t>
  </si>
  <si>
    <t>Orchard Storage Company LLC, Elysian Ventures LLC, EnCap Flatrock Midstream, Buckeye Partners, Lonquist Sequestration</t>
  </si>
  <si>
    <t>https://ccusmap.com/markers/project-detail/orchard</t>
  </si>
  <si>
    <t>Origins project (ALB)</t>
  </si>
  <si>
    <t>https://majorprojects.alberta.ca/details/Origins-Carbon-Sequestration-Hub-Project/8539</t>
  </si>
  <si>
    <t>https://www.newswire.ca/news-releases/enhance-energy-announces-the-origins-project-a-carbon-sequestration-hub-in-central-alberta-814211988.html</t>
  </si>
  <si>
    <t>Orion (AL)</t>
  </si>
  <si>
    <t>https://www.spglobal.com/commodityinsights/en/market-insights/latest-news/energy-transition/020822-oil-producer-denbury-plans-co2-storage-hub-in-southern-alabama</t>
  </si>
  <si>
    <t>https://corporate.exxonmobil.com/what-we-do/delivering-industrial-solutions/carbon-capture-and-storage</t>
  </si>
  <si>
    <t>Orion CCS Project Phase 1</t>
  </si>
  <si>
    <t>Prenco UK (licencee 80%), Carbon Catalyst Ltd (10%), Summit Energy Evolution Limited (Sumitomo) (10%)</t>
  </si>
  <si>
    <t>https://www.offshore-energy.biz/perenco-and-carbon-catalyst-win-two-more-carbon-storage-licenses/</t>
  </si>
  <si>
    <t>https://www.sumitomocorp.com/en/jp/news/topics/2023/group/20231117</t>
  </si>
  <si>
    <t>Orion CCS Project Phase 2</t>
  </si>
  <si>
    <t>Orlen Lietuva</t>
  </si>
  <si>
    <t>Lithuania</t>
  </si>
  <si>
    <t>Osage CCS 1 (OK)</t>
  </si>
  <si>
    <t>CapturePoint LLC</t>
  </si>
  <si>
    <t>https://ccusmap.com/markers/project-detail/osage-ccs-1</t>
  </si>
  <si>
    <t>Oxy DAC potential expansion scenario global 2030</t>
  </si>
  <si>
    <t>https://www.oxy.com/news/news-releases/1pointfive-and-carbon-engineering-announce-direct-air-capture-deployment-approach-to-enable-global-build-out-of-plants/</t>
  </si>
  <si>
    <t>https://carbonengineering.com/news-updates/multi-million-tonne-south-texas/</t>
  </si>
  <si>
    <t>Oxy DAC potential expansion scenario US 2030</t>
  </si>
  <si>
    <t>South Texas DAC Hub</t>
  </si>
  <si>
    <t>https://www.energy.gov/articles/biden-harris-administration-announces-12-billion-nations-first-direct-air-capture</t>
  </si>
  <si>
    <t>Oxy/ADNOC UAE DAC</t>
  </si>
  <si>
    <t>Oxy low carbon ventures (Occidental), ADNOC</t>
  </si>
  <si>
    <t>https://www.oxy.com/news/news-releases/occidental-and-adnoc-to-evaluate-carbon-management-projects-in-the-united-states-and-united-arab-emirates-to-accelerate-net-zero-goals/</t>
  </si>
  <si>
    <t>Pannonia Bio refinery</t>
  </si>
  <si>
    <t>ClonBio Group</t>
  </si>
  <si>
    <t>Papua LNG CCS</t>
  </si>
  <si>
    <t>Papua New Guinea</t>
  </si>
  <si>
    <t>TotalEnergies</t>
  </si>
  <si>
    <t>https://totalenergies.com/fr/medias/actualite/communiques/total-et-letat-de-papouasie-nouvelle-guinee-signent-laccord-gaz-pour-le-projet-papua-lng</t>
  </si>
  <si>
    <t>https://totalenergies.com/media/news/press-releases/papua-new-guinea-totalenergies-announces-new-milestone-towards-papua-lng</t>
  </si>
  <si>
    <t>https://www.offshore-technology.com/news/totalenergies-carbon-papua-lng/</t>
  </si>
  <si>
    <t xml:space="preserve">Parc Adfer CCS </t>
  </si>
  <si>
    <t>Enfinium</t>
  </si>
  <si>
    <t>https://enfinium.co.uk/enfinium-and-eni-uk-sign-carbon-capture-and-storage-agreement-advancing-decarbonisation-efforts-in-north-wales/</t>
  </si>
  <si>
    <t>Pathways alliance (ALB) (14 facilities)</t>
  </si>
  <si>
    <t>Pathways Alliance (CNRL, Cenovus Energy, ConocoPhilips, Imperial, MEG Energy, and Suncor)</t>
  </si>
  <si>
    <t>Oil Sands Pathways to Net Zero T&amp;S (ALB)</t>
  </si>
  <si>
    <t>https://www.eralberta.ca/projects/details/oil-sands-ccus-pathways-to-net-zero/</t>
  </si>
  <si>
    <t>https://pathwaysalliance.ca/release-detailed-evaluation/</t>
  </si>
  <si>
    <t>https://www.cbc.ca/news/canada/calgary/oilsands-group-pledges-to-spend-16-5b-on-carbon-capture-project-by-2030-1.6616689</t>
  </si>
  <si>
    <t>https://www.woodplc.com/news/latest-press-releases/2023/wood-secures-engineering-contract-for-pathways-alliance-ccs-pipeline</t>
  </si>
  <si>
    <t>Pathways Alliance (T&amp;S) (ALB)</t>
  </si>
  <si>
    <t>PCS Nitrogen Geismar Ammonia plant (LA)</t>
  </si>
  <si>
    <t>Nutrien, ExxonMobil (formerly Denbury carbon solutions)</t>
  </si>
  <si>
    <t>https://nutrien-prod-asset.s3.us-east-2.amazonaws.com/s3fs-public/uploads/2022-05/Nutrien%20Announces%20Intention%20to%20Build%20World%E2%80%99s%20Largest%20Clean%20Ammonia%20Production%20Facility.pdf</t>
  </si>
  <si>
    <t>PCS Nitrogen-Geismar plant (LA)</t>
  </si>
  <si>
    <t>https://www.bizjournals.com/dallas/news/2013/05/10/denbury-using-plant-emissions-for-oil.html</t>
  </si>
  <si>
    <t>https://www.ammoniaenergy.org/wp-content/uploads/2020/12/Blake-Adair.pdf</t>
  </si>
  <si>
    <t>https://s1.q4cdn.com/594864049/files/doc_presentations/2017/2017-February-Corporate-Presentation-Final.pdf</t>
  </si>
  <si>
    <t>https://www.wafb.com/story/13947240/pcs-nitrogen-plant-will-restart/</t>
  </si>
  <si>
    <t>Peak cluster transport</t>
  </si>
  <si>
    <t>Progressive Energy, Breedon group</t>
  </si>
  <si>
    <t>https://www.peakcluster.co.uk/wp-content/uploads/2023/05/17052023-World-first-project-to-create-net-zero-cement-cluster-in-Peak-District.pdf</t>
  </si>
  <si>
    <t>https://www.breedongroup.com/content/dam/breedon/corporate/documents/media/news/2023/Breedon%20to%20play%20key%20role%20in%20securing%20a%20sustainable%20future%20in%20the%20Peak%20District.pdf.downloadasset.pdf</t>
  </si>
  <si>
    <t>Pecos County Ultra Clean Fuels Refining (TX)</t>
  </si>
  <si>
    <t>MMEX</t>
  </si>
  <si>
    <t>https://mmexresources.com/project/pecos-county-ultra-clean-fuels-refining/</t>
  </si>
  <si>
    <t>Pegasus (LA)</t>
  </si>
  <si>
    <t>Pelican Rindge Tract CCS Project (CA)</t>
  </si>
  <si>
    <t xml:space="preserve">Pelican Renewables LLC </t>
  </si>
  <si>
    <t>https://ccusmap.com/markers/project-detail/pelican-rindge-tract-ccs-project</t>
  </si>
  <si>
    <t>Pelican sequestration hub (Livingston Parish) (LA)</t>
  </si>
  <si>
    <t>Pelican Sequestration Hub LLC (Oxy low carbon ventures, Occidental), and Rusheen Capital</t>
  </si>
  <si>
    <t>EnLink midstream network/ Pelican sequestration hub</t>
  </si>
  <si>
    <t>https://www.oxy.com/news/news-releases/enlink-midstream-and-oxy-low-carbon-ventures-sign-letter-of-intent-for-mississippi-river-co2-transportation-services-agreement/</t>
  </si>
  <si>
    <t>https://www.1pointfive.com/livingston</t>
  </si>
  <si>
    <t>Pembina low carbon complex</t>
  </si>
  <si>
    <t>Pembina Pipeline Corporation, Marubeni</t>
  </si>
  <si>
    <t>https://www.businesswire.com/news/home/20230529005164/en/Pembina-Pipeline-Announces-Agreement-with-Marubeni-Corporation-to-Develop-a-Low-Carbon-Ammonia-Project-and-Outlines-Vision-for-Pembina-Low-Carbon-Complex</t>
  </si>
  <si>
    <t>Pembroke Net Zero Centre (PNZC)</t>
  </si>
  <si>
    <t>RWE</t>
  </si>
  <si>
    <t>https://uk-ireland.rwe.com/innovation/pembroke-net-zero-centre-pnzc</t>
  </si>
  <si>
    <t>https://www.rwe.com/en/press/rwe-generation/2023-05-23-rwe-announces-development-proposals-for-three-new-carbon-capture-projects-across-the-uk/</t>
  </si>
  <si>
    <t>Permian Regional Carbon Sequestration Hub (TX)</t>
  </si>
  <si>
    <t>Omnia midstream partners</t>
  </si>
  <si>
    <t>https://www.energy.gov/articles/biden-harris-administration-invests-444-million-strengthen-americas-infrastructure</t>
  </si>
  <si>
    <t>Peterhead Carbon Capture Power Station</t>
  </si>
  <si>
    <t>SSE Thermal, Equinor</t>
  </si>
  <si>
    <t>https://www.equinor.com/en/where-we-are/united-kingdom/110521-peterhead-CCS.html</t>
  </si>
  <si>
    <t>https://www.sse.com/news-and-views/2022/03/peterhead-takes-major-step-towards-low-carbon-power-as-planning-application-submitted/</t>
  </si>
  <si>
    <t>https://www.ssethermal.com/news-and-views/2022/07/major-engineering-contract-awarded-at-landmark-peterhead-carbon-capture-power-station</t>
  </si>
  <si>
    <t>Petra Nova Carbon Capture (TX)</t>
  </si>
  <si>
    <t>Equity: NRG and JX Nippon, Debt: JBIC &amp; Mizhou bank (backed by NEXI)</t>
  </si>
  <si>
    <t>https://www.eia.gov/todayinenergy/detail.php?id=33552</t>
  </si>
  <si>
    <t>https://www.energy.gov/fecm/petra-nova-wa-parish-project</t>
  </si>
  <si>
    <t>https://localtoday.news/tx/the-worlds-largest-carbon-capture-facility-is-getting-a-second-chance-in-texas-164853.html</t>
  </si>
  <si>
    <t>Petrobras Santos Basin pre-salt oilfield CCS</t>
  </si>
  <si>
    <t>Petrobas</t>
  </si>
  <si>
    <t>https://sequestration.mit.edu/tools/projects/lula.html</t>
  </si>
  <si>
    <t>https://www.offshore-mag.com/geosciences/article/16763789/petrobras-tests-new-technologies-for-co2-capture-storage</t>
  </si>
  <si>
    <t>https://www.ogci.com/case-study/petrobras-applying-carbon-capture-and-eor-at-scale-in-ultra-deep-waters-case-study/</t>
  </si>
  <si>
    <t>https://sustentabilidade.petrobras.com.br/documents/42532/0/2021%20SUSTAINABILITY%20REPORT/343f2b9c-8bbb-ef73-0cb9-b797fad3f896</t>
  </si>
  <si>
    <t>Petronas Kasawari gas field CCS project (Kasawari Phase 2 project)</t>
  </si>
  <si>
    <t>Petronas, Technip, National Petroleum Construction Company, Worley (EPC), Kawasaki Heavy Industries, Malaysia Marine and Heavy Engineering Sdn Bhd (Compressor)</t>
  </si>
  <si>
    <t>https://www.offshore-energy.biz/petronas-picks-xodus-for-malaysian-offshore-carbon-capture-project/</t>
  </si>
  <si>
    <t>https://www.petronas.com/flow/business/offer-no-other</t>
  </si>
  <si>
    <t>https://ijglobal.com/articles/160281/petronas-moves-forward-kasawari-ccs</t>
  </si>
  <si>
    <t>https://www.upstreamonline.com/exclusive/petronas-awards-dual-feed-contracts-for-worlds-largest-offshore-ccs-project/2-1-1167988</t>
  </si>
  <si>
    <t>http://tradearabia.com/touch/article/OGN/395506</t>
  </si>
  <si>
    <t>https://www.petronas.com/media/media-releases/petronas-carigali-reaches-final-investment-decision-kasawari-ccs-project</t>
  </si>
  <si>
    <t>https://investors.bakerhughes.com/news-releases/news-release-details/baker-hughes-supply-key-technology-one-worlds-largest-offshore</t>
  </si>
  <si>
    <t>Phillips 66 Humber refinery</t>
  </si>
  <si>
    <t>Phillips 66, Babcock &amp; Wilcox (FEED)</t>
  </si>
  <si>
    <t>https://www.harbourenergy.com/sustainability/v-net-zero/</t>
  </si>
  <si>
    <t>https://www.woodplc.com/news/latest-press-releases/2021/wood-awarded-contract-for-humber-zero-project</t>
  </si>
  <si>
    <t>https://fueloilnews.co.uk/2022/05/shell-tech-deal-will-see-phillips-66-refinery-first-to-reduce-co2-emissions/</t>
  </si>
  <si>
    <t>https://investors.babcock.com/press-releases/press-release-details/2023/Babcock--Wilcox-Awarded-Contract-to-Support-Phillips-66-Carbon-Capture-Project-in-U.K/default.aspx</t>
  </si>
  <si>
    <t>Phoenix project (TX)</t>
  </si>
  <si>
    <t>Projeo Corporation</t>
  </si>
  <si>
    <t>Pieridae Caroline Carbon Capture Power Complex Phase 1 (ALB)</t>
  </si>
  <si>
    <t>Pieridae Energy Ltd.</t>
  </si>
  <si>
    <t>https://www.globenewswire.com/en/news-release/2021/05/27/2237301/0/en/Pieridae-Creating-Caroline-Carbon-Capture-Power-Complex.html</t>
  </si>
  <si>
    <t>https://gascompressionmagazine.com/2021/06/04/6014/</t>
  </si>
  <si>
    <t>Pieridae Caroline Carbon Capture Power Complex Phase 2 (ALB)</t>
  </si>
  <si>
    <t>Pincher Creek Carbon Sequestration Hub (ALB)</t>
  </si>
  <si>
    <t xml:space="preserve"> West Lake Energy Corp.</t>
  </si>
  <si>
    <t>http://www.westlakeenergy.ca/pincher-creek-waterton-ccus-hub/</t>
  </si>
  <si>
    <t>Pine Lake Corn Processors Steamboat Rock biorefinery (IA)</t>
  </si>
  <si>
    <t>Pine Lake Corn Processors, Summit Carbon Solutions</t>
  </si>
  <si>
    <t>Pineywoods CCS hub (TX)</t>
  </si>
  <si>
    <t>Pineywoods CCS hub LLC (Tenaska)</t>
  </si>
  <si>
    <t xml:space="preserve">Plant Daniel Carbon Capture (MS) </t>
  </si>
  <si>
    <t>Southern Company Services, Linde/BASF (FEED, tech provider)</t>
  </si>
  <si>
    <t>https://www.osti.gov/biblio/1890156</t>
  </si>
  <si>
    <t>Plock plant</t>
  </si>
  <si>
    <t>PKN Orlen</t>
  </si>
  <si>
    <t>Plymouth Energy Merrill biorefinery (IA)</t>
  </si>
  <si>
    <t>Plymouth Energy, Summit Carbon Solutions</t>
  </si>
  <si>
    <t>POET 17 bioprocessing plants (IA, NE, SD)</t>
  </si>
  <si>
    <t>POET</t>
  </si>
  <si>
    <t>https://www.prnewswire.com/news-releases/navigator-co2-poet-sign-letter-of-intent-to-capture-transport-and-store-five-5-million-tons-of-co2-annually-301562239.html?tc=eml_cleartime</t>
  </si>
  <si>
    <t>https://poet.com/resources/documents/POET-sustainability-report.pdf</t>
  </si>
  <si>
    <t>Polaris offshore storage facility</t>
  </si>
  <si>
    <t>Horisont Energi, PGNiG Upstream Norway (operator)</t>
  </si>
  <si>
    <t>https://www.horisontenergi.no/carbon-storage/</t>
  </si>
  <si>
    <t>https://www.offshore-mag.com/renewable-energy/article/14203679/equinor-horisont-progressing-polaris-carbon-storage-project-offshore-northern-norway</t>
  </si>
  <si>
    <t>https://horisontenergi.no/news/horisont-energi-intends-to-partner-with-pgnig-upstream-norway-as-operator-in-the-barents-sea-co2-licence-polaris/</t>
  </si>
  <si>
    <t>https://horisontenergi.no/wp-content/uploads/2023/02/280223_Horisont-Energi-Pareto-Conference-_FINAL.pdf</t>
  </si>
  <si>
    <t>https://horisontenergi.no/news/pgnig-upstream-norway-approved-as-operator-and-partner-with-horisont-energi-in-the-polaris-co2-storage/</t>
  </si>
  <si>
    <t>Polk county hub (TX)</t>
  </si>
  <si>
    <t>1PointFive (Occidental Low carbon Venture), Natural Resource Partners</t>
  </si>
  <si>
    <t>https://www.oxy.com/siteassets/documents/publications/oxy-climate-report-2023.pdf</t>
  </si>
  <si>
    <t>Polk Power station NGCC/Polk carbon storage complex (FL)</t>
  </si>
  <si>
    <t>Tampa Electric Company, ION Clean Energy, DOE Office of Clean Energy Demonstrations (FEED funding)</t>
  </si>
  <si>
    <t>Port of Aalborg terminal and pipeline to Fyrkat (Norne carbon storage hub)</t>
  </si>
  <si>
    <t>Fidelis new energy, Gas Storage Denmark, Capio Danmark (PCI coordinator), KBR (FEED)</t>
  </si>
  <si>
    <t>https://www.prnewswire.com/news-releases/fidelis-new-energys-new-receiving-facility-will-make-aalborg-one-of-europes-leaders-in-co2-management-301824191.html</t>
  </si>
  <si>
    <t>https://www.kbr.com/en/insights-news/press-release/kbr-awarded-engineering-contract-fidelis-new-energys-liquid-carbon</t>
  </si>
  <si>
    <t>Port of Corpus Christi-Mississippi pipeline (TX)</t>
  </si>
  <si>
    <t>Howard Midstream Energy Partners LLC</t>
  </si>
  <si>
    <t>Port of Corpus Christi-Mississippi pipeline</t>
  </si>
  <si>
    <t>Port of Kalundborg terminal and pipeline to Trelleborg phase 1 (Norne carbon storage hub)</t>
  </si>
  <si>
    <t>Fidelis new energy, Gas Storage Denmark, Capio Danmark (PCI coordinator)</t>
  </si>
  <si>
    <t>Port of Kalundborg terminal and pipeline to Trelleborg phase 2 (Norne carbon storage hub)</t>
  </si>
  <si>
    <t>Porthos offshore transport and storage</t>
  </si>
  <si>
    <t>Energie Beheer Nederland (EBN), Gasunie, and the Port of Rotterdam</t>
  </si>
  <si>
    <t>https://www.porthosco2.nl/en/</t>
  </si>
  <si>
    <t>https://www.reuters.com/sustainability/construction-major-dutch-carbon-storage-project-can-continue-high-court-2023-08-16/</t>
  </si>
  <si>
    <t>Porthos onshore transport</t>
  </si>
  <si>
    <t>Poseidon CO2 storage</t>
  </si>
  <si>
    <t>Aker BP (60%), OMV AS (4%)</t>
  </si>
  <si>
    <t>https://akerbp.com/en/borsmelding/aker-bp-and-omv-awarded-licence-for-co2-storage-2/</t>
  </si>
  <si>
    <t>https://www.ogj.com/energy-transition/article/14297727/perenco-granted-storage-license-for-ukcs-poseidon-ccs-project</t>
  </si>
  <si>
    <t>Prairie State Generating Station Carbon Capture (IL)</t>
  </si>
  <si>
    <t>Prairie Research Institute (University of Illinois), Mitsubishi Heavy Industries, Kiewit Engineering Group, Sargent &amp; Lundy</t>
  </si>
  <si>
    <t>https://prairiestateenergycampus.com/carbon_capture_retrofit_project/</t>
  </si>
  <si>
    <t>https://netl.doe.gov/projects/project-information.aspx?p=FE0031841</t>
  </si>
  <si>
    <t>Prax Lindsey Oil Refinery Phase 1</t>
  </si>
  <si>
    <t>Prax</t>
  </si>
  <si>
    <t>https://prax.com/prax-lindsey-oil-refinery-joins-v-net-zero-humber-cluster/</t>
  </si>
  <si>
    <t>Prax Lindsey Oil Refinery Phase 2</t>
  </si>
  <si>
    <t>Preem CCS at Lysekil refinery</t>
  </si>
  <si>
    <t>Preem, Aker solutions, Equinor</t>
  </si>
  <si>
    <t>https://www.offshore-energy.biz/preem-kicks-off-swedens-largest-ccs-project/</t>
  </si>
  <si>
    <t>Prinos CCS phase 1</t>
  </si>
  <si>
    <t>Energean</t>
  </si>
  <si>
    <t>https://www.energean.com/media/5183/energean-annual-report-2021.pdf</t>
  </si>
  <si>
    <t>Prinos CCS phase 2</t>
  </si>
  <si>
    <t>https://www.iene.eu/articlefiles/inline/sardi%20-%2014th%20seeed.pdf</t>
  </si>
  <si>
    <t>Prinos sigma plant</t>
  </si>
  <si>
    <t>Project Air Perstorp Oxo capture</t>
  </si>
  <si>
    <t>Perstorp Oxo AB (capture and methanol), FORTUM SVERIGE AB (hydrogen), Sydkraft AB, Uniper, Sunfire (electrolyser), Johnson Matthey (methanol synthesis, FEED)</t>
  </si>
  <si>
    <t>https://projectair.se/en/news/project-air-receives-eur-30-million-from-the-swedish-energy-agency/</t>
  </si>
  <si>
    <t>https://www.icis.com/explore/resources/news/2020/11/24/10578851/sweden-s-perstorp-to-produce-biomethanol-at-stenungsund-includes-ccu-unit/</t>
  </si>
  <si>
    <t>https://climate.ec.europa.eu/system/files/2022-12/if_pf_2022_air_v5_en.pdf</t>
  </si>
  <si>
    <t>https://www.perstorp.com/en/news_center/pressreleases/2023/project_air_granted_environmental_permit</t>
  </si>
  <si>
    <t>https://projectair.se/en/news/methanol-license-and-engineering-services-for-project-air-initiated/</t>
  </si>
  <si>
    <t>Project Bifrost Phase 1</t>
  </si>
  <si>
    <t xml:space="preserve"> Danish Underground Consortium (TotalEnergies, Noreco, Nordsofonden), Orsted, TU Denmark</t>
  </si>
  <si>
    <t>Project Bifrost</t>
  </si>
  <si>
    <t>https://www.noreco.com/news/2021/q3/noreco-announces-the-ccs-partnership-project-bifrost</t>
  </si>
  <si>
    <t>https://www.oedigital.com/news/490432-duc-rsted-dtu-enter-ccs-project-in-denmark</t>
  </si>
  <si>
    <t>https://www.offshore-energy.biz/danish-govt-bankrolls-two-projects-for-co2-storage-in-north-sea/</t>
  </si>
  <si>
    <t>https://offshore.dtu.dk/english/press-room/news/project-bifrost-new-promising-ccs-results?id=32a4bc2b-ac81-42c7-bcd0-145f189df19a</t>
  </si>
  <si>
    <t>Project Bison (WY) Phase 1</t>
  </si>
  <si>
    <t>CarbonCapture, Frontier Carbon Solutions</t>
  </si>
  <si>
    <t>Sweetwater Carbon Storage Hub (WY)</t>
  </si>
  <si>
    <t>https://www.carboncapture.com/project-bison</t>
  </si>
  <si>
    <t>Project Bison (WY) Phase 2</t>
  </si>
  <si>
    <t>Project Bison (WY) Phase 3</t>
  </si>
  <si>
    <t>Project Bison (WY) Phase 4</t>
  </si>
  <si>
    <t>Project Blue (AR)</t>
  </si>
  <si>
    <t>Lapis Energy, LSB</t>
  </si>
  <si>
    <t>https://lapisenergy.com/lapis-energy-to-develop-carbon-capture-sequestration-project-with-lsb-industries/</t>
  </si>
  <si>
    <t>Project Cavendish Phase 1</t>
  </si>
  <si>
    <t xml:space="preserve">Arup, VPI, National Grid Ventures, Shell, SSE Thermal, Uniper, Acorn
</t>
  </si>
  <si>
    <t>https://www.projectcavendish.com/</t>
  </si>
  <si>
    <t>https://www.spglobal.com/commodityinsights/en/market-insights/latest-news/electric-power/101221-consortium-plans-700-mw-blue-hydrogen-project-in-thames-with-scottish-ccs-by-2027</t>
  </si>
  <si>
    <t>Project Cavendish Phase 2</t>
  </si>
  <si>
    <t>Project Clear Horizon - natural gas fired power plants (ALB)</t>
  </si>
  <si>
    <t xml:space="preserve"> City of Medicine Hat</t>
  </si>
  <si>
    <t>Project Clear Horizon (ALB)</t>
  </si>
  <si>
    <t>https://www.eralberta.ca/projects/details/project-clear-horizon/</t>
  </si>
  <si>
    <t>City of Medicine Hat</t>
  </si>
  <si>
    <t>https://natural-resources.canada.ca/science-and-data/funding-partnerships/opportunities/current-investments/project-clear-horizon/25239</t>
  </si>
  <si>
    <t>Project Crossroads (IN, IL, MI)</t>
  </si>
  <si>
    <t>BP Carbon Solutions LLC</t>
  </si>
  <si>
    <t>Project Greensand phase 1</t>
  </si>
  <si>
    <t>INEOS E&amp;P, Wintershell Dea, Welltec (storage), Aquaterra Energy (FEED)</t>
  </si>
  <si>
    <t>Project Greensand</t>
  </si>
  <si>
    <t>https://wintershalldea.com/en/newsroom/offshore-ccs-planned-2025-project-greensand</t>
  </si>
  <si>
    <t>https://projectgreensand.com/</t>
  </si>
  <si>
    <t>https://www.projectgreensand.com/en/hvad-er-project-greensand</t>
  </si>
  <si>
    <t>https://www.ineos.com/news/ineos-group/ineos-led-consortium-announces-breakthrough-in-carbon-capture-and-storage/</t>
  </si>
  <si>
    <t>https://aquaterraenergy.com/aquaterra-energy-lands-platform-repurposing-contract-for-trailblazing-project-greensand/</t>
  </si>
  <si>
    <t>Project Greensand phase 2</t>
  </si>
  <si>
    <t>INEOS E&amp;P, Wintershell Dea, Welltec (storage)</t>
  </si>
  <si>
    <t>Project Hajar</t>
  </si>
  <si>
    <t>Mission Zero, 44.01</t>
  </si>
  <si>
    <t>https://www.missionzero.tech/news/mission-zero-and-4401-team-up-for-project-hajar</t>
  </si>
  <si>
    <t>Project Hummingbird</t>
  </si>
  <si>
    <t>Octavia carbon</t>
  </si>
  <si>
    <t>Project Interseqt - Hereford Ethanol Plant (TX)</t>
  </si>
  <si>
    <t>White Energy, Oxy low carbon ventures (Occidental)</t>
  </si>
  <si>
    <t>https://www.white-energy.com/occidental-petroleum-and-white-energy-to-study-feasibility-of-capturing-co2for-use-in-enhanced-oil-recovery-operations/</t>
  </si>
  <si>
    <t>Project Interseqt - Plainview Ethanol Plant (TX)</t>
  </si>
  <si>
    <t>Project Lochridge (Gulf of Mexico CCS Partnership Hub) (LA)</t>
  </si>
  <si>
    <t>Carbon Zero (Storage), Cox (field owner), Crescent Midstream (pipeline operator), Repsol</t>
  </si>
  <si>
    <t>https://www.ogj.com/energy-transition/article/14287618/repsol-crescent-midstream-part-of-offshore-louisiana-ccs-partnership</t>
  </si>
  <si>
    <t>https://www.ogj.com/energy-transition/article/14293569/cox-crescent-midstream-repsol-us-gulf-ccs-project-gets-doe-funding</t>
  </si>
  <si>
    <t>Project OASIS Shelby County (AL)</t>
  </si>
  <si>
    <t>Project Phoenix ammonia (WY)</t>
  </si>
  <si>
    <t>North Shore Energy, Starwood Energy Group</t>
  </si>
  <si>
    <t>Project Pouakai Hydrogen Production with CCS</t>
  </si>
  <si>
    <t>New Zealand</t>
  </si>
  <si>
    <t>8Rivers, Toshiba, McDermott, Exelon, Oxy low carbon ventures (Occidental)</t>
  </si>
  <si>
    <t>https://www.scoop.co.nz/stories/BU1910/S00041/update-8-rivers-ccs-project-in-60m-capital-raise.htm</t>
  </si>
  <si>
    <t>Project Ruby (Rodby) phase 1</t>
  </si>
  <si>
    <t>CarbonCuts, bluenord (funding)</t>
  </si>
  <si>
    <t>https://ens.dk/sites/ens.dk/files/CCS/nsbtf_strategic_plan_updated_16.3_final_002.pdf</t>
  </si>
  <si>
    <t>https://www.carboncuts.dk/ruby-projektet</t>
  </si>
  <si>
    <t>Project Ruby (Rodby) phase 2</t>
  </si>
  <si>
    <t>Project Tellus - CS020 (Area 1)</t>
  </si>
  <si>
    <t>Eni (following acquisition of Neptune Energy) (100%)</t>
  </si>
  <si>
    <t>Cygnus energy hub</t>
  </si>
  <si>
    <t>Project Tellus - CS021 (Area 5)</t>
  </si>
  <si>
    <t>Eni (following acquisition of Neptune Energy) (50%), EEPUKL (50%)</t>
  </si>
  <si>
    <t>Project Tellus - CS022 (Area 7)</t>
  </si>
  <si>
    <t>Project Tundra at Milton R Young Station (ND)</t>
  </si>
  <si>
    <t>Minnkota Power Cooperative Inc.</t>
  </si>
  <si>
    <t>https://www.projecttundrand.com/co2-storage</t>
  </si>
  <si>
    <t>\\vfiler2\group4\STO\WEO\ETP\CCUS\3_Databases\CCUS Tracking\References\Front-End Engineering &amp; Design Project Tundra Carbon Capture System.pdf</t>
  </si>
  <si>
    <t>https://www.inforum.com/news/north-dakota/with-cost-upped-to-1-45b-project-tundra-seeks-funds-from-north-dakota-energy-board</t>
  </si>
  <si>
    <t>https://www.projecttundrand.com/post/fluor-awarded-project-tundra-feed-study</t>
  </si>
  <si>
    <t>Project WyoTCH pipeline (WY)</t>
  </si>
  <si>
    <t>Carbon Solutions LLC, Enhanced Oil Recovery Institute of University of Wyoming</t>
  </si>
  <si>
    <t>Wyoming Trails Carbon Hub</t>
  </si>
  <si>
    <t>https://www.uwyo.edu/news/2023/06/uws-eori-to-co-lead-3m-doe-funded-co2-pipeline-study.html</t>
  </si>
  <si>
    <t>Protos CO2 network phase 1</t>
  </si>
  <si>
    <t>Peel NRE, Progressive Energy</t>
  </si>
  <si>
    <t>https://www.protos.co.uk/news/peel-nre-reveals-plans-for-co2-network-at-protos-in-cheshire/</t>
  </si>
  <si>
    <t>Protos CO2 network phase 2</t>
  </si>
  <si>
    <t>PYCASSO hub phase 1 - eastern and western pipeline</t>
  </si>
  <si>
    <t>Terega, Pole Avenia, Agglo Pau, Holcim Group, Université de Pau, BGRM, IFPEN, Schlumberger, Repsol, CNAM, geostock, geopetrol</t>
  </si>
  <si>
    <t>PYCASSO hub</t>
  </si>
  <si>
    <t>https://www.reuters.com/world/europe/carbon-capture-storage-projects-across-europe-2022-12-28/</t>
  </si>
  <si>
    <t>PYCASSO hub phase 2 - northern and cross-border pipeline</t>
  </si>
  <si>
    <t>Qatar LNG</t>
  </si>
  <si>
    <t>QatarEnergy LNG, ExxonMobil</t>
  </si>
  <si>
    <t>https://www.aljazeera.com/economy/2019/10/8/qatar-building-large-co2-storage-plant</t>
  </si>
  <si>
    <t>https://www.qatargas.com/english/sustainability/Sustainability%20Reports/Sustainability%20%20Report%202021_English.pdf</t>
  </si>
  <si>
    <t>Qatar North Field East Project CCS</t>
  </si>
  <si>
    <t>QatarEnergy LNG</t>
  </si>
  <si>
    <t>https://www.aa.com.tr/en/energy/projects/qatar-to-store-more-than-5m-tons-of-co2-a-year-by-2025/26924</t>
  </si>
  <si>
    <t>https://www.spglobal.com/commodityinsights/en/market-insights/latest-news/natural-gas/063021-qp-to-spend-200-million-on-emissions-reduction-technology-for-lng-expansion-project</t>
  </si>
  <si>
    <t>https://www.gem.wiki/Qatar_North_Field_LNG_Terminal</t>
  </si>
  <si>
    <t>https://www.upstreamonline.com/carbon-capture/worley-wins-feed-contract-for-qatargas-ccs-project/2-1-1523500</t>
  </si>
  <si>
    <t>Quad County Corn Processors Galva biorefinery (IA)</t>
  </si>
  <si>
    <t>Quad County Corn Processors, Summit Carbon Solutions</t>
  </si>
  <si>
    <t>Quest (ALB)</t>
  </si>
  <si>
    <t>Canadian Natural Resources Limited, Shell, Chevron Canada</t>
  </si>
  <si>
    <t>https://open.alberta.ca/publications/quest-carbon-capture-and-storage-project-annual-report-2020</t>
  </si>
  <si>
    <t>https://open.alberta.ca/dataset/67f52cd3-8dce-4f56-ad62-a00ff7948fd0/resource/c4e6d05d-7b7c-439a-9f5c-c4ab91853803/download/ccsquestreport2015.pdf</t>
  </si>
  <si>
    <t>https://open.alberta.ca/dataset/113f470b-7230-408b-a4f6-8e1917f4e608/resource/e957e772-4fe2-4504-8fea-439120134427/download/quest-annual-summary-report-alberta-department-of-energy-2021.pdf</t>
  </si>
  <si>
    <t>Ram River Carbon Sequestration Hub (ALB)</t>
  </si>
  <si>
    <t xml:space="preserve"> Tidewater Midstream</t>
  </si>
  <si>
    <t>Ramba CCUS/EOR</t>
  </si>
  <si>
    <t>Ravenna CCS phase 2</t>
  </si>
  <si>
    <t>Eni, Snam</t>
  </si>
  <si>
    <t>Trifecta Renewable Solutions</t>
  </si>
  <si>
    <t>Red Trail Energy BECCS Project (ND)</t>
  </si>
  <si>
    <t>Plains CO2 Reduction Partnership,  Energy &amp; Environmental Research Centre,  Red Trail Energy</t>
  </si>
  <si>
    <t>https://www.upstreamonline.com/energy-transition/north-dakota-approves-landmark-ccs-project/2-1-1085735</t>
  </si>
  <si>
    <t>https://www.dmr.nd.gov/dmr/sites/www/files/documents/Oil%20and%20Gas/Class%20VI/Red%20Trail/37229%20Class%20VI%20Permit.pdf</t>
  </si>
  <si>
    <t>Redcar Energy Centre EfW</t>
  </si>
  <si>
    <t>Redcar Energy (Low Carbon Ltd and PMAC Energy joint venture)</t>
  </si>
  <si>
    <t>https://www.redcarenergycentre.co.uk/redcar-energy-centre-applies-to-support-uk-governments-carbon-capture-ambitions/</t>
  </si>
  <si>
    <t>Redfield Energy biorefinery (ND)</t>
  </si>
  <si>
    <t>Red River BioRefinery, Summit Carbon Solutions</t>
  </si>
  <si>
    <t>Removr Carbfix plant phase 1</t>
  </si>
  <si>
    <t>Removr (Greencap 40%, Vanir Green Industries 60%), Carbfix</t>
  </si>
  <si>
    <t>https://www.removr.no/news/remove-launch</t>
  </si>
  <si>
    <t>Removr Carbfix plant phase 2</t>
  </si>
  <si>
    <t>https://www.removr.no/news/removr-partners-with-carbfix-100000t-plant-iceland</t>
  </si>
  <si>
    <t>Returkraft Kristiansand</t>
  </si>
  <si>
    <t>Returkraft</t>
  </si>
  <si>
    <t>Ringneck Energy &amp; Feed Onida biorefinery (SD)</t>
  </si>
  <si>
    <t>Ringneck Energy, Summit Carbon Solutions</t>
  </si>
  <si>
    <t>River Parish Sequestration (LA)</t>
  </si>
  <si>
    <t xml:space="preserve">River Parish Sequestration LLC, Blue Sky Infrastructure </t>
  </si>
  <si>
    <t>River Paris Sequestration (LA)</t>
  </si>
  <si>
    <t>https://ccusmap.com/markers/project-detail/river-parish-sequestration-project</t>
  </si>
  <si>
    <t>https://blueskyinfrastructure.com/river-parish-sequestration/</t>
  </si>
  <si>
    <t>Rockpoint and Inter Pipeline Carbon Sequestration Hub</t>
  </si>
  <si>
    <t>Inter Pipeline and Rockpoint Gas Storage</t>
  </si>
  <si>
    <t>https://www.sherwoodparknews.com/news/local-news/carbon-sequestration-hub-proposal-launched-by-inter-pipeline-and-rockpoint-gas</t>
  </si>
  <si>
    <t xml:space="preserve"> Vault 44.01 Ltd.</t>
  </si>
  <si>
    <t>Rohm chemical plant (x2)</t>
  </si>
  <si>
    <t>Rohm, Aker CC</t>
  </si>
  <si>
    <t>https://akercarboncapture.com/?cision_id=4435469A86CA6227</t>
  </si>
  <si>
    <t>Rolling Hills Carbon Sequestration Hub (ALB)</t>
  </si>
  <si>
    <t xml:space="preserve"> AltaGas Ltd. and Whitecap Resources Inc.</t>
  </si>
  <si>
    <t>Roughrider Carbon Storage Hub (ND)</t>
  </si>
  <si>
    <t>University of North Dakota, ONEOK, EERC</t>
  </si>
  <si>
    <t>Rumah1 and Rumah 2 plants</t>
  </si>
  <si>
    <t>Russel CO2 storage complex (KS)</t>
  </si>
  <si>
    <t>Purefield Carbon Capture LLC (Purefield ingredients)</t>
  </si>
  <si>
    <t>https://www.bakingbusiness.com/articles/55680-purefield-expansion-increases-wheat-protein-capacity-by-50</t>
  </si>
  <si>
    <t>RWE Amer power plant</t>
  </si>
  <si>
    <t>https://benelux.rwe.com/en/press/2022-12-13-rwe-launches-project-for-large-scale-capture-and-storage-of-co/</t>
  </si>
  <si>
    <t>RWE CCGT Stallingborough</t>
  </si>
  <si>
    <t>RWE, Technip Energies (pre-FEED)</t>
  </si>
  <si>
    <t>https://www.technipenergies.com/en/media/news/technip-energies-selected-rwe-first-phase-stallingborough-carbon-capture-ccgt-project-uk</t>
  </si>
  <si>
    <t>https://uk.rwe.com/press-and-news/2024-02-15-RWE-launches-feasibility-study-into-new-great-yarmouth-carbon-capture-project/</t>
  </si>
  <si>
    <t>RWE CCGT Staythorpe (+ another new build?)</t>
  </si>
  <si>
    <t>https://www.rwe.com/en/press/rwe-generation/2022-12-20-rwe-enters-partnership-with-harbour-energy-to-explore-ccs-opportunities-at-uk-po/</t>
  </si>
  <si>
    <t>RWE Eemshaven power plant</t>
  </si>
  <si>
    <t>Sailboat Green Methanol plant Shengong petrochemical (Jiangsu)</t>
  </si>
  <si>
    <t xml:space="preserve"> Jiangsu Sailboat Petrochemicals, Carbon Recycling International</t>
  </si>
  <si>
    <t>https://www.carbonrecycling.is/news-media/cri-chemical-plant-project-in-china-will-recycle-150000-tons-of-co2-per-year-to-make-materials-for-solar-panels</t>
  </si>
  <si>
    <t>Saint-Gobain glass</t>
  </si>
  <si>
    <t>Saint-gobain glass</t>
  </si>
  <si>
    <t>Saint-Pierre-la-Cour cement plant</t>
  </si>
  <si>
    <t>Lafarge France (Holcim group)</t>
  </si>
  <si>
    <t>San Joaquin Renewables BCCS (CA)</t>
  </si>
  <si>
    <t>https://ccusmap.com/markers/project-detail/san-joaquin-renewables-bccs</t>
  </si>
  <si>
    <t>San Juan Basin CarbonSAFE (NM)</t>
  </si>
  <si>
    <t>https://www.sanjuancarbonsafe.org/</t>
  </si>
  <si>
    <t>Santos Bonaparte Basin storage</t>
  </si>
  <si>
    <t xml:space="preserve">Santos Offshore Pty Ltd (40% and Operator), Chevron Australia Pty Ltd (30%) and SK E&amp;S (30%) </t>
  </si>
  <si>
    <t>https://www.santos.com/news/santos-awarded-co2-storage-permits-for-more-ccs-opportunities/</t>
  </si>
  <si>
    <t>Santos Carnavon Basin storage (Reindeer CCS)</t>
  </si>
  <si>
    <t>Santos Offshore Pty Ltd (50% and Operator) and Chevron Australia Pty Ltd (50%)</t>
  </si>
  <si>
    <t xml:space="preserve">https://www.santos.com/wp-content/uploads/2022/03/Santos-2022-Climate-Change-Report_web.pdf </t>
  </si>
  <si>
    <t>Seal Sands TGEPL</t>
  </si>
  <si>
    <t>solar 21 Renewable Energy Limited</t>
  </si>
  <si>
    <t>SEDAC hub (AL) phase 1</t>
  </si>
  <si>
    <t>Southern States Energy Board, AirCapture, 8Rivers</t>
  </si>
  <si>
    <t>https://www.sseb.org/programs/sedac_hub/</t>
  </si>
  <si>
    <t>https://uploads-ssl.webflow.com/63c8119087b31650e9ba22d1/64dfe602ece0e8b489df986e_Aircapture%20DAC%20Hub%20Press%20Release%200823%20(1).pdf</t>
  </si>
  <si>
    <t>SEDAC hub (AL) phase 2</t>
  </si>
  <si>
    <t>Setouchi / Shikoku CO2 Hub Concept (capture sources under evaluation)</t>
  </si>
  <si>
    <t>Woodside Energy with Sumitomo Corporation, JFE Steel Corporation, Sumitomo Osaka Cement Co. Ltd and Kawasaki Kisen Kaisha, Ltd.</t>
  </si>
  <si>
    <t>https://www.sumitomocorp.com/en/europe/news/topics/2023/group/20231218_1</t>
  </si>
  <si>
    <t>Shah gas plant (Abu Dhabi CCS Phase 2)</t>
  </si>
  <si>
    <t>Shand</t>
  </si>
  <si>
    <t>https://res.cloudinary.com/dbtfcnfij/images/v1700717007/Global-Status-of-CCS-Report-Update-23-Nov/Global-Status-of-CCS-Report-Update-23-Nov.pdf?_i=AA</t>
  </si>
  <si>
    <t>https://imii.ca/first-of-its-kind-study-underway-in-saskatchewan-exploring-the-potential-for-carbon-capture-and-storage-hubs-for-minerals-and-power-production/</t>
  </si>
  <si>
    <t xml:space="preserve">Sharjah Hub </t>
  </si>
  <si>
    <t xml:space="preserve">Sharjah National Oil Corporation (SNOC), Sumitomo Middle East </t>
  </si>
  <si>
    <t>https://www.nsenergybusiness.com/news/sumitomo-snoc-sign-mou-for-ccs-project-development-in-sharjah-uae/</t>
  </si>
  <si>
    <t>Shell Deer Park Chemical complex (TX)</t>
  </si>
  <si>
    <t>Wood Environment &amp; Infrastructure Solutions</t>
  </si>
  <si>
    <t>Shell Netherlands Refineries biodiesel</t>
  </si>
  <si>
    <t>https://www.offshore-technology.com/news/shell-biofuels-refinery-netherlands/</t>
  </si>
  <si>
    <t>Shell Netherlands Refineries heavy residue gasification CCS</t>
  </si>
  <si>
    <t>http://media.hydrocarbonengineering.com/whitepapers/files/The-Shell-Blue-Hydrogen-Process.pdf</t>
  </si>
  <si>
    <t>Shell Netherlands Refineries heavy residue gasification CCU</t>
  </si>
  <si>
    <t>Shell Uniper Humber Hub Blue North Killingholme</t>
  </si>
  <si>
    <t>Shell, Uniper</t>
  </si>
  <si>
    <t>https://www.business-live.co.uk/manufacturing/energy-giants-uniper-shell-unite-23666723</t>
  </si>
  <si>
    <t>Shepard Energy Centre (SEC) (ALB)</t>
  </si>
  <si>
    <t>Enmax Energy Corporation</t>
  </si>
  <si>
    <t>https://www.eralberta.ca/projects/details/shepard-energy-centre-carbon-capture-unit-feed-study/</t>
  </si>
  <si>
    <t>Sinopec Nanjing Chemical Industries CCUS Cooperation Project (Jiangsu)</t>
  </si>
  <si>
    <t>Sinopec</t>
  </si>
  <si>
    <t>https://www.upstreamonline.com/energy-transition/sinopec-utilising-carbon-capture-to-enhance-oil-recovery/2-1-1142311</t>
  </si>
  <si>
    <t>https://news.bjx.com.cn/html/20211230/1196712.shtml</t>
  </si>
  <si>
    <t>Sinopec Qilu Petrochemical Shengli (Shandong)</t>
  </si>
  <si>
    <t>Sinopec, Qilu Petrochemical</t>
  </si>
  <si>
    <t>Shengli oilfield</t>
  </si>
  <si>
    <t>https://baijiahao.baidu.com/s?id=1704431415159222866&amp;wfr=spider&amp;for=pc</t>
  </si>
  <si>
    <t>https://www.rigzone.com/news/sinopec_finishes_first_megaton_ccus_project_in_china-31-jan-2022-167744-article/</t>
  </si>
  <si>
    <t>http://www.sinopecgroup.com/group/en/Sinopecnews/20220130/news_20220130_467995626111.shtml</t>
  </si>
  <si>
    <t>http://www.sinopec.com/listco/en/csr/kcx/hjjx.shtml</t>
  </si>
  <si>
    <t>Sinopec Shengli Power Plant CCS (Shandong)</t>
  </si>
  <si>
    <t>https://www.upstreamonline.com/energy-transition/sinopec-launches-china-s-largest-ccus-project/2-1-1035803</t>
  </si>
  <si>
    <t>Siouxland Energy Cooperative Sioux Center biorefinery (IA)</t>
  </si>
  <si>
    <t>Siouxland Energy Cooperative, Summit Carbon Solutions</t>
  </si>
  <si>
    <t>Sizewell C nuclear-powered DAC Full-scale</t>
  </si>
  <si>
    <t>Sizewell C,  Nottingham University, Strata Technology, Atkins and Doosan Babcock</t>
  </si>
  <si>
    <t>https://world-nuclear-news.org/Articles/%E2%80%98Megatonne%E2%80%99-CO2-capture-plant-plan-for-Sizewell-C</t>
  </si>
  <si>
    <t>SK E&amp;S Honeywell gas power plant</t>
  </si>
  <si>
    <t xml:space="preserve">Honeywell, SK E&amp;S </t>
  </si>
  <si>
    <t>https://carbonherald.com/honeywell-announces-carbon-capture-deal-with-south-koreas-sk-es/</t>
  </si>
  <si>
    <t>Sleipner</t>
  </si>
  <si>
    <t>Equinor, Eni</t>
  </si>
  <si>
    <t>https://www.ice.org.uk/knowledge-and-resources/case-studies/sleipner-carbon-capture-storage-project</t>
  </si>
  <si>
    <t>https://www.equinor.com/news/20220318-annual-sustainability-reports-2021</t>
  </si>
  <si>
    <t>Snohvit CO2 capture and storage</t>
  </si>
  <si>
    <t>Equinor, Petoro, TotalEnergies, Eni (following acquisition of Neptune Energy), Wintershall</t>
  </si>
  <si>
    <t>https://www.sciencedirect.com/science/article/pii/S187661021300492X</t>
  </si>
  <si>
    <t>https://www.offshore-technology.com/projects/snohvit-field/</t>
  </si>
  <si>
    <t>Soderenergi Igelsta plant</t>
  </si>
  <si>
    <t>Soderenergi, Aker CC (feasibility) (first feasibility by biorecro)</t>
  </si>
  <si>
    <t>http://www.energimyndigheten.se/forskning-och-innovation/projektdatabas/sokresultat/?projectid=32420</t>
  </si>
  <si>
    <t>https://www.biorecro.com/breaking-new-ground-with-beccs/</t>
  </si>
  <si>
    <t>South East Australia carbon capture and storage (SEA CCS) hub</t>
  </si>
  <si>
    <t xml:space="preserve">Esso Australia Resources Pty Ltd (ExxonMobil), BHP Petroleum Pty Ltd </t>
  </si>
  <si>
    <t>https://www.carboncapturejournal.com/ViewNews.aspx?NewsID=5056</t>
  </si>
  <si>
    <t>https://www.exxonmobil.com.au/-/media/australia/files/energy-and-environment/upstream-operations/sea-ccs-project-pcp.pdf</t>
  </si>
  <si>
    <t>https://www.exxonmobil.com.au/-/media/Australia/Files/Energy-and-environment/Upstream-operations/SEA-CCS-Pipeline-Fact-Sheet--About-the-Project.pdf</t>
  </si>
  <si>
    <t>South Texas DAC Hub (TX)</t>
  </si>
  <si>
    <t>South West Blue Hydrogen</t>
  </si>
  <si>
    <t>Pilot Energy</t>
  </si>
  <si>
    <t>https://www.pilotenergy.com.au/blue-hydrogen</t>
  </si>
  <si>
    <t>Department of Mines, Industry Regulation and Safety (DMIRS)</t>
  </si>
  <si>
    <t>https://www.dmp.wa.gov.au/South-West-Hub-CCS-1489.aspx</t>
  </si>
  <si>
    <t>Southeast Saskatchewan CCUS Hub (Belle Plaine and Weyburn) (SK)</t>
  </si>
  <si>
    <t>Whitecap Resources Inc.</t>
  </si>
  <si>
    <t>Southeastern Illinois Basin CarbonSAFE (KT)</t>
  </si>
  <si>
    <t>Battelle Memorial Institute</t>
  </si>
  <si>
    <t>Stade facility Green Methanol</t>
  </si>
  <si>
    <t>Dow</t>
  </si>
  <si>
    <t>https://future.hamburg/en/artikel/dow-stade-making-chemicals-industry-carbon-neutral</t>
  </si>
  <si>
    <t>Stakraft Varme Trondheim</t>
  </si>
  <si>
    <t>Statkraft Varme</t>
  </si>
  <si>
    <t>https://www.statkraft.com/newsroom/news-and-stories/2023/carbon-capture-how-waste-incineration-can-become-climate-neutral/</t>
  </si>
  <si>
    <t>Stenlille project (CO2RYLUS)</t>
  </si>
  <si>
    <t>Gas Storage Denmark</t>
  </si>
  <si>
    <t>https://www.businesswire.com/news/home/20230712819960/en/Gas-Storage-Denmark-Call-for-Interest</t>
  </si>
  <si>
    <t>https://carbonherald.com/carbon-capture-scotland-secures-pioneering-european-storage-project/</t>
  </si>
  <si>
    <t>Stockholm Exergi Värtan CHP CCS (BECCS@STHLM)</t>
  </si>
  <si>
    <t>Stockolm Exergi, CO2 Capsol (FEED)</t>
  </si>
  <si>
    <t>https://www.worldoil.com/news/2021/9/16/petrofac-and-co2-capsol-collaborate-on-carbon-capture-initiatives</t>
  </si>
  <si>
    <t>https://www.stockholmexergi.se/om-stockholm-exergi/about-stockholm-exergi/negative-emissions/bio-ccs/</t>
  </si>
  <si>
    <t>https://s3.amazonaws.com/kajabi-storefronts-production/sites/115985/themes/2148343364/downloads/PvmersByTLqblK07dsqx_200721_Stockholm_Exergi_has_selected_CO2_Capsol_s_End_of_Pipe_solution_.pdf</t>
  </si>
  <si>
    <t>https://ec.europa.eu/clima/system/files/2022-04/if_pf%202022_beccs_en_0.pdf</t>
  </si>
  <si>
    <t>STRATOS (Ector County) (TX)</t>
  </si>
  <si>
    <t>1PointFive, Oxy low carbon ventures (Occidental), Blackrock</t>
  </si>
  <si>
    <t>https://www.1pointfive.com/1pointfive-selects-worley-for-feed</t>
  </si>
  <si>
    <t>https://pboilandgasmagazine.com/oxy-outlines-plans-for-direct-air-carbon-capture-plant-in-permian-basin/</t>
  </si>
  <si>
    <t>https://www.reuters.com/business/energy/occidental-misses-fourth-quarter-profit-estimates-2023-02-27/</t>
  </si>
  <si>
    <t>Structure A&amp;E</t>
  </si>
  <si>
    <t>Lybia</t>
  </si>
  <si>
    <t>Eni, National Oil Corporation (NOC) Libya</t>
  </si>
  <si>
    <t>https://www.eni.com/en-IT/media/press-release/2023/01/eni-launches-a-major-gas-development-project-in-libya.html</t>
  </si>
  <si>
    <t>https://www.seetao.com/details/200627.html</t>
  </si>
  <si>
    <t>Stryde CO2 storage assessment Brazil</t>
  </si>
  <si>
    <t>Stryde, bioethanol producers (XX)</t>
  </si>
  <si>
    <t>https://strydefurther.com/news/first-large-scale-onshore-nodal-ccs-exploration-projects-in-brazil-commence</t>
  </si>
  <si>
    <t>Suek Blue Ammonia Borodinsky</t>
  </si>
  <si>
    <t>Agency for Economic Development of the Leningrad Region, Suek</t>
  </si>
  <si>
    <t>https://www.fertilizerdaily.com/20211111-suek-is-exploring-the-way-to-the-ammonia-market/</t>
  </si>
  <si>
    <t>Suez Tees Valley / Haverton Hill Waste to Energy CCS</t>
  </si>
  <si>
    <t>Suez</t>
  </si>
  <si>
    <t>https://www.suez.co.uk/en-gb/news/press-releases/201116-reduction-of-co2-emissions-by-2030</t>
  </si>
  <si>
    <t>https://www.bbc.com/news/uk-england-tees-61231252</t>
  </si>
  <si>
    <t>Sukowati CO2-EOR (Jambaran Tiung Biru gas processing)</t>
  </si>
  <si>
    <t>Pertamina, Lemigas, JAPEX (supported by METI), JOGMEC</t>
  </si>
  <si>
    <t>https://www.japanccs.com/wp/wp-content/uploads/2020/10/CCUS-Activities-in-Indonesia_Dr.-Adhi-Wibowo.pdf</t>
  </si>
  <si>
    <t>https://www.sciencedirect.com/science/article/pii/S0921344921006777#!</t>
  </si>
  <si>
    <t>Suncor Edmonton Refinery - Fluid Catalytic Cracker Capture (ALB)</t>
  </si>
  <si>
    <t>Suncor, Svante</t>
  </si>
  <si>
    <t>https://www.eralberta.ca/projects/details/svantes-co2-capture-process-for-suncors-fluid-catalytic-cracker/</t>
  </si>
  <si>
    <t>Sunda Asri Basin CCUS hub</t>
  </si>
  <si>
    <t xml:space="preserve">Pertamina, ExxonMobil </t>
  </si>
  <si>
    <t>https://www.pertamina.com/en/news-room/news-release/pertamina-cooperates-with-exxonmobil-to-study-ccus-technology-application-in-three-oil-and-gas-field-areas</t>
  </si>
  <si>
    <t>https://www.pertamina.com/en/news-room/news-release/pertamina-exxonmobil-explores-carbon-capture-storage-hub-development</t>
  </si>
  <si>
    <t>Sundsvall Korsta plant CCS</t>
  </si>
  <si>
    <t>Susitna Power Plant (AK)</t>
  </si>
  <si>
    <t>The Commonwealth of Virginia DoE (Big Stone Gap)</t>
  </si>
  <si>
    <t>Sustainable Fuels Group - CIP blue ammonia plant</t>
  </si>
  <si>
    <t xml:space="preserve">Sustainable Fuels Group, Copenhagen Infrastructure Partners (CIP) </t>
  </si>
  <si>
    <t>https://www.offshore-energy.biz/cip-buys-into-blue-ammonia-project-in-the-gulf-coast/</t>
  </si>
  <si>
    <t>Sutter Decarbonization Project (CA)</t>
  </si>
  <si>
    <t>Gas Technology Institute, Calpine, 1pointfive (storage)</t>
  </si>
  <si>
    <t>https://www.smud.org/-/media/Documents/Corporate/About-Us/Board-Meetings-and-Agendas/2023/May/Exhibit-to-Agenda-Item-1---Calpine-Presentation.ashx</t>
  </si>
  <si>
    <t xml:space="preserve">Svante capture Linde SMR plant (TX) </t>
  </si>
  <si>
    <t>BP</t>
  </si>
  <si>
    <t>https://www.energy.gov/fecm/articles/us-department-energy-selects-12-projects-improve-fossil-based-hydrogen-production</t>
  </si>
  <si>
    <t xml:space="preserve">University of Wyoming, Frontier Carbon Solutions Holdings LLC </t>
  </si>
  <si>
    <t>https://www.hartenergy.com/exclusives/frontier-receives-federal-funds-develop-carbon-storage-hub-205639</t>
  </si>
  <si>
    <t>TA’ZIZ blue ammonia</t>
  </si>
  <si>
    <t>ADNOC, TA'ZIZ, Fertiglobe, Mitsui, GS Energy</t>
  </si>
  <si>
    <t>https://adnoc.ae/en/news-and-media/press-releases/2021/adnoc-to-build-world-scale-blue-ammonia-project</t>
  </si>
  <si>
    <t>https://www.offshore-energy.biz/mitsui-and-gs-join-taziz-in-blue-ammonia-project/</t>
  </si>
  <si>
    <t>https://www.adnoc.ae/en/news-and-media/press-releases/2023/taziz-progresses-with-low-carbon-ammonia-shareholder-agreement</t>
  </si>
  <si>
    <t>https://www.zawya.com/en/press-release/companies-news/taziz-progresses-with-low-carbon-ammonia-shareholder-agreement-a0zxqo6i</t>
  </si>
  <si>
    <t>Taiwan Cement Hoping oxyfuel pilot</t>
  </si>
  <si>
    <t>Taiwan</t>
  </si>
  <si>
    <t>Taiwan cement, Thyssenkrupp Polysius</t>
  </si>
  <si>
    <t>https://insights.thyssenkrupp-polysius.com/news/taiwan-cement-and-thyssenkrupp-polysius-sign-mou-to-build-a-separate-oxyfuel-calciner-in-taiwan/</t>
  </si>
  <si>
    <t>Taiwan Cement Hoping/Heping plant</t>
  </si>
  <si>
    <t>Taiwan cement</t>
  </si>
  <si>
    <t>https://www.taiwancement.com/en/esgGhgCarbonEmissions.html</t>
  </si>
  <si>
    <t>Tambak Lorok Gas-Fired Power Plant</t>
  </si>
  <si>
    <t>JERA, JGC Holdings, PLN</t>
  </si>
  <si>
    <t>https://www.jera.co.jp/en/news/information/20231019_1695</t>
  </si>
  <si>
    <t>Tampa Regional Intermodal Carbon HUB (T-RICH) (FL)</t>
  </si>
  <si>
    <t>Overseas Shipholding Group, Inc.</t>
  </si>
  <si>
    <t>Tangguh CCUS hub</t>
  </si>
  <si>
    <t>Tangguh LNG EGR</t>
  </si>
  <si>
    <t>BP (Mitsubishi, Inpex,  JX  Nippon,  KG  Mitsui,  LNG  Japan,  CNOOC), ITB</t>
  </si>
  <si>
    <t>https://www.reuters.com/business/sustainable-business/indonesia-approves-plan-develop-ubadari-gas-field-vorwata-carbon-project-2021-08-30/</t>
  </si>
  <si>
    <t>https://www.energyvoice.com/oilandgas/436132/bp-seeks-feed-contractor-for-ccs-project-at-tangguh-lng/</t>
  </si>
  <si>
    <t>Tarastenjärvi power (Tampere)</t>
  </si>
  <si>
    <t>RenGas, Tampereen Energia</t>
  </si>
  <si>
    <t>https://ren-gas.com/en/projekti/tampere-2/</t>
  </si>
  <si>
    <t>Tees Valley Energy Recovery Facility (TVERF)</t>
  </si>
  <si>
    <t>Hartlepool Borough Council (leading partnership with 6 other councils)</t>
  </si>
  <si>
    <t>https://www.tverf.co.uk/</t>
  </si>
  <si>
    <t>Terrell Natural Gas Processing Plant (former Val Verde) (TX)</t>
  </si>
  <si>
    <t>Blue Source, Occidental (Oxy), Chevron</t>
  </si>
  <si>
    <t>https://sequestration.mit.edu/tools/projects/val_verde.html</t>
  </si>
  <si>
    <t>http://www.bluesource.com/portfolio/val-verde-pipeline-co2-emission-reductions-as-a-powerful-economic-tool/</t>
  </si>
  <si>
    <t>https://energy.uq.edu.au/files/2283/WP3_CCS%20Roadmaps%20and%20Projects.pdf</t>
  </si>
  <si>
    <t>Tharaldson Ethanol Casselton biorefinery (ND)</t>
  </si>
  <si>
    <t>Tharaldson Ethanol, Summit Carbon Solutions</t>
  </si>
  <si>
    <t>The Bluestreak CO2 Joint Venture</t>
  </si>
  <si>
    <t xml:space="preserve">Navigator Holdings (50%), Bumi Armada Berhad (50%) </t>
  </si>
  <si>
    <t>https://www.offshore-energy.biz/navigator-holdings-joins-hands-with-bumi-armada-on-co2-shipping-and-injection-jv/</t>
  </si>
  <si>
    <t>The ZEROS project Chambers &amp; Liberty County (Jefferson) (TX)</t>
  </si>
  <si>
    <t>Texas Water Resources Institute</t>
  </si>
  <si>
    <t>https://www.prnewswire.com/news-releases/systems-international-announces-two-power-plants-300973783.html</t>
  </si>
  <si>
    <t>https://zerosinc.com/</t>
  </si>
  <si>
    <t>Thorning storage</t>
  </si>
  <si>
    <t>Unknown partners</t>
  </si>
  <si>
    <t>https://ens.dk/en/our-responsibilities/ccs-carbon-capture-and-storage/licenses-exploration-and-storage-co2-including</t>
  </si>
  <si>
    <t>Timberland Sequestration project (AL)</t>
  </si>
  <si>
    <t>Timberlands Sequestration LLC, Alabama River Cellulose (ARC), Georgia Pacific LLC</t>
  </si>
  <si>
    <t>Timberland Sequestration project</t>
  </si>
  <si>
    <t>Tohoku Region West Coast CCS</t>
  </si>
  <si>
    <t>ITOCHU, ITOCHU Oil exploration  Mitsubishi HI, INPEX, Taisei</t>
  </si>
  <si>
    <t>https://www.itochu.co.jp/en/news/press/2023/230126.html</t>
  </si>
  <si>
    <t>Tohoku Region West Coast CCS - Nippon Steel</t>
  </si>
  <si>
    <t>Nippon Steel</t>
  </si>
  <si>
    <t xml:space="preserve">Tohoku Region West Coast CCS - Taiheiyo Cement </t>
  </si>
  <si>
    <t>Taiheiyo Cement Corporation</t>
  </si>
  <si>
    <t>Tomakomai area CCS</t>
  </si>
  <si>
    <t>Idemitsu, Hokkaido Electric Power, JAPEX</t>
  </si>
  <si>
    <t>https://www.japex.co.jp/en/news/detail/20230126_01/</t>
  </si>
  <si>
    <t>Tomakomai area CCS - Hokkaido Electric Tomatouatsuma power station</t>
  </si>
  <si>
    <t>Hokkaido Electric Power</t>
  </si>
  <si>
    <t>Tomakomai area CCS - Idemitsu Kosan Hokkaido Refinery</t>
  </si>
  <si>
    <t>Idemitsu</t>
  </si>
  <si>
    <t>Tourmaline Clearwater CCUS (ALB)</t>
  </si>
  <si>
    <t xml:space="preserve"> Tourmaline Oil Corp.</t>
  </si>
  <si>
    <t>Tracy DAC facility</t>
  </si>
  <si>
    <t>Heirloom, CarbonCure</t>
  </si>
  <si>
    <t>https://www.heirloomcarbon.com/news/heirloom-unveils-americas-first-commercial-direct-air-capture-facility</t>
  </si>
  <si>
    <t>Trailblazer CO2 pipeline</t>
  </si>
  <si>
    <t>https://ir.tallgrass.com/news-market-information/press-releases/press-release/2022/Tallgrass-to-Capture-and-Sequester-CO2-Emissions-From-ADM-Corn-Processing-Complex-in-Nebraska/default.aspx</t>
  </si>
  <si>
    <t>Tri-state project (WV, OH, PA)</t>
  </si>
  <si>
    <t>Trudvang storage project (EXL007)</t>
  </si>
  <si>
    <t>Eni (following acquisition of Neptune Energy)  (30%), Sval (40% op), Storegga (30%)</t>
  </si>
  <si>
    <t>Trudvang storage project</t>
  </si>
  <si>
    <t>https://www.neptuneenergy.com/media/press-releases/year/2023/neptune-energy-partners-sval-and-storegga-co2-storage-licence</t>
  </si>
  <si>
    <t>Tulare County Carbon Storage Project (CA)</t>
  </si>
  <si>
    <t>Tumbler Ridge blue methanol project (BC)</t>
  </si>
  <si>
    <t>RH2C, CMC and West Moberly First Nations</t>
  </si>
  <si>
    <t>Tumbler Ridge e-methanol project (BC)</t>
  </si>
  <si>
    <t>https://www.rh2ca.com/</t>
  </si>
  <si>
    <t>Twence Hengelo facility</t>
  </si>
  <si>
    <t>Twence, Aker CC (tech)</t>
  </si>
  <si>
    <t>https://www.akersolutions.com/news/news-archive/2019/aker-solutions-signs-carbon-capture-contract-with-twence-in-the-netherlands/</t>
  </si>
  <si>
    <t>https://ec.europa.eu/info/news/state-aid-commission-approves-eu143-million-dutch-aid-support-carbon-capture-and-use-facility-2021-jul-30_en</t>
  </si>
  <si>
    <t>https://www.twence.com/news/twence-co2-capture-plant-in-hengelo-sets-an-example-for-the-netherlands?_ga=2.60540654.276142154.1637244258-770985229.1619165454</t>
  </si>
  <si>
    <t>UK Poseidon CCS project phase 1</t>
  </si>
  <si>
    <t>Prenco UK (operator), Carbon Catalyst Ltd, Wintershall dea (10% of carbon catalyst license)</t>
  </si>
  <si>
    <t>UKCS Poseidon CCS project</t>
  </si>
  <si>
    <t>https://wintershalldea.com/en/newsroom/pi-23-39</t>
  </si>
  <si>
    <t>UK Poseidon CCS project phase 2</t>
  </si>
  <si>
    <t>North Sea Transition Authority (NSTA): Net zero boost as carbon storage licences accepted - 2023 - News - News &amp; &lt;br/&gt;publications (nstauthority.co.uk)</t>
  </si>
  <si>
    <t>Umea Dava plant CCS</t>
  </si>
  <si>
    <t>Unita Basin Carbon SAFE (UT)</t>
  </si>
  <si>
    <t>University of Utah</t>
  </si>
  <si>
    <t>Uthmaniyah CO2-EOR demonstration</t>
  </si>
  <si>
    <t>Saudi Aramco</t>
  </si>
  <si>
    <t>https://www.arabnews.jp/en/saudi-arabia/article_39452/</t>
  </si>
  <si>
    <t>https://www.aramco.com/en/creating-value/technology-development/globalresearchcenters/carbon-management</t>
  </si>
  <si>
    <t>https://japan.aramco.com/en/news-media/news/2015/20150730_carbon_capture_project</t>
  </si>
  <si>
    <t>Valero Port Arthur Refinery (TX)</t>
  </si>
  <si>
    <t>Air products, ExxonMobil (formerly Denbury carbon solutions)</t>
  </si>
  <si>
    <t>https://ieaghg.org/publications/technical-reports/reports-list/9-technical-reports/956-2018-05-the-ccs-project-at-air-products-port-arthur-hydrogen-production-facility</t>
  </si>
  <si>
    <t>https://www.energy.gov/articles/breakthrough-industrial-carbon-capture-utilization-and-storage-project-begins-full-scale</t>
  </si>
  <si>
    <t>https://www.osti.gov/biblio/1437618</t>
  </si>
  <si>
    <t>https://s27.q4cdn.com/166477028/files/doc_downloads/Denbury-2021-Corporate-Responsibility-Report.pdf</t>
  </si>
  <si>
    <t>Vattenfall Jordbro CHP plant</t>
  </si>
  <si>
    <t>Vattenfall, Aker CC</t>
  </si>
  <si>
    <t>https://bioenergyinternational.com/vattenfall-submits-beccs-permit-application/</t>
  </si>
  <si>
    <t>Växjö Energi CHP CCS Sandviksverket</t>
  </si>
  <si>
    <t xml:space="preserve">Växjö Energi </t>
  </si>
  <si>
    <t>https://www.energi.se/artiklar/2021/maj-2021/darfor-tar-vaxjo-energi-klivet-till-bio-ccs/</t>
  </si>
  <si>
    <t>https://www.veab.se/om-oss/hallbarhet/satsningar-och-projekt/bio-ccs/</t>
  </si>
  <si>
    <t>Velocys Bayou Fuels (MS)</t>
  </si>
  <si>
    <t>Velocys, Oxy low carbon ventures (Occidental) (Storage contract), Bechtel (FEED)</t>
  </si>
  <si>
    <t>Livingston Parish CO2 sequestration hub (LA)</t>
  </si>
  <si>
    <t>https://www.velocys.com/projects/bayou-fuels/</t>
  </si>
  <si>
    <t>Venture Global CCS Cameron (LA)</t>
  </si>
  <si>
    <t>Venture Global</t>
  </si>
  <si>
    <t>Venture Global LNG Calcasieu Pass CCS (LA)</t>
  </si>
  <si>
    <t>https://venturegloballng.com/press/venture-global-launches-carbon-capture-and-sequestration-project/</t>
  </si>
  <si>
    <t>https://www.reuters.com/business/sustainable-business/reuters-events-venture-global-can-use-existing-technology-louisiana-carbon-2021-06-23/</t>
  </si>
  <si>
    <t>Venture Global LNG CP2 liquefaction facility CCS (LA)</t>
  </si>
  <si>
    <t>https://venturegloballng.com/press/venture-global-and-louisiana-governor-john-bel-edwards-announce-proposed-cp2-lng-export-facility/</t>
  </si>
  <si>
    <t>Venture Global LNG Plaquemines CCS (LA)</t>
  </si>
  <si>
    <t>Veolia EfW to fuels</t>
  </si>
  <si>
    <t>Veolia</t>
  </si>
  <si>
    <t>https://www.newpower.info/2024/02/veolia-to-pilot-carbon-capture-for-its-energy-from-waste-sites/</t>
  </si>
  <si>
    <t>Vestforbrænding's Ejby incineration plant</t>
  </si>
  <si>
    <t>Vestforbrænding, Technip (FEED)</t>
  </si>
  <si>
    <t>https://a-r-c.dk/app/uploads/2021/02/C4-press_release.pdf</t>
  </si>
  <si>
    <t>https://www.vestfor.dk/nyheder-og-presse/nyheder/vestforbraending-vil-indfange-co2-i-fremtiden/</t>
  </si>
  <si>
    <t>https://www.vestfor.dk/nyheder-og-presse/nyheder/vestforbraending-intensiverer-sin-co2-indsats/</t>
  </si>
  <si>
    <t>https://a-r-c.dk/c4/</t>
  </si>
  <si>
    <t>https://orsted.com/en/media/newsroom/news/2022/02/20220204476711</t>
  </si>
  <si>
    <t>https://www.technipenergies.com/en/media/news/technip-energies-selected-vestforbraendings-carbon-capture-project-waste-energy-plant</t>
  </si>
  <si>
    <t>Vicksburg Containerboard Mill (MS)</t>
  </si>
  <si>
    <t>RTI International, IP, SLB, Amazon</t>
  </si>
  <si>
    <t>Viking CCS Phase 1</t>
  </si>
  <si>
    <t>Harbour Energy (60% operator), BP (40%), kent (engineering provider), Technip energies (FEED transport)</t>
  </si>
  <si>
    <t>https://www.energyvoice.com/oilandgas/north-sea/355353/harbour-energy-wins-ccs-storage-licence-for-v-net-zero/</t>
  </si>
  <si>
    <t>https://carbonherald.com/v-net-zero-carbon-capture-project-enters-planning-phase/</t>
  </si>
  <si>
    <t>https://www.nstauthority.co.uk/news-publications/news/2021/oga-grants-carbon-storage-licence-to-harbour-energy/</t>
  </si>
  <si>
    <t>https://www.vikingccs.co.uk/</t>
  </si>
  <si>
    <t>https://www.energyvoice.com/renewables-energy-transition/ccs/uk-ccs/521881/everything-you-need-to-know-about-viking-ccs/</t>
  </si>
  <si>
    <t>https://www.vikingccs.co.uk/news/application-for-viking-ccs-onshore-co2transportation-pipeline-accepted-for-examination-by-planning-inspectorate</t>
  </si>
  <si>
    <t>Viking CCS Phase 2</t>
  </si>
  <si>
    <t>Harbour Energy (operator), BP (40%), Technip energies (FEED transport)</t>
  </si>
  <si>
    <t>Viking CCS Phase 3</t>
  </si>
  <si>
    <t>https://www.vikingccs.co.uk/capture</t>
  </si>
  <si>
    <t>Virginia CarbonSafe storage (VA)</t>
  </si>
  <si>
    <t>Virgo (LA)</t>
  </si>
  <si>
    <t>Viridor Runcorn CCS project</t>
  </si>
  <si>
    <t>Viridor, Aker CC (tech/pre FEED), Cowi (pre-FEED)</t>
  </si>
  <si>
    <t>https://hynet.co.uk/wp-content/uploads/2021/11/102021-WWU-supports-decarbonisation-cluster-in-North-Wales-and-North-West.docx.pdf</t>
  </si>
  <si>
    <t>https://www.viridor.co.uk/siteassets/document-repository/sustainability-reports/07125-02-viridor-sustainability-report_v8-ia.pdf</t>
  </si>
  <si>
    <t>https://akercarboncapture.com/?cision_id=5BE999397FF49444</t>
  </si>
  <si>
    <t>VISION 2025</t>
  </si>
  <si>
    <t>HELLENiQ ENERGY - Helpe</t>
  </si>
  <si>
    <t>https://www.helleniqenergy.gr/sites/default/files/2023-03/EN_HELPE_AR_2022_PREVIEW.pdf</t>
  </si>
  <si>
    <t>https://energynews.biz/greeces-leading-oil-refiner-helleniq-energy-forges-path-to-green-hydrogen-investment/</t>
  </si>
  <si>
    <t>Voestalpine hot briquetted iron plant Portland (TX)</t>
  </si>
  <si>
    <t>Board of Trustees of the University of Illinois, Voestalpine, Air Liquide</t>
  </si>
  <si>
    <t>VPI Immingham CHP plant CCS</t>
  </si>
  <si>
    <t>VPI Immingham (Vitol)</t>
  </si>
  <si>
    <t>https://www.shell.com/business-customers/catalysts-technologies/resources-library/trade-release-shell-catalysts-and-technologies-carbon-capture-technology-at-vpi.html</t>
  </si>
  <si>
    <t>Wabash Valley Resources/Wabash CarbonSAFE (IN)</t>
  </si>
  <si>
    <t>Wabash Valley Resources, Wabash Carbon services, University of Illinois, Illinois State Geological Survey (CarbonSAFE)</t>
  </si>
  <si>
    <t>Wabash CarbonSAFE (IN)</t>
  </si>
  <si>
    <t>https://www.netl.doe.gov/projects/project-information.aspx?p=FE0031626</t>
  </si>
  <si>
    <t>https://www.wvresc.com/</t>
  </si>
  <si>
    <t>https://www.greencarcongress.com/2021/06/20210623-blue.html</t>
  </si>
  <si>
    <t>WAH2 Blue  Ammonia Project - phase 1</t>
  </si>
  <si>
    <t xml:space="preserve">Hexagon Energy Materials </t>
  </si>
  <si>
    <t>https://hxgenergymaterials.com.au/wp-content/uploads/2022/03/Hexagons-West-Australian-Blue-Ammonia-Project.pdf</t>
  </si>
  <si>
    <t>https://fuelcellsworks.com/news/australia-hexagon-energy-materials-completes-wah2-low-carbon-hydrogen-scoping-study/</t>
  </si>
  <si>
    <t>WAH2 Blue  Ammonia Project - phase 2</t>
  </si>
  <si>
    <t>Waste to energy CCU to TES Wilhemshaven (unknown facility)</t>
  </si>
  <si>
    <t>Aker CC, TES</t>
  </si>
  <si>
    <t>https://akercarboncapture.com/?cision_id=7F0EAD177CA426B3</t>
  </si>
  <si>
    <t>Waste to hydrogen Boson Energy (BEH2X LAVNT)</t>
  </si>
  <si>
    <t>Boson Energy SA</t>
  </si>
  <si>
    <t>https://www.rechargenews.com/energy-transition/-we-will-produce-carbon-negative-green-hydrogen-from-non-recyclable-waste-at-zero-or-below-zero-cost-/2-1-1162744</t>
  </si>
  <si>
    <t>Waste-to-energy Aker CC (unknown facility)</t>
  </si>
  <si>
    <t>Aker CC</t>
  </si>
  <si>
    <t>https://akercarboncapture.com/?cision_id=6FDE114B1611FBE3</t>
  </si>
  <si>
    <t>West bay storage Galveston (TX)</t>
  </si>
  <si>
    <t>BP carbon solutions</t>
  </si>
  <si>
    <t>West Java sea rig-to-CCS JSA</t>
  </si>
  <si>
    <t>Pertamina, KNOC</t>
  </si>
  <si>
    <t>https://www.pertamina.com/id/news-room/news-release/kurangi-emisi-pertamina-knoc-jajaki-kerja-sama-pengembangan-rig-to-ccs</t>
  </si>
  <si>
    <t>Weyburn-Midale storage</t>
  </si>
  <si>
    <t>Whitecap Resources Inc. and Cardinal Energy LTD.</t>
  </si>
  <si>
    <t>WH2V therminal (Wilhelshaven green energy hub phase 1)</t>
  </si>
  <si>
    <t>Belgium, Germany, Netherlands, Switzerland, USA</t>
  </si>
  <si>
    <t>TES</t>
  </si>
  <si>
    <t>Whiting Refinery</t>
  </si>
  <si>
    <t>Wilhelmshaven Energy Hub BlueHyNow</t>
  </si>
  <si>
    <t>WH2V eng hub</t>
  </si>
  <si>
    <t>https://wintershalldea.com/en/newsroom/wintershall-dea-helps-shape-wilhelmshaven-energy-hub</t>
  </si>
  <si>
    <t>William Echo Springs CarbonSAFE (WY)</t>
  </si>
  <si>
    <t>University of Wyoming, Williams</t>
  </si>
  <si>
    <t>https://www.uwyo.edu/ser/news/2023/11/echo-springs-carbonsafe.html</t>
  </si>
  <si>
    <t>https://www.uwyo.edu/cegr/research-projects/wyoming-carbonsafe.html#:~:text=The%20Wyoming%20CarbonSAFE%20Project%2C%20which,ready%20for%20integrated%20CCUS%20system</t>
  </si>
  <si>
    <t>https://netl.doe.gov/node/13090</t>
  </si>
  <si>
    <t>https://wyoenergy.org/energy-matching-funds/</t>
  </si>
  <si>
    <t>Wintershall Dea Luna storage</t>
  </si>
  <si>
    <t>Wintershall Dea (60%), TotalEnergies (40%) (formerly owned by CapeOmega)</t>
  </si>
  <si>
    <t>Wintershall dea Luna</t>
  </si>
  <si>
    <t>https://wintershalldea.com/en/newsroom/wintershall-dea-awarded-its-first-co2-licence-norway</t>
  </si>
  <si>
    <t>https://wintershalldea.com/en/newsroom/pi-23-08</t>
  </si>
  <si>
    <t>https://totalenergies.com/media/news/press-releases/norway-totalenergies-acquires-40-interest-co2-storage-exploration-license</t>
  </si>
  <si>
    <t>Wintershall Dea-Equinor Gernany-Norway pipeline phase 1</t>
  </si>
  <si>
    <t>Germany-Norway</t>
  </si>
  <si>
    <t>Wintershall Dea, Equinor</t>
  </si>
  <si>
    <t>Wintershall Dea-Equinor Gernany-Norway pipeline</t>
  </si>
  <si>
    <t>https://wintershalldea.com/en/newsroom/wintershall-dea-and-equinor-partner-large-scale-ccs-value-chain-north-sea</t>
  </si>
  <si>
    <t>Wintershall Dea-Equinor Gernany-Norway pipeline phase 2</t>
  </si>
  <si>
    <t>Woodside Browse CCS Assessment</t>
  </si>
  <si>
    <t>Woodside energy</t>
  </si>
  <si>
    <t>Yamal LNG</t>
  </si>
  <si>
    <t>Yanchang integrated CCUS Yulin Coal Chemical (Shaanxi) phase 1</t>
  </si>
  <si>
    <t>Yanchang Petroleum</t>
  </si>
  <si>
    <t>Yanchang oilfield</t>
  </si>
  <si>
    <t>https://www.sciencedirect.com/science/article/pii/S1750583620305983</t>
  </si>
  <si>
    <t>https://m.21jingji.com/article/20210531/herald/4759d551021ce607cd22ef008b83889e_zaker.html</t>
  </si>
  <si>
    <t>http://www.pmweb.com.cn/xiangmu/6670.html</t>
  </si>
  <si>
    <t>Yanchang integrated CCUS Yulin Coal Chemical (Shaanxi) phase 2</t>
  </si>
  <si>
    <t>Yanchang integrated CCUS Yulin Coal Chemical (Shaanxi) phase 3</t>
  </si>
  <si>
    <t>Yara Pilbara ammonia</t>
  </si>
  <si>
    <t>Yara, JERA</t>
  </si>
  <si>
    <t>https://www.yara.com/corporate-releases/yara-and-jera-plan-to-collaborate-on-clean-ammonia-to-decarbonize-power-production-in-japan/</t>
  </si>
  <si>
    <t>Yara Sluiskil fertiliser</t>
  </si>
  <si>
    <t>Yara</t>
  </si>
  <si>
    <t>https://norlights.com/news/major-milestone-for-decarbonising-europe%ef%bf%bc/</t>
  </si>
  <si>
    <t>https://www.yara.com/corporate-releases/yara-invests-in-ccs-in-sluiskil-and-signs-binding-co2-transport-and-storage-agreement-with-northern-lights--the-worlds-first-cross-border-ccs-agreement-in-operation2/</t>
  </si>
  <si>
    <t>https://www.linde-engineering.com/en/news_and_media/press_releases/news20240229.html</t>
  </si>
  <si>
    <t>Yara-BASF Gulf Coast</t>
  </si>
  <si>
    <t>Yara, BASF</t>
  </si>
  <si>
    <t>https://www.basf.com/global/en/media/news-releases/2023/06/p-23-255.html</t>
  </si>
  <si>
    <t>ZerCal250</t>
  </si>
  <si>
    <t>Origin, Singleton Birch</t>
  </si>
  <si>
    <t>https://birchchemicals.co.uk/birch-chemicals-begins-the-journey-to-zero-carbon-production/</t>
  </si>
  <si>
    <t>INA/MOL</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</si>
</sst>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1.0"/>
      <color rgb="FF004BFF"/>
      <name val="Corbel"/>
    </font>
    <font/>
    <font>
      <sz val="10.0"/>
      <color theme="1"/>
      <name val="Corbel"/>
    </font>
    <font>
      <sz val="10.0"/>
      <color rgb="FF7F7F7F"/>
      <name val="Corbel"/>
    </font>
    <font>
      <b/>
      <sz val="10.0"/>
      <color rgb="FF7F7F7F"/>
      <name val="Corbel"/>
    </font>
    <font>
      <b/>
      <sz val="10.0"/>
      <color theme="0"/>
      <name val="Corbel"/>
    </font>
    <font>
      <sz val="10.0"/>
      <color rgb="FF808080"/>
      <name val="Corbel"/>
    </font>
    <font>
      <b/>
      <sz val="10.0"/>
      <color rgb="FF004BFF"/>
      <name val="Corbel"/>
    </font>
    <font>
      <sz val="10.0"/>
      <color rgb="FF004BFF"/>
      <name val="Corbel"/>
    </font>
    <font>
      <b/>
      <sz val="12.0"/>
      <color rgb="FF004BFF"/>
      <name val="Corbel"/>
    </font>
    <font>
      <sz val="9.0"/>
      <color theme="0"/>
      <name val="Calibri"/>
    </font>
    <font>
      <sz val="9.0"/>
      <color rgb="FFFFFFFF"/>
      <name val="Calibri"/>
    </font>
    <font>
      <sz val="9.0"/>
      <color theme="1"/>
      <name val="Calibri"/>
    </font>
    <font>
      <sz val="8.0"/>
      <color theme="1"/>
      <name val="Calibri"/>
    </font>
    <font>
      <u/>
      <sz val="9.0"/>
      <color theme="10"/>
      <name val="Calibri"/>
    </font>
    <font>
      <u/>
      <sz val="9.0"/>
      <color theme="10"/>
      <name val="Calibri"/>
    </font>
    <font>
      <u/>
      <sz val="9.0"/>
      <color theme="1"/>
      <name val="Calibri"/>
    </font>
    <font>
      <u/>
      <sz val="9.0"/>
      <color rgb="FF0000FF"/>
      <name val="Calibri"/>
    </font>
    <font>
      <u/>
      <sz val="9.0"/>
      <color theme="1"/>
      <name val="Calibri"/>
    </font>
    <font>
      <u/>
      <sz val="9.0"/>
      <color rgb="FF0000FF"/>
      <name val="Calibri"/>
    </font>
    <font>
      <color theme="1"/>
      <name val="Calibri"/>
    </font>
    <font>
      <u/>
      <sz val="11.0"/>
      <color theme="10"/>
      <name val="Calibri"/>
    </font>
  </fonts>
  <fills count="7">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theme="9"/>
        <bgColor theme="9"/>
      </patternFill>
    </fill>
    <fill>
      <patternFill patternType="solid">
        <fgColor rgb="FFE2EFD9"/>
        <bgColor rgb="FFE2EFD9"/>
      </patternFill>
    </fill>
    <fill>
      <patternFill patternType="solid">
        <fgColor rgb="FFB4C6E7"/>
        <bgColor rgb="FFB4C6E7"/>
      </patternFill>
    </fill>
  </fills>
  <borders count="7">
    <border/>
    <border>
      <left/>
      <right/>
      <top/>
      <bottom/>
    </border>
    <border>
      <left/>
      <top/>
    </border>
    <border>
      <top/>
    </border>
    <border>
      <left/>
    </border>
    <border>
      <left/>
      <top/>
      <bottom/>
    </border>
    <border>
      <top/>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1" fillId="2" fontId="2" numFmtId="0" xfId="0" applyAlignment="1" applyBorder="1" applyFont="1">
      <alignment vertical="center"/>
    </xf>
    <xf borderId="2" fillId="2" fontId="2" numFmtId="0" xfId="0" applyAlignment="1" applyBorder="1" applyFont="1">
      <alignment horizontal="left" shrinkToFit="0" vertical="top" wrapText="1"/>
    </xf>
    <xf borderId="3" fillId="0" fontId="3" numFmtId="0" xfId="0" applyBorder="1" applyFont="1"/>
    <xf borderId="4" fillId="0" fontId="3" numFmtId="0" xfId="0" applyBorder="1" applyFont="1"/>
    <xf borderId="1" fillId="2" fontId="4" numFmtId="0" xfId="0" applyAlignment="1" applyBorder="1" applyFont="1">
      <alignment vertical="top"/>
    </xf>
    <xf borderId="1" fillId="2" fontId="2" numFmtId="0" xfId="0" applyAlignment="1" applyBorder="1" applyFont="1">
      <alignment horizontal="left" vertical="top"/>
    </xf>
    <xf borderId="1" fillId="2" fontId="5" numFmtId="0" xfId="0" applyAlignment="1" applyBorder="1" applyFont="1">
      <alignment horizontal="left" vertical="top"/>
    </xf>
    <xf borderId="1" fillId="2" fontId="4" numFmtId="0" xfId="0" applyAlignment="1" applyBorder="1" applyFont="1">
      <alignment horizontal="left" vertical="top"/>
    </xf>
    <xf borderId="1" fillId="2" fontId="6" numFmtId="0" xfId="0" applyAlignment="1" applyBorder="1" applyFont="1">
      <alignment vertical="top"/>
    </xf>
    <xf borderId="1" fillId="2" fontId="5" numFmtId="0" xfId="0" applyAlignment="1" applyBorder="1" applyFont="1">
      <alignment horizontal="left" shrinkToFit="0" vertical="top" wrapText="1"/>
    </xf>
    <xf borderId="1" fillId="2" fontId="4" numFmtId="0" xfId="0" applyAlignment="1" applyBorder="1" applyFont="1">
      <alignment shrinkToFit="0" vertical="top" wrapText="1"/>
    </xf>
    <xf borderId="1" fillId="2" fontId="6" numFmtId="0" xfId="0" applyAlignment="1" applyBorder="1" applyFont="1">
      <alignment horizontal="left" vertical="top"/>
    </xf>
    <xf borderId="1" fillId="2" fontId="7" numFmtId="0" xfId="0" applyAlignment="1" applyBorder="1" applyFont="1">
      <alignment horizontal="center" shrinkToFit="0" vertical="top" wrapText="1"/>
    </xf>
    <xf borderId="1" fillId="2" fontId="8" numFmtId="0" xfId="0" applyAlignment="1" applyBorder="1" applyFont="1">
      <alignment horizontal="left" vertical="top"/>
    </xf>
    <xf borderId="1" fillId="2" fontId="8" numFmtId="0" xfId="0" applyAlignment="1" applyBorder="1" applyFont="1">
      <alignment vertical="top"/>
    </xf>
    <xf borderId="1" fillId="2" fontId="7" numFmtId="1" xfId="0" applyAlignment="1" applyBorder="1" applyFont="1" applyNumberFormat="1">
      <alignment horizontal="center" shrinkToFit="0" vertical="top" wrapText="1"/>
    </xf>
    <xf borderId="5" fillId="2" fontId="5" numFmtId="0" xfId="0" applyAlignment="1" applyBorder="1" applyFont="1">
      <alignment horizontal="left" shrinkToFit="0" vertical="top" wrapText="1"/>
    </xf>
    <xf borderId="6" fillId="0" fontId="3" numFmtId="0" xfId="0" applyBorder="1" applyFont="1"/>
    <xf borderId="1" fillId="2" fontId="4" numFmtId="0" xfId="0" applyAlignment="1" applyBorder="1" applyFont="1">
      <alignment horizontal="left" shrinkToFit="0" vertical="top" wrapText="1"/>
    </xf>
    <xf borderId="1" fillId="2" fontId="9" numFmtId="0" xfId="0" applyBorder="1" applyFont="1"/>
    <xf borderId="1" fillId="2" fontId="10" numFmtId="0" xfId="0" applyBorder="1" applyFont="1"/>
    <xf borderId="1" fillId="2" fontId="8" numFmtId="0" xfId="0" applyBorder="1" applyFont="1"/>
    <xf borderId="1" fillId="2" fontId="5" numFmtId="0" xfId="0" applyAlignment="1" applyBorder="1" applyFont="1">
      <alignment horizontal="left"/>
    </xf>
    <xf borderId="1" fillId="2" fontId="4" numFmtId="0" xfId="0" applyAlignment="1" applyBorder="1" applyFont="1">
      <alignment horizontal="left"/>
    </xf>
    <xf borderId="1" fillId="2" fontId="4" numFmtId="0" xfId="0" applyBorder="1" applyFont="1"/>
    <xf borderId="1" fillId="2" fontId="6" numFmtId="0" xfId="0" applyBorder="1" applyFont="1"/>
    <xf borderId="1" fillId="2" fontId="5" numFmtId="0" xfId="0" applyBorder="1" applyFont="1"/>
    <xf borderId="1" fillId="2" fontId="11" numFmtId="0" xfId="0" applyAlignment="1" applyBorder="1" applyFont="1">
      <alignment horizontal="left" vertical="top"/>
    </xf>
    <xf borderId="1" fillId="2" fontId="5" numFmtId="0" xfId="0" applyAlignment="1" applyBorder="1" applyFont="1">
      <alignment horizontal="left" vertical="center"/>
    </xf>
    <xf borderId="0" fillId="4" fontId="12" numFmtId="0" xfId="0" applyAlignment="1" applyFill="1" applyFont="1">
      <alignment horizontal="center" shrinkToFit="0" vertical="center" wrapText="1"/>
    </xf>
    <xf borderId="0" fillId="4" fontId="12" numFmtId="0" xfId="0" applyAlignment="1" applyFont="1">
      <alignment horizontal="center" shrinkToFit="0" textRotation="90" vertical="center" wrapText="1"/>
    </xf>
    <xf borderId="0" fillId="4" fontId="12" numFmtId="49" xfId="0" applyAlignment="1" applyFont="1" applyNumberFormat="1">
      <alignment horizontal="center" shrinkToFit="0" vertical="center" wrapText="1"/>
    </xf>
    <xf borderId="0" fillId="4" fontId="12" numFmtId="9" xfId="0" applyAlignment="1" applyFont="1" applyNumberFormat="1">
      <alignment horizontal="center" shrinkToFit="0" vertical="center" wrapText="1"/>
    </xf>
    <xf borderId="0" fillId="4" fontId="13" numFmtId="0" xfId="0" applyAlignment="1" applyFont="1">
      <alignment horizontal="center" shrinkToFit="0" vertical="center" wrapText="1"/>
    </xf>
    <xf borderId="0" fillId="5" fontId="14" numFmtId="0" xfId="0" applyAlignment="1" applyFill="1" applyFont="1">
      <alignment horizontal="left"/>
    </xf>
    <xf borderId="0" fillId="5" fontId="14" numFmtId="0" xfId="0" applyAlignment="1" applyFont="1">
      <alignment horizontal="center"/>
    </xf>
    <xf borderId="0" fillId="5" fontId="15" numFmtId="2" xfId="0" applyAlignment="1" applyFont="1" applyNumberFormat="1">
      <alignment horizontal="left"/>
    </xf>
    <xf borderId="0" fillId="5" fontId="14" numFmtId="0" xfId="0" applyAlignment="1" applyFont="1">
      <alignment horizontal="center" vertical="center"/>
    </xf>
    <xf borderId="0" fillId="5" fontId="14" numFmtId="9" xfId="0" applyAlignment="1" applyFont="1" applyNumberFormat="1">
      <alignment horizontal="center"/>
    </xf>
    <xf borderId="0" fillId="5" fontId="14" numFmtId="0" xfId="0" applyFont="1"/>
    <xf borderId="0" fillId="5" fontId="16" numFmtId="0" xfId="0" applyAlignment="1" applyFont="1">
      <alignment horizontal="center"/>
    </xf>
    <xf borderId="0" fillId="6" fontId="14" numFmtId="0" xfId="0" applyAlignment="1" applyFill="1" applyFont="1">
      <alignment horizontal="left"/>
    </xf>
    <xf borderId="0" fillId="6" fontId="14" numFmtId="0" xfId="0" applyAlignment="1" applyFont="1">
      <alignment horizontal="center"/>
    </xf>
    <xf borderId="0" fillId="6" fontId="15" numFmtId="2" xfId="0" applyAlignment="1" applyFont="1" applyNumberFormat="1">
      <alignment horizontal="left"/>
    </xf>
    <xf borderId="0" fillId="6" fontId="14" numFmtId="0" xfId="0" applyAlignment="1" applyFont="1">
      <alignment horizontal="center" vertical="center"/>
    </xf>
    <xf borderId="0" fillId="6" fontId="14" numFmtId="9" xfId="0" applyAlignment="1" applyFont="1" applyNumberFormat="1">
      <alignment horizontal="center"/>
    </xf>
    <xf borderId="0" fillId="6" fontId="14" numFmtId="0" xfId="0" applyFont="1"/>
    <xf borderId="0" fillId="6" fontId="17" numFmtId="0" xfId="0" applyAlignment="1" applyFont="1">
      <alignment horizontal="center"/>
    </xf>
    <xf borderId="0" fillId="5" fontId="14" numFmtId="0" xfId="0" applyAlignment="1" applyFont="1">
      <alignment horizontal="center" readingOrder="0" vertical="center"/>
    </xf>
    <xf borderId="0" fillId="6" fontId="14" numFmtId="0" xfId="0" applyAlignment="1" applyFont="1">
      <alignment horizontal="center" readingOrder="0" vertical="center"/>
    </xf>
    <xf borderId="0" fillId="6" fontId="18" numFmtId="0" xfId="0" applyAlignment="1" applyFont="1">
      <alignment horizontal="center"/>
    </xf>
    <xf borderId="0" fillId="6" fontId="19" numFmtId="0" xfId="0" applyFont="1"/>
    <xf borderId="0" fillId="5" fontId="20" numFmtId="0" xfId="0" applyAlignment="1" applyFont="1">
      <alignment horizontal="center"/>
    </xf>
    <xf borderId="0" fillId="5" fontId="21" numFmtId="0" xfId="0" applyFont="1"/>
    <xf borderId="0" fillId="5" fontId="22" numFmtId="0" xfId="0" applyFont="1"/>
    <xf borderId="0" fillId="5" fontId="23" numFmtId="0" xfId="0" applyAlignment="1" applyFont="1">
      <alignment horizontal="center"/>
    </xf>
  </cellXfs>
  <cellStyles count="1">
    <cellStyle xfId="0" name="Normal" builtinId="0"/>
  </cellStyles>
  <dxfs count="5">
    <dxf>
      <font>
        <b/>
        <color rgb="FFFF0000"/>
      </font>
      <fill>
        <patternFill patternType="none"/>
      </fill>
      <border/>
    </dxf>
    <dxf>
      <font>
        <color rgb="FFC00000"/>
      </font>
      <fill>
        <patternFill patternType="none"/>
      </fill>
      <border/>
    </dxf>
    <dxf>
      <font>
        <color rgb="FFA5A5A5"/>
      </font>
      <fill>
        <patternFill patternType="none"/>
      </fill>
      <border/>
    </dxf>
    <dxf>
      <font>
        <i/>
        <color rgb="FFAEABAB"/>
      </font>
      <fill>
        <patternFill patternType="none"/>
      </fill>
      <border/>
    </dxf>
    <dxf>
      <font/>
      <fill>
        <patternFill patternType="solid">
          <fgColor rgb="FFFFE598"/>
          <bgColor rgb="FFFFE59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0"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181225" cy="7239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81225" cy="7239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81225" cy="7239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23" width="9.43"/>
    <col customWidth="1" min="24" max="26" width="8.71"/>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2.75" customHeight="1">
      <c r="A4" s="2"/>
      <c r="B4" s="2"/>
      <c r="C4" s="2"/>
      <c r="D4" s="2"/>
      <c r="E4" s="2"/>
      <c r="F4" s="2"/>
      <c r="G4" s="2"/>
      <c r="H4" s="2"/>
      <c r="I4" s="2"/>
      <c r="J4" s="2"/>
      <c r="K4" s="2"/>
      <c r="L4" s="2"/>
      <c r="M4" s="2"/>
      <c r="N4" s="2"/>
      <c r="O4" s="2"/>
      <c r="P4" s="2"/>
      <c r="Q4" s="2"/>
      <c r="R4" s="2"/>
      <c r="S4" s="2"/>
      <c r="T4" s="2"/>
      <c r="U4" s="2"/>
      <c r="V4" s="2"/>
      <c r="W4" s="2"/>
      <c r="X4" s="2"/>
      <c r="Y4" s="2"/>
      <c r="Z4" s="2"/>
    </row>
    <row r="5" ht="12.75" customHeight="1">
      <c r="A5" s="2"/>
      <c r="B5" s="3"/>
      <c r="C5" s="4" t="s">
        <v>0</v>
      </c>
      <c r="D5" s="5"/>
      <c r="E5" s="5"/>
      <c r="F5" s="5"/>
      <c r="G5" s="5"/>
      <c r="H5" s="5"/>
      <c r="I5" s="5"/>
      <c r="J5" s="5"/>
      <c r="K5" s="5"/>
      <c r="L5" s="5"/>
      <c r="M5" s="5"/>
      <c r="N5" s="5"/>
      <c r="O5" s="5"/>
      <c r="P5" s="5"/>
      <c r="Q5" s="5"/>
      <c r="R5" s="5"/>
      <c r="S5" s="5"/>
      <c r="T5" s="5"/>
      <c r="U5" s="5"/>
      <c r="V5" s="3"/>
      <c r="W5" s="3"/>
      <c r="X5" s="2"/>
      <c r="Y5" s="2"/>
      <c r="Z5" s="2"/>
    </row>
    <row r="6" ht="12.75" customHeight="1">
      <c r="A6" s="2"/>
      <c r="B6" s="3"/>
      <c r="C6" s="6"/>
      <c r="V6" s="3"/>
      <c r="W6" s="3"/>
      <c r="X6" s="2"/>
      <c r="Y6" s="2"/>
      <c r="Z6" s="2"/>
    </row>
    <row r="7" ht="12.75" customHeight="1">
      <c r="A7" s="2"/>
      <c r="B7" s="3"/>
      <c r="C7" s="6"/>
      <c r="V7" s="3"/>
      <c r="W7" s="3"/>
      <c r="X7" s="2"/>
      <c r="Y7" s="2"/>
      <c r="Z7" s="2"/>
    </row>
    <row r="8" ht="12.75" customHeight="1">
      <c r="A8" s="2"/>
      <c r="B8" s="3"/>
      <c r="C8" s="6"/>
      <c r="V8" s="3"/>
      <c r="W8" s="3"/>
      <c r="X8" s="2"/>
      <c r="Y8" s="2"/>
      <c r="Z8" s="2"/>
    </row>
    <row r="9" ht="12.75" customHeight="1">
      <c r="A9" s="2"/>
      <c r="B9" s="3"/>
      <c r="C9" s="6"/>
      <c r="V9" s="3"/>
      <c r="W9" s="3"/>
      <c r="X9" s="2"/>
      <c r="Y9" s="2"/>
      <c r="Z9" s="2"/>
    </row>
    <row r="10" ht="12.75" customHeight="1">
      <c r="A10" s="2"/>
      <c r="B10" s="3"/>
      <c r="C10" s="6"/>
      <c r="V10" s="3"/>
      <c r="W10" s="3"/>
      <c r="X10" s="2"/>
      <c r="Y10" s="2"/>
      <c r="Z10" s="2"/>
    </row>
    <row r="11" ht="12.75" customHeight="1">
      <c r="A11" s="2"/>
      <c r="B11" s="3"/>
      <c r="C11" s="6"/>
      <c r="V11" s="3"/>
      <c r="W11" s="3"/>
      <c r="X11" s="2"/>
      <c r="Y11" s="2"/>
      <c r="Z11" s="2"/>
    </row>
    <row r="12" ht="12.75" customHeight="1">
      <c r="A12" s="2"/>
      <c r="B12" s="3"/>
      <c r="C12" s="6"/>
      <c r="V12" s="3"/>
      <c r="W12" s="3"/>
      <c r="X12" s="2"/>
      <c r="Y12" s="2"/>
      <c r="Z12" s="2"/>
    </row>
    <row r="13" ht="12.75" customHeight="1">
      <c r="A13" s="2"/>
      <c r="B13" s="3"/>
      <c r="C13" s="6"/>
      <c r="V13" s="3"/>
      <c r="W13" s="3"/>
      <c r="X13" s="2"/>
      <c r="Y13" s="2"/>
      <c r="Z13" s="2"/>
    </row>
    <row r="14" ht="12.75" customHeight="1">
      <c r="A14" s="2"/>
      <c r="B14" s="3"/>
      <c r="C14" s="6"/>
      <c r="V14" s="3"/>
      <c r="W14" s="3"/>
      <c r="X14" s="2"/>
      <c r="Y14" s="2"/>
      <c r="Z14" s="2"/>
    </row>
    <row r="15" ht="12.75" customHeight="1">
      <c r="A15" s="2"/>
      <c r="B15" s="3"/>
      <c r="C15" s="6"/>
      <c r="V15" s="3"/>
      <c r="W15" s="3"/>
      <c r="X15" s="2"/>
      <c r="Y15" s="2"/>
      <c r="Z15" s="2"/>
    </row>
    <row r="16" ht="12.75" customHeight="1">
      <c r="A16" s="2"/>
      <c r="B16" s="3"/>
      <c r="C16" s="6"/>
      <c r="V16" s="3"/>
      <c r="W16" s="3"/>
      <c r="X16" s="2"/>
      <c r="Y16" s="2"/>
      <c r="Z16" s="2"/>
    </row>
    <row r="17" ht="12.75" customHeight="1">
      <c r="A17" s="2"/>
      <c r="B17" s="3"/>
      <c r="C17" s="6"/>
      <c r="V17" s="3"/>
      <c r="W17" s="3"/>
      <c r="X17" s="2"/>
      <c r="Y17" s="2"/>
      <c r="Z17" s="2"/>
    </row>
    <row r="18" ht="12.75" customHeight="1">
      <c r="A18" s="2"/>
      <c r="B18" s="3"/>
      <c r="C18" s="6"/>
      <c r="V18" s="3"/>
      <c r="W18" s="3"/>
      <c r="X18" s="2"/>
      <c r="Y18" s="2"/>
      <c r="Z18" s="2"/>
    </row>
    <row r="19" ht="12.75" customHeight="1">
      <c r="A19" s="2"/>
      <c r="B19" s="3"/>
      <c r="C19" s="6"/>
      <c r="V19" s="3"/>
      <c r="W19" s="3"/>
      <c r="X19" s="2"/>
      <c r="Y19" s="2"/>
      <c r="Z19" s="2"/>
    </row>
    <row r="20" ht="12.75" customHeight="1">
      <c r="A20" s="2"/>
      <c r="B20" s="3"/>
      <c r="C20" s="6"/>
      <c r="V20" s="3"/>
      <c r="W20" s="3"/>
      <c r="X20" s="2"/>
      <c r="Y20" s="2"/>
      <c r="Z20" s="2"/>
    </row>
    <row r="21" ht="12.75" customHeight="1">
      <c r="A21" s="2"/>
      <c r="B21" s="3"/>
      <c r="C21" s="6"/>
      <c r="V21" s="3"/>
      <c r="W21" s="3"/>
      <c r="X21" s="2"/>
      <c r="Y21" s="2"/>
      <c r="Z21" s="2"/>
    </row>
    <row r="22" ht="12.75" customHeight="1">
      <c r="A22" s="2"/>
      <c r="B22" s="3"/>
      <c r="C22" s="6"/>
      <c r="V22" s="3"/>
      <c r="W22" s="3"/>
      <c r="X22" s="2"/>
      <c r="Y22" s="2"/>
      <c r="Z22" s="2"/>
    </row>
    <row r="23" ht="12.75" customHeight="1">
      <c r="A23" s="1"/>
      <c r="B23" s="3"/>
      <c r="C23" s="6"/>
      <c r="V23" s="3"/>
      <c r="W23" s="3"/>
      <c r="X23" s="1"/>
      <c r="Y23" s="1"/>
      <c r="Z23" s="1"/>
    </row>
    <row r="24" ht="12.75" customHeight="1">
      <c r="A24" s="1"/>
      <c r="B24" s="3"/>
      <c r="C24" s="6"/>
      <c r="V24" s="3"/>
      <c r="W24" s="3"/>
      <c r="X24" s="1"/>
      <c r="Y24" s="1"/>
      <c r="Z24" s="1"/>
    </row>
    <row r="25" ht="12.75" customHeight="1">
      <c r="A25" s="1"/>
      <c r="B25" s="3"/>
      <c r="C25" s="6"/>
      <c r="V25" s="3"/>
      <c r="W25" s="3"/>
      <c r="X25" s="1"/>
      <c r="Y25" s="1"/>
      <c r="Z25" s="1"/>
    </row>
    <row r="26" ht="12.75" customHeight="1">
      <c r="A26" s="1"/>
      <c r="B26" s="3"/>
      <c r="C26" s="6"/>
      <c r="V26" s="3"/>
      <c r="W26" s="3"/>
      <c r="X26" s="1"/>
      <c r="Y26" s="1"/>
      <c r="Z26" s="1"/>
    </row>
    <row r="27" ht="12.75" customHeight="1">
      <c r="A27" s="1"/>
      <c r="B27" s="3"/>
      <c r="C27" s="6"/>
      <c r="V27" s="3"/>
      <c r="W27" s="3"/>
      <c r="X27" s="1"/>
      <c r="Y27" s="1"/>
      <c r="Z27" s="1"/>
    </row>
    <row r="28" ht="12.75" customHeight="1">
      <c r="A28" s="1"/>
      <c r="B28" s="3"/>
      <c r="C28" s="6"/>
      <c r="V28" s="3"/>
      <c r="W28" s="3"/>
      <c r="X28" s="1"/>
      <c r="Y28" s="1"/>
      <c r="Z28" s="1"/>
    </row>
    <row r="29" ht="12.75" customHeight="1">
      <c r="A29" s="1"/>
      <c r="B29" s="3"/>
      <c r="C29" s="3"/>
      <c r="D29" s="3"/>
      <c r="E29" s="3"/>
      <c r="F29" s="3"/>
      <c r="G29" s="3"/>
      <c r="H29" s="3"/>
      <c r="I29" s="3"/>
      <c r="J29" s="3"/>
      <c r="K29" s="3"/>
      <c r="L29" s="3"/>
      <c r="M29" s="3"/>
      <c r="N29" s="3"/>
      <c r="O29" s="3"/>
      <c r="P29" s="3"/>
      <c r="Q29" s="3"/>
      <c r="R29" s="3"/>
      <c r="S29" s="3"/>
      <c r="T29" s="3"/>
      <c r="U29" s="3"/>
      <c r="V29" s="3"/>
      <c r="W29" s="3"/>
      <c r="X29" s="1"/>
      <c r="Y29" s="1"/>
      <c r="Z29" s="1"/>
    </row>
    <row r="30" ht="12.75" customHeight="1">
      <c r="A30" s="1"/>
      <c r="B30" s="3"/>
      <c r="C30" s="3"/>
      <c r="D30" s="3"/>
      <c r="E30" s="3"/>
      <c r="F30" s="3"/>
      <c r="G30" s="3"/>
      <c r="H30" s="3"/>
      <c r="I30" s="3"/>
      <c r="J30" s="3"/>
      <c r="K30" s="3"/>
      <c r="L30" s="3"/>
      <c r="M30" s="3"/>
      <c r="N30" s="3"/>
      <c r="O30" s="3"/>
      <c r="P30" s="3"/>
      <c r="Q30" s="3"/>
      <c r="R30" s="3"/>
      <c r="S30" s="3"/>
      <c r="T30" s="3"/>
      <c r="U30" s="3"/>
      <c r="V30" s="3"/>
      <c r="W30" s="3"/>
      <c r="X30" s="1"/>
      <c r="Y30" s="1"/>
      <c r="Z30" s="1"/>
    </row>
    <row r="31" ht="12.75" customHeight="1">
      <c r="A31" s="1"/>
      <c r="B31" s="3"/>
      <c r="C31" s="3"/>
      <c r="D31" s="3"/>
      <c r="E31" s="3"/>
      <c r="F31" s="3"/>
      <c r="G31" s="3"/>
      <c r="H31" s="3"/>
      <c r="I31" s="3"/>
      <c r="J31" s="3"/>
      <c r="K31" s="3"/>
      <c r="L31" s="3"/>
      <c r="M31" s="3"/>
      <c r="N31" s="3"/>
      <c r="O31" s="3"/>
      <c r="P31" s="3"/>
      <c r="Q31" s="3"/>
      <c r="R31" s="3"/>
      <c r="S31" s="3"/>
      <c r="T31" s="3"/>
      <c r="U31" s="3"/>
      <c r="V31" s="3"/>
      <c r="W31" s="3"/>
      <c r="X31" s="1"/>
      <c r="Y31" s="1"/>
      <c r="Z31" s="1"/>
    </row>
    <row r="32" ht="12.75" customHeight="1">
      <c r="A32" s="1"/>
      <c r="B32" s="3"/>
      <c r="C32" s="3"/>
      <c r="D32" s="3"/>
      <c r="E32" s="3"/>
      <c r="F32" s="3"/>
      <c r="G32" s="3"/>
      <c r="H32" s="3"/>
      <c r="I32" s="3"/>
      <c r="J32" s="3"/>
      <c r="K32" s="3"/>
      <c r="L32" s="3"/>
      <c r="M32" s="3"/>
      <c r="N32" s="3"/>
      <c r="O32" s="3"/>
      <c r="P32" s="3"/>
      <c r="Q32" s="3"/>
      <c r="R32" s="3"/>
      <c r="S32" s="3"/>
      <c r="T32" s="3"/>
      <c r="U32" s="3"/>
      <c r="V32" s="3"/>
      <c r="W32" s="3"/>
      <c r="X32" s="1"/>
      <c r="Y32" s="1"/>
      <c r="Z32" s="1"/>
    </row>
    <row r="33" ht="12.75" customHeight="1">
      <c r="A33" s="1"/>
      <c r="B33" s="3"/>
      <c r="C33" s="3"/>
      <c r="D33" s="3"/>
      <c r="E33" s="3"/>
      <c r="F33" s="3"/>
      <c r="G33" s="3"/>
      <c r="H33" s="3"/>
      <c r="I33" s="3"/>
      <c r="J33" s="3"/>
      <c r="K33" s="3"/>
      <c r="L33" s="3"/>
      <c r="M33" s="3"/>
      <c r="N33" s="3"/>
      <c r="O33" s="3"/>
      <c r="P33" s="3"/>
      <c r="Q33" s="3"/>
      <c r="R33" s="3"/>
      <c r="S33" s="3"/>
      <c r="T33" s="3"/>
      <c r="U33" s="3"/>
      <c r="V33" s="3"/>
      <c r="W33" s="3"/>
      <c r="X33" s="1"/>
      <c r="Y33" s="1"/>
      <c r="Z33" s="1"/>
    </row>
    <row r="34" ht="12.75" customHeight="1">
      <c r="A34" s="1"/>
      <c r="B34" s="3"/>
      <c r="C34" s="3"/>
      <c r="D34" s="3"/>
      <c r="E34" s="3"/>
      <c r="F34" s="3"/>
      <c r="G34" s="3"/>
      <c r="H34" s="3"/>
      <c r="I34" s="3"/>
      <c r="J34" s="3"/>
      <c r="K34" s="3"/>
      <c r="L34" s="3"/>
      <c r="M34" s="3"/>
      <c r="N34" s="3"/>
      <c r="O34" s="3"/>
      <c r="P34" s="3"/>
      <c r="Q34" s="3"/>
      <c r="R34" s="3"/>
      <c r="S34" s="3"/>
      <c r="T34" s="3"/>
      <c r="U34" s="3"/>
      <c r="V34" s="3"/>
      <c r="W34" s="3"/>
      <c r="X34" s="1"/>
      <c r="Y34" s="1"/>
      <c r="Z34" s="1"/>
    </row>
    <row r="35" ht="12.75" customHeight="1">
      <c r="A35" s="1"/>
      <c r="B35" s="3"/>
      <c r="C35" s="3"/>
      <c r="D35" s="3"/>
      <c r="E35" s="3"/>
      <c r="F35" s="3"/>
      <c r="G35" s="3"/>
      <c r="H35" s="3"/>
      <c r="I35" s="3"/>
      <c r="J35" s="3"/>
      <c r="K35" s="3"/>
      <c r="L35" s="3"/>
      <c r="M35" s="3"/>
      <c r="N35" s="3"/>
      <c r="O35" s="3"/>
      <c r="P35" s="3"/>
      <c r="Q35" s="3"/>
      <c r="R35" s="3"/>
      <c r="S35" s="3"/>
      <c r="T35" s="3"/>
      <c r="U35" s="3"/>
      <c r="V35" s="3"/>
      <c r="W35" s="3"/>
      <c r="X35" s="1"/>
      <c r="Y35" s="1"/>
      <c r="Z35" s="1"/>
    </row>
    <row r="36" ht="12.75" customHeight="1">
      <c r="A36" s="1"/>
      <c r="B36" s="3"/>
      <c r="C36" s="3"/>
      <c r="D36" s="3"/>
      <c r="E36" s="3"/>
      <c r="F36" s="3"/>
      <c r="G36" s="3"/>
      <c r="H36" s="3"/>
      <c r="I36" s="3"/>
      <c r="J36" s="3"/>
      <c r="K36" s="3"/>
      <c r="L36" s="3"/>
      <c r="M36" s="3"/>
      <c r="N36" s="3"/>
      <c r="O36" s="3"/>
      <c r="P36" s="3"/>
      <c r="Q36" s="3"/>
      <c r="R36" s="3"/>
      <c r="S36" s="3"/>
      <c r="T36" s="3"/>
      <c r="U36" s="3"/>
      <c r="V36" s="3"/>
      <c r="W36" s="3"/>
      <c r="X36" s="1"/>
      <c r="Y36" s="1"/>
      <c r="Z36" s="1"/>
    </row>
    <row r="37" ht="12.75" customHeight="1">
      <c r="A37" s="1"/>
      <c r="B37" s="3"/>
      <c r="C37" s="3"/>
      <c r="D37" s="3"/>
      <c r="E37" s="3"/>
      <c r="F37" s="3"/>
      <c r="G37" s="3"/>
      <c r="H37" s="3"/>
      <c r="I37" s="3"/>
      <c r="J37" s="3"/>
      <c r="K37" s="3"/>
      <c r="L37" s="3"/>
      <c r="M37" s="3"/>
      <c r="N37" s="3"/>
      <c r="O37" s="3"/>
      <c r="P37" s="3"/>
      <c r="Q37" s="3"/>
      <c r="R37" s="3"/>
      <c r="S37" s="3"/>
      <c r="T37" s="3"/>
      <c r="U37" s="3"/>
      <c r="V37" s="3"/>
      <c r="W37" s="3"/>
      <c r="X37" s="1"/>
      <c r="Y37" s="1"/>
      <c r="Z37" s="1"/>
    </row>
    <row r="38" ht="12.75" customHeight="1">
      <c r="A38" s="1"/>
      <c r="B38" s="3"/>
      <c r="C38" s="3"/>
      <c r="D38" s="3"/>
      <c r="E38" s="3"/>
      <c r="F38" s="3"/>
      <c r="G38" s="3"/>
      <c r="H38" s="3"/>
      <c r="I38" s="3"/>
      <c r="J38" s="3"/>
      <c r="K38" s="3"/>
      <c r="L38" s="3"/>
      <c r="M38" s="3"/>
      <c r="N38" s="3"/>
      <c r="O38" s="3"/>
      <c r="P38" s="3"/>
      <c r="Q38" s="3"/>
      <c r="R38" s="3"/>
      <c r="S38" s="3"/>
      <c r="T38" s="3"/>
      <c r="U38" s="3"/>
      <c r="V38" s="3"/>
      <c r="W38" s="3"/>
      <c r="X38" s="1"/>
      <c r="Y38" s="1"/>
      <c r="Z38" s="1"/>
    </row>
    <row r="39" ht="12.75" customHeight="1">
      <c r="A39" s="1"/>
      <c r="B39" s="3"/>
      <c r="C39" s="3"/>
      <c r="D39" s="3"/>
      <c r="E39" s="3"/>
      <c r="F39" s="3"/>
      <c r="G39" s="3"/>
      <c r="H39" s="3"/>
      <c r="I39" s="3"/>
      <c r="J39" s="3"/>
      <c r="K39" s="3"/>
      <c r="L39" s="3"/>
      <c r="M39" s="3"/>
      <c r="N39" s="3"/>
      <c r="O39" s="3"/>
      <c r="P39" s="3"/>
      <c r="Q39" s="3"/>
      <c r="R39" s="3"/>
      <c r="S39" s="3"/>
      <c r="T39" s="3"/>
      <c r="U39" s="3"/>
      <c r="V39" s="3"/>
      <c r="W39" s="3"/>
      <c r="X39" s="1"/>
      <c r="Y39" s="1"/>
      <c r="Z39" s="1"/>
    </row>
    <row r="40" ht="12.75" customHeight="1">
      <c r="A40" s="1"/>
      <c r="B40" s="3"/>
      <c r="C40" s="3"/>
      <c r="D40" s="3"/>
      <c r="E40" s="3"/>
      <c r="F40" s="3"/>
      <c r="G40" s="3"/>
      <c r="H40" s="3"/>
      <c r="I40" s="3"/>
      <c r="J40" s="3"/>
      <c r="K40" s="3"/>
      <c r="L40" s="3"/>
      <c r="M40" s="3"/>
      <c r="N40" s="3"/>
      <c r="O40" s="3"/>
      <c r="P40" s="3"/>
      <c r="Q40" s="3"/>
      <c r="R40" s="3"/>
      <c r="S40" s="3"/>
      <c r="T40" s="3"/>
      <c r="U40" s="3"/>
      <c r="V40" s="3"/>
      <c r="W40" s="3"/>
      <c r="X40" s="1"/>
      <c r="Y40" s="1"/>
      <c r="Z40" s="1"/>
    </row>
    <row r="41" ht="12.75" customHeight="1">
      <c r="A41" s="1"/>
      <c r="B41" s="3"/>
      <c r="C41" s="3"/>
      <c r="D41" s="3"/>
      <c r="E41" s="3"/>
      <c r="F41" s="3"/>
      <c r="G41" s="3"/>
      <c r="H41" s="3"/>
      <c r="I41" s="3"/>
      <c r="J41" s="3"/>
      <c r="K41" s="3"/>
      <c r="L41" s="3"/>
      <c r="M41" s="3"/>
      <c r="N41" s="3"/>
      <c r="O41" s="3"/>
      <c r="P41" s="3"/>
      <c r="Q41" s="3"/>
      <c r="R41" s="3"/>
      <c r="S41" s="3"/>
      <c r="T41" s="3"/>
      <c r="U41" s="3"/>
      <c r="V41" s="3"/>
      <c r="W41" s="3"/>
      <c r="X41" s="1"/>
      <c r="Y41" s="1"/>
      <c r="Z41" s="1"/>
    </row>
    <row r="42" ht="12.75" customHeight="1">
      <c r="A42" s="1"/>
      <c r="B42" s="3"/>
      <c r="C42" s="3"/>
      <c r="D42" s="3"/>
      <c r="E42" s="3"/>
      <c r="F42" s="3"/>
      <c r="G42" s="3"/>
      <c r="H42" s="3"/>
      <c r="I42" s="3"/>
      <c r="J42" s="3"/>
      <c r="K42" s="3"/>
      <c r="L42" s="3"/>
      <c r="M42" s="3"/>
      <c r="N42" s="3"/>
      <c r="O42" s="3"/>
      <c r="P42" s="3"/>
      <c r="Q42" s="3"/>
      <c r="R42" s="3"/>
      <c r="S42" s="3"/>
      <c r="T42" s="3"/>
      <c r="U42" s="3"/>
      <c r="V42" s="3"/>
      <c r="W42" s="3"/>
      <c r="X42" s="1"/>
      <c r="Y42" s="1"/>
      <c r="Z42" s="1"/>
    </row>
    <row r="43" ht="12.75" customHeight="1">
      <c r="A43" s="1"/>
      <c r="B43" s="3"/>
      <c r="C43" s="3"/>
      <c r="D43" s="3"/>
      <c r="E43" s="3"/>
      <c r="F43" s="3"/>
      <c r="G43" s="3"/>
      <c r="H43" s="3"/>
      <c r="I43" s="3"/>
      <c r="J43" s="3"/>
      <c r="K43" s="3"/>
      <c r="L43" s="3"/>
      <c r="M43" s="3"/>
      <c r="N43" s="3"/>
      <c r="O43" s="3"/>
      <c r="P43" s="3"/>
      <c r="Q43" s="3"/>
      <c r="R43" s="3"/>
      <c r="S43" s="3"/>
      <c r="T43" s="3"/>
      <c r="U43" s="3"/>
      <c r="V43" s="3"/>
      <c r="W43" s="3"/>
      <c r="X43" s="1"/>
      <c r="Y43" s="1"/>
      <c r="Z43" s="1"/>
    </row>
    <row r="44" ht="12.75" customHeight="1">
      <c r="A44" s="1"/>
      <c r="B44" s="3"/>
      <c r="C44" s="3"/>
      <c r="D44" s="3"/>
      <c r="E44" s="3"/>
      <c r="F44" s="3"/>
      <c r="G44" s="3"/>
      <c r="H44" s="3"/>
      <c r="I44" s="3"/>
      <c r="J44" s="3"/>
      <c r="K44" s="3"/>
      <c r="L44" s="3"/>
      <c r="M44" s="3"/>
      <c r="N44" s="3"/>
      <c r="O44" s="3"/>
      <c r="P44" s="3"/>
      <c r="Q44" s="3"/>
      <c r="R44" s="3"/>
      <c r="S44" s="3"/>
      <c r="T44" s="3"/>
      <c r="U44" s="3"/>
      <c r="V44" s="3"/>
      <c r="W44" s="3"/>
      <c r="X44" s="1"/>
      <c r="Y44" s="1"/>
      <c r="Z44" s="1"/>
    </row>
    <row r="45" ht="12.75" customHeight="1">
      <c r="A45" s="1"/>
      <c r="B45" s="3"/>
      <c r="C45" s="3"/>
      <c r="D45" s="3"/>
      <c r="E45" s="3"/>
      <c r="F45" s="3"/>
      <c r="G45" s="3"/>
      <c r="H45" s="3"/>
      <c r="I45" s="3"/>
      <c r="J45" s="3"/>
      <c r="K45" s="3"/>
      <c r="L45" s="3"/>
      <c r="M45" s="3"/>
      <c r="N45" s="3"/>
      <c r="O45" s="3"/>
      <c r="P45" s="3"/>
      <c r="Q45" s="3"/>
      <c r="R45" s="3"/>
      <c r="S45" s="3"/>
      <c r="T45" s="3"/>
      <c r="U45" s="3"/>
      <c r="V45" s="3"/>
      <c r="W45" s="3"/>
      <c r="X45" s="1"/>
      <c r="Y45" s="1"/>
      <c r="Z45" s="1"/>
    </row>
    <row r="46" ht="12.75" customHeight="1">
      <c r="A46" s="1"/>
      <c r="B46" s="3"/>
      <c r="C46" s="3"/>
      <c r="D46" s="3"/>
      <c r="E46" s="3"/>
      <c r="F46" s="3"/>
      <c r="G46" s="3"/>
      <c r="H46" s="3"/>
      <c r="I46" s="3"/>
      <c r="J46" s="3"/>
      <c r="K46" s="3"/>
      <c r="L46" s="3"/>
      <c r="M46" s="3"/>
      <c r="N46" s="3"/>
      <c r="O46" s="3"/>
      <c r="P46" s="3"/>
      <c r="Q46" s="3"/>
      <c r="R46" s="3"/>
      <c r="S46" s="3"/>
      <c r="T46" s="3"/>
      <c r="U46" s="3"/>
      <c r="V46" s="3"/>
      <c r="W46" s="3"/>
      <c r="X46" s="1"/>
      <c r="Y46" s="1"/>
      <c r="Z46" s="1"/>
    </row>
    <row r="47" ht="12.75" customHeight="1">
      <c r="A47" s="1"/>
      <c r="B47" s="3"/>
      <c r="C47" s="3"/>
      <c r="D47" s="3"/>
      <c r="E47" s="3"/>
      <c r="F47" s="3"/>
      <c r="G47" s="3"/>
      <c r="H47" s="3"/>
      <c r="I47" s="3"/>
      <c r="J47" s="3"/>
      <c r="K47" s="3"/>
      <c r="L47" s="3"/>
      <c r="M47" s="3"/>
      <c r="N47" s="3"/>
      <c r="O47" s="3"/>
      <c r="P47" s="3"/>
      <c r="Q47" s="3"/>
      <c r="R47" s="3"/>
      <c r="S47" s="3"/>
      <c r="T47" s="3"/>
      <c r="U47" s="3"/>
      <c r="V47" s="3"/>
      <c r="W47" s="3"/>
      <c r="X47" s="1"/>
      <c r="Y47" s="1"/>
      <c r="Z47" s="1"/>
    </row>
    <row r="48" ht="12.75" customHeight="1">
      <c r="A48" s="1"/>
      <c r="B48" s="3"/>
      <c r="C48" s="3"/>
      <c r="D48" s="3"/>
      <c r="E48" s="3"/>
      <c r="F48" s="3"/>
      <c r="G48" s="3"/>
      <c r="H48" s="3"/>
      <c r="I48" s="3"/>
      <c r="J48" s="3"/>
      <c r="K48" s="3"/>
      <c r="L48" s="3"/>
      <c r="M48" s="3"/>
      <c r="N48" s="3"/>
      <c r="O48" s="3"/>
      <c r="P48" s="3"/>
      <c r="Q48" s="3"/>
      <c r="R48" s="3"/>
      <c r="S48" s="3"/>
      <c r="T48" s="3"/>
      <c r="U48" s="3"/>
      <c r="V48" s="3"/>
      <c r="W48" s="3"/>
      <c r="X48" s="1"/>
      <c r="Y48" s="1"/>
      <c r="Z48" s="1"/>
    </row>
    <row r="49" ht="12.75" customHeight="1">
      <c r="A49" s="1"/>
      <c r="B49" s="3"/>
      <c r="C49" s="3"/>
      <c r="D49" s="3"/>
      <c r="E49" s="3"/>
      <c r="F49" s="3"/>
      <c r="G49" s="3"/>
      <c r="H49" s="3"/>
      <c r="I49" s="3"/>
      <c r="J49" s="3"/>
      <c r="K49" s="3"/>
      <c r="L49" s="3"/>
      <c r="M49" s="3"/>
      <c r="N49" s="3"/>
      <c r="O49" s="3"/>
      <c r="P49" s="3"/>
      <c r="Q49" s="3"/>
      <c r="R49" s="3"/>
      <c r="S49" s="3"/>
      <c r="T49" s="3"/>
      <c r="U49" s="3"/>
      <c r="V49" s="3"/>
      <c r="W49" s="3"/>
      <c r="X49" s="1"/>
      <c r="Y49" s="1"/>
      <c r="Z49" s="1"/>
    </row>
    <row r="50" ht="12.75" customHeight="1">
      <c r="A50" s="1"/>
      <c r="B50" s="3"/>
      <c r="C50" s="3"/>
      <c r="D50" s="3"/>
      <c r="E50" s="3"/>
      <c r="F50" s="3"/>
      <c r="G50" s="3"/>
      <c r="H50" s="3"/>
      <c r="I50" s="3"/>
      <c r="J50" s="3"/>
      <c r="K50" s="3"/>
      <c r="L50" s="3"/>
      <c r="M50" s="3"/>
      <c r="N50" s="3"/>
      <c r="O50" s="3"/>
      <c r="P50" s="3"/>
      <c r="Q50" s="3"/>
      <c r="R50" s="3"/>
      <c r="S50" s="3"/>
      <c r="T50" s="3"/>
      <c r="U50" s="3"/>
      <c r="V50" s="3"/>
      <c r="W50" s="3"/>
      <c r="X50" s="1"/>
      <c r="Y50" s="1"/>
      <c r="Z50" s="1"/>
    </row>
    <row r="51" ht="12.75" customHeight="1">
      <c r="A51" s="1"/>
      <c r="B51" s="3"/>
      <c r="C51" s="3"/>
      <c r="D51" s="3"/>
      <c r="E51" s="3"/>
      <c r="F51" s="3"/>
      <c r="G51" s="3"/>
      <c r="H51" s="3"/>
      <c r="I51" s="3"/>
      <c r="J51" s="3"/>
      <c r="K51" s="3"/>
      <c r="L51" s="3"/>
      <c r="M51" s="3"/>
      <c r="N51" s="3"/>
      <c r="O51" s="3"/>
      <c r="P51" s="3"/>
      <c r="Q51" s="3"/>
      <c r="R51" s="3"/>
      <c r="S51" s="3"/>
      <c r="T51" s="3"/>
      <c r="U51" s="3"/>
      <c r="V51" s="3"/>
      <c r="W51" s="3"/>
      <c r="X51" s="1"/>
      <c r="Y51" s="1"/>
      <c r="Z51" s="1"/>
    </row>
    <row r="52" ht="12.75" customHeight="1">
      <c r="A52" s="1"/>
      <c r="B52" s="3"/>
      <c r="C52" s="3"/>
      <c r="D52" s="3"/>
      <c r="E52" s="3"/>
      <c r="F52" s="3"/>
      <c r="G52" s="3"/>
      <c r="H52" s="3"/>
      <c r="I52" s="3"/>
      <c r="J52" s="3"/>
      <c r="K52" s="3"/>
      <c r="L52" s="3"/>
      <c r="M52" s="3"/>
      <c r="N52" s="3"/>
      <c r="O52" s="3"/>
      <c r="P52" s="3"/>
      <c r="Q52" s="3"/>
      <c r="R52" s="3"/>
      <c r="S52" s="3"/>
      <c r="T52" s="3"/>
      <c r="U52" s="3"/>
      <c r="V52" s="3"/>
      <c r="W52" s="3"/>
      <c r="X52" s="1"/>
      <c r="Y52" s="1"/>
      <c r="Z52" s="1"/>
    </row>
    <row r="53" ht="12.75" customHeight="1">
      <c r="A53" s="1"/>
      <c r="B53" s="3"/>
      <c r="C53" s="3"/>
      <c r="D53" s="3"/>
      <c r="E53" s="3"/>
      <c r="F53" s="3"/>
      <c r="G53" s="3"/>
      <c r="H53" s="3"/>
      <c r="I53" s="3"/>
      <c r="J53" s="3"/>
      <c r="K53" s="3"/>
      <c r="L53" s="3"/>
      <c r="M53" s="3"/>
      <c r="N53" s="3"/>
      <c r="O53" s="3"/>
      <c r="P53" s="3"/>
      <c r="Q53" s="3"/>
      <c r="R53" s="3"/>
      <c r="S53" s="3"/>
      <c r="T53" s="3"/>
      <c r="U53" s="3"/>
      <c r="V53" s="3"/>
      <c r="W53" s="3"/>
      <c r="X53" s="1"/>
      <c r="Y53" s="1"/>
      <c r="Z53" s="1"/>
    </row>
    <row r="54" ht="12.75" customHeight="1">
      <c r="A54" s="1"/>
      <c r="B54" s="3"/>
      <c r="C54" s="3"/>
      <c r="D54" s="3"/>
      <c r="E54" s="3"/>
      <c r="F54" s="3"/>
      <c r="G54" s="3"/>
      <c r="H54" s="3"/>
      <c r="I54" s="3"/>
      <c r="J54" s="3"/>
      <c r="K54" s="3"/>
      <c r="L54" s="3"/>
      <c r="M54" s="3"/>
      <c r="N54" s="3"/>
      <c r="O54" s="3"/>
      <c r="P54" s="3"/>
      <c r="Q54" s="3"/>
      <c r="R54" s="3"/>
      <c r="S54" s="3"/>
      <c r="T54" s="3"/>
      <c r="U54" s="3"/>
      <c r="V54" s="3"/>
      <c r="W54" s="3"/>
      <c r="X54" s="1"/>
      <c r="Y54" s="1"/>
      <c r="Z54" s="1"/>
    </row>
    <row r="55" ht="12.75" customHeight="1">
      <c r="A55" s="1"/>
      <c r="B55" s="3"/>
      <c r="C55" s="3"/>
      <c r="D55" s="3"/>
      <c r="E55" s="3"/>
      <c r="F55" s="3"/>
      <c r="G55" s="3"/>
      <c r="H55" s="3"/>
      <c r="I55" s="3"/>
      <c r="J55" s="3"/>
      <c r="K55" s="3"/>
      <c r="L55" s="3"/>
      <c r="M55" s="3"/>
      <c r="N55" s="3"/>
      <c r="O55" s="3"/>
      <c r="P55" s="3"/>
      <c r="Q55" s="3"/>
      <c r="R55" s="3"/>
      <c r="S55" s="3"/>
      <c r="T55" s="3"/>
      <c r="U55" s="3"/>
      <c r="V55" s="3"/>
      <c r="W55" s="3"/>
      <c r="X55" s="1"/>
      <c r="Y55" s="1"/>
      <c r="Z55" s="1"/>
    </row>
    <row r="56" ht="12.75" customHeight="1">
      <c r="A56" s="1"/>
      <c r="B56" s="3"/>
      <c r="C56" s="3"/>
      <c r="D56" s="3"/>
      <c r="E56" s="3"/>
      <c r="F56" s="3"/>
      <c r="G56" s="3"/>
      <c r="H56" s="3"/>
      <c r="I56" s="3"/>
      <c r="J56" s="3"/>
      <c r="K56" s="3"/>
      <c r="L56" s="3"/>
      <c r="M56" s="3"/>
      <c r="N56" s="3"/>
      <c r="O56" s="3"/>
      <c r="P56" s="3"/>
      <c r="Q56" s="3"/>
      <c r="R56" s="3"/>
      <c r="S56" s="3"/>
      <c r="T56" s="3"/>
      <c r="U56" s="3"/>
      <c r="V56" s="3"/>
      <c r="W56" s="3"/>
      <c r="X56" s="1"/>
      <c r="Y56" s="1"/>
      <c r="Z56" s="1"/>
    </row>
    <row r="57" ht="12.75" customHeight="1">
      <c r="A57" s="1"/>
      <c r="B57" s="3"/>
      <c r="C57" s="3"/>
      <c r="D57" s="3"/>
      <c r="E57" s="3"/>
      <c r="F57" s="3"/>
      <c r="G57" s="3"/>
      <c r="H57" s="3"/>
      <c r="I57" s="3"/>
      <c r="J57" s="3"/>
      <c r="K57" s="3"/>
      <c r="L57" s="3"/>
      <c r="M57" s="3"/>
      <c r="N57" s="3"/>
      <c r="O57" s="3"/>
      <c r="P57" s="3"/>
      <c r="Q57" s="3"/>
      <c r="R57" s="3"/>
      <c r="S57" s="3"/>
      <c r="T57" s="3"/>
      <c r="U57" s="3"/>
      <c r="V57" s="3"/>
      <c r="W57" s="3"/>
      <c r="X57" s="1"/>
      <c r="Y57" s="1"/>
      <c r="Z57" s="1"/>
    </row>
    <row r="58" ht="12.75" customHeight="1">
      <c r="A58" s="1"/>
      <c r="B58" s="3"/>
      <c r="C58" s="3"/>
      <c r="D58" s="3"/>
      <c r="E58" s="3"/>
      <c r="F58" s="3"/>
      <c r="G58" s="3"/>
      <c r="H58" s="3"/>
      <c r="I58" s="3"/>
      <c r="J58" s="3"/>
      <c r="K58" s="3"/>
      <c r="L58" s="3"/>
      <c r="M58" s="3"/>
      <c r="N58" s="3"/>
      <c r="O58" s="3"/>
      <c r="P58" s="3"/>
      <c r="Q58" s="3"/>
      <c r="R58" s="3"/>
      <c r="S58" s="3"/>
      <c r="T58" s="3"/>
      <c r="U58" s="3"/>
      <c r="V58" s="3"/>
      <c r="W58" s="3"/>
      <c r="X58" s="1"/>
      <c r="Y58" s="1"/>
      <c r="Z58" s="1"/>
    </row>
    <row r="59" ht="12.75" customHeight="1">
      <c r="A59" s="1"/>
      <c r="B59" s="3"/>
      <c r="C59" s="3"/>
      <c r="D59" s="3"/>
      <c r="E59" s="3"/>
      <c r="F59" s="3"/>
      <c r="G59" s="3"/>
      <c r="H59" s="3"/>
      <c r="I59" s="3"/>
      <c r="J59" s="3"/>
      <c r="K59" s="3"/>
      <c r="L59" s="3"/>
      <c r="M59" s="3"/>
      <c r="N59" s="3"/>
      <c r="O59" s="3"/>
      <c r="P59" s="3"/>
      <c r="Q59" s="3"/>
      <c r="R59" s="3"/>
      <c r="S59" s="3"/>
      <c r="T59" s="3"/>
      <c r="U59" s="3"/>
      <c r="V59" s="3"/>
      <c r="W59" s="3"/>
      <c r="X59" s="1"/>
      <c r="Y59" s="1"/>
      <c r="Z59" s="1"/>
    </row>
    <row r="60" ht="12.75" customHeight="1">
      <c r="A60" s="1"/>
      <c r="B60" s="3"/>
      <c r="C60" s="3"/>
      <c r="D60" s="3"/>
      <c r="E60" s="3"/>
      <c r="F60" s="3"/>
      <c r="G60" s="3"/>
      <c r="H60" s="3"/>
      <c r="I60" s="3"/>
      <c r="J60" s="3"/>
      <c r="K60" s="3"/>
      <c r="L60" s="3"/>
      <c r="M60" s="3"/>
      <c r="N60" s="3"/>
      <c r="O60" s="3"/>
      <c r="P60" s="3"/>
      <c r="Q60" s="3"/>
      <c r="R60" s="3"/>
      <c r="S60" s="3"/>
      <c r="T60" s="3"/>
      <c r="U60" s="3"/>
      <c r="V60" s="3"/>
      <c r="W60" s="3"/>
      <c r="X60" s="1"/>
      <c r="Y60" s="1"/>
      <c r="Z60" s="1"/>
    </row>
    <row r="61" ht="12.75" customHeight="1">
      <c r="A61" s="1"/>
      <c r="B61" s="3"/>
      <c r="C61" s="3"/>
      <c r="D61" s="3"/>
      <c r="E61" s="3"/>
      <c r="F61" s="3"/>
      <c r="G61" s="3"/>
      <c r="H61" s="3"/>
      <c r="I61" s="3"/>
      <c r="J61" s="3"/>
      <c r="K61" s="3"/>
      <c r="L61" s="3"/>
      <c r="M61" s="3"/>
      <c r="N61" s="3"/>
      <c r="O61" s="3"/>
      <c r="P61" s="3"/>
      <c r="Q61" s="3"/>
      <c r="R61" s="3"/>
      <c r="S61" s="3"/>
      <c r="T61" s="3"/>
      <c r="U61" s="3"/>
      <c r="V61" s="3"/>
      <c r="W61" s="3"/>
      <c r="X61" s="1"/>
      <c r="Y61" s="1"/>
      <c r="Z61" s="1"/>
    </row>
    <row r="62" ht="12.75" customHeight="1">
      <c r="A62" s="1"/>
      <c r="B62" s="3"/>
      <c r="C62" s="3"/>
      <c r="D62" s="3"/>
      <c r="E62" s="3"/>
      <c r="F62" s="3"/>
      <c r="G62" s="3"/>
      <c r="H62" s="3"/>
      <c r="I62" s="3"/>
      <c r="J62" s="3"/>
      <c r="K62" s="3"/>
      <c r="L62" s="3"/>
      <c r="M62" s="3"/>
      <c r="N62" s="3"/>
      <c r="O62" s="3"/>
      <c r="P62" s="3"/>
      <c r="Q62" s="3"/>
      <c r="R62" s="3"/>
      <c r="S62" s="3"/>
      <c r="T62" s="3"/>
      <c r="U62" s="3"/>
      <c r="V62" s="3"/>
      <c r="W62" s="3"/>
      <c r="X62" s="1"/>
      <c r="Y62" s="1"/>
      <c r="Z62" s="1"/>
    </row>
    <row r="63" ht="12.75" customHeight="1">
      <c r="A63" s="1"/>
      <c r="B63" s="3"/>
      <c r="C63" s="3"/>
      <c r="D63" s="3"/>
      <c r="E63" s="3"/>
      <c r="F63" s="3"/>
      <c r="G63" s="3"/>
      <c r="H63" s="3"/>
      <c r="I63" s="3"/>
      <c r="J63" s="3"/>
      <c r="K63" s="3"/>
      <c r="L63" s="3"/>
      <c r="M63" s="3"/>
      <c r="N63" s="3"/>
      <c r="O63" s="3"/>
      <c r="P63" s="3"/>
      <c r="Q63" s="3"/>
      <c r="R63" s="3"/>
      <c r="S63" s="3"/>
      <c r="T63" s="3"/>
      <c r="U63" s="3"/>
      <c r="V63" s="3"/>
      <c r="W63" s="3"/>
      <c r="X63" s="1"/>
      <c r="Y63" s="1"/>
      <c r="Z63" s="1"/>
    </row>
    <row r="64" ht="12.75" customHeight="1">
      <c r="A64" s="1"/>
      <c r="B64" s="3"/>
      <c r="C64" s="3"/>
      <c r="D64" s="3"/>
      <c r="E64" s="3"/>
      <c r="F64" s="3"/>
      <c r="G64" s="3"/>
      <c r="H64" s="3"/>
      <c r="I64" s="3"/>
      <c r="J64" s="3"/>
      <c r="K64" s="3"/>
      <c r="L64" s="3"/>
      <c r="M64" s="3"/>
      <c r="N64" s="3"/>
      <c r="O64" s="3"/>
      <c r="P64" s="3"/>
      <c r="Q64" s="3"/>
      <c r="R64" s="3"/>
      <c r="S64" s="3"/>
      <c r="T64" s="3"/>
      <c r="U64" s="3"/>
      <c r="V64" s="3"/>
      <c r="W64" s="3"/>
      <c r="X64" s="1"/>
      <c r="Y64" s="1"/>
      <c r="Z64" s="1"/>
    </row>
    <row r="65" ht="12.75" customHeight="1">
      <c r="A65" s="1"/>
      <c r="B65" s="3"/>
      <c r="C65" s="3"/>
      <c r="D65" s="3"/>
      <c r="E65" s="3"/>
      <c r="F65" s="3"/>
      <c r="G65" s="3"/>
      <c r="H65" s="3"/>
      <c r="I65" s="3"/>
      <c r="J65" s="3"/>
      <c r="K65" s="3"/>
      <c r="L65" s="3"/>
      <c r="M65" s="3"/>
      <c r="N65" s="3"/>
      <c r="O65" s="3"/>
      <c r="P65" s="3"/>
      <c r="Q65" s="3"/>
      <c r="R65" s="3"/>
      <c r="S65" s="3"/>
      <c r="T65" s="3"/>
      <c r="U65" s="3"/>
      <c r="V65" s="3"/>
      <c r="W65" s="3"/>
      <c r="X65" s="1"/>
      <c r="Y65" s="1"/>
      <c r="Z65" s="1"/>
    </row>
    <row r="66" ht="12.75" customHeight="1">
      <c r="A66" s="1"/>
      <c r="B66" s="3"/>
      <c r="C66" s="3"/>
      <c r="D66" s="3"/>
      <c r="E66" s="3"/>
      <c r="F66" s="3"/>
      <c r="G66" s="3"/>
      <c r="H66" s="3"/>
      <c r="I66" s="3"/>
      <c r="J66" s="3"/>
      <c r="K66" s="3"/>
      <c r="L66" s="3"/>
      <c r="M66" s="3"/>
      <c r="N66" s="3"/>
      <c r="O66" s="3"/>
      <c r="P66" s="3"/>
      <c r="Q66" s="3"/>
      <c r="R66" s="3"/>
      <c r="S66" s="3"/>
      <c r="T66" s="3"/>
      <c r="U66" s="3"/>
      <c r="V66" s="3"/>
      <c r="W66" s="3"/>
      <c r="X66" s="1"/>
      <c r="Y66" s="1"/>
      <c r="Z66" s="1"/>
    </row>
    <row r="67" ht="12.75" customHeight="1">
      <c r="A67" s="1"/>
      <c r="B67" s="3"/>
      <c r="C67" s="3"/>
      <c r="D67" s="3"/>
      <c r="E67" s="3"/>
      <c r="F67" s="3"/>
      <c r="G67" s="3"/>
      <c r="H67" s="3"/>
      <c r="I67" s="3"/>
      <c r="J67" s="3"/>
      <c r="K67" s="3"/>
      <c r="L67" s="3"/>
      <c r="M67" s="3"/>
      <c r="N67" s="3"/>
      <c r="O67" s="3"/>
      <c r="P67" s="3"/>
      <c r="Q67" s="3"/>
      <c r="R67" s="3"/>
      <c r="S67" s="3"/>
      <c r="T67" s="3"/>
      <c r="U67" s="3"/>
      <c r="V67" s="3"/>
      <c r="W67" s="3"/>
      <c r="X67" s="1"/>
      <c r="Y67" s="1"/>
      <c r="Z67" s="1"/>
    </row>
    <row r="68" ht="12.75" customHeight="1">
      <c r="A68" s="1"/>
      <c r="B68" s="3"/>
      <c r="C68" s="3"/>
      <c r="D68" s="3"/>
      <c r="E68" s="3"/>
      <c r="F68" s="3"/>
      <c r="G68" s="3"/>
      <c r="H68" s="3"/>
      <c r="I68" s="3"/>
      <c r="J68" s="3"/>
      <c r="K68" s="3"/>
      <c r="L68" s="3"/>
      <c r="M68" s="3"/>
      <c r="N68" s="3"/>
      <c r="O68" s="3"/>
      <c r="P68" s="3"/>
      <c r="Q68" s="3"/>
      <c r="R68" s="3"/>
      <c r="S68" s="3"/>
      <c r="T68" s="3"/>
      <c r="U68" s="3"/>
      <c r="V68" s="3"/>
      <c r="W68" s="3"/>
      <c r="X68" s="1"/>
      <c r="Y68" s="1"/>
      <c r="Z68" s="1"/>
    </row>
    <row r="69" ht="12.75" customHeight="1">
      <c r="A69" s="1"/>
      <c r="B69" s="3"/>
      <c r="C69" s="3"/>
      <c r="D69" s="3"/>
      <c r="E69" s="3"/>
      <c r="F69" s="3"/>
      <c r="G69" s="3"/>
      <c r="H69" s="3"/>
      <c r="I69" s="3"/>
      <c r="J69" s="3"/>
      <c r="K69" s="3"/>
      <c r="L69" s="3"/>
      <c r="M69" s="3"/>
      <c r="N69" s="3"/>
      <c r="O69" s="3"/>
      <c r="P69" s="3"/>
      <c r="Q69" s="3"/>
      <c r="R69" s="3"/>
      <c r="S69" s="3"/>
      <c r="T69" s="3"/>
      <c r="U69" s="3"/>
      <c r="V69" s="3"/>
      <c r="W69" s="3"/>
      <c r="X69" s="1"/>
      <c r="Y69" s="1"/>
      <c r="Z69" s="1"/>
    </row>
    <row r="70" ht="12.75" customHeight="1">
      <c r="A70" s="1"/>
      <c r="B70" s="3"/>
      <c r="C70" s="3"/>
      <c r="D70" s="3"/>
      <c r="E70" s="3"/>
      <c r="F70" s="3"/>
      <c r="G70" s="3"/>
      <c r="H70" s="3"/>
      <c r="I70" s="3"/>
      <c r="J70" s="3"/>
      <c r="K70" s="3"/>
      <c r="L70" s="3"/>
      <c r="M70" s="3"/>
      <c r="N70" s="3"/>
      <c r="O70" s="3"/>
      <c r="P70" s="3"/>
      <c r="Q70" s="3"/>
      <c r="R70" s="3"/>
      <c r="S70" s="3"/>
      <c r="T70" s="3"/>
      <c r="U70" s="3"/>
      <c r="V70" s="3"/>
      <c r="W70" s="3"/>
      <c r="X70" s="1"/>
      <c r="Y70" s="1"/>
      <c r="Z70" s="1"/>
    </row>
    <row r="71" ht="12.75" customHeight="1">
      <c r="A71" s="1"/>
      <c r="B71" s="3"/>
      <c r="C71" s="3"/>
      <c r="D71" s="3"/>
      <c r="E71" s="3"/>
      <c r="F71" s="3"/>
      <c r="G71" s="3"/>
      <c r="H71" s="3"/>
      <c r="I71" s="3"/>
      <c r="J71" s="3"/>
      <c r="K71" s="3"/>
      <c r="L71" s="3"/>
      <c r="M71" s="3"/>
      <c r="N71" s="3"/>
      <c r="O71" s="3"/>
      <c r="P71" s="3"/>
      <c r="Q71" s="3"/>
      <c r="R71" s="3"/>
      <c r="S71" s="3"/>
      <c r="T71" s="3"/>
      <c r="U71" s="3"/>
      <c r="V71" s="3"/>
      <c r="W71" s="3"/>
      <c r="X71" s="1"/>
      <c r="Y71" s="1"/>
      <c r="Z71" s="1"/>
    </row>
    <row r="72" ht="12.75" customHeight="1">
      <c r="A72" s="1"/>
      <c r="B72" s="3"/>
      <c r="C72" s="3"/>
      <c r="D72" s="3"/>
      <c r="E72" s="3"/>
      <c r="F72" s="3"/>
      <c r="G72" s="3"/>
      <c r="H72" s="3"/>
      <c r="I72" s="3"/>
      <c r="J72" s="3"/>
      <c r="K72" s="3"/>
      <c r="L72" s="3"/>
      <c r="M72" s="3"/>
      <c r="N72" s="3"/>
      <c r="O72" s="3"/>
      <c r="P72" s="3"/>
      <c r="Q72" s="3"/>
      <c r="R72" s="3"/>
      <c r="S72" s="3"/>
      <c r="T72" s="3"/>
      <c r="U72" s="3"/>
      <c r="V72" s="3"/>
      <c r="W72" s="3"/>
      <c r="X72" s="1"/>
      <c r="Y72" s="1"/>
      <c r="Z72" s="1"/>
    </row>
    <row r="73" ht="12.75" customHeight="1">
      <c r="A73" s="1"/>
      <c r="B73" s="3"/>
      <c r="C73" s="3"/>
      <c r="D73" s="3"/>
      <c r="E73" s="3"/>
      <c r="F73" s="3"/>
      <c r="G73" s="3"/>
      <c r="H73" s="3"/>
      <c r="I73" s="3"/>
      <c r="J73" s="3"/>
      <c r="K73" s="3"/>
      <c r="L73" s="3"/>
      <c r="M73" s="3"/>
      <c r="N73" s="3"/>
      <c r="O73" s="3"/>
      <c r="P73" s="3"/>
      <c r="Q73" s="3"/>
      <c r="R73" s="3"/>
      <c r="S73" s="3"/>
      <c r="T73" s="3"/>
      <c r="U73" s="3"/>
      <c r="V73" s="3"/>
      <c r="W73" s="3"/>
      <c r="X73" s="1"/>
      <c r="Y73" s="1"/>
      <c r="Z73" s="1"/>
    </row>
    <row r="74" ht="12.75" customHeight="1">
      <c r="A74" s="1"/>
      <c r="B74" s="3"/>
      <c r="C74" s="3"/>
      <c r="D74" s="3"/>
      <c r="E74" s="3"/>
      <c r="F74" s="3"/>
      <c r="G74" s="3"/>
      <c r="H74" s="3"/>
      <c r="I74" s="3"/>
      <c r="J74" s="3"/>
      <c r="K74" s="3"/>
      <c r="L74" s="3"/>
      <c r="M74" s="3"/>
      <c r="N74" s="3"/>
      <c r="O74" s="3"/>
      <c r="P74" s="3"/>
      <c r="Q74" s="3"/>
      <c r="R74" s="3"/>
      <c r="S74" s="3"/>
      <c r="T74" s="3"/>
      <c r="U74" s="3"/>
      <c r="V74" s="3"/>
      <c r="W74" s="3"/>
      <c r="X74" s="1"/>
      <c r="Y74" s="1"/>
      <c r="Z74" s="1"/>
    </row>
    <row r="75" ht="12.75" customHeight="1">
      <c r="A75" s="1"/>
      <c r="B75" s="3"/>
      <c r="C75" s="3"/>
      <c r="D75" s="3"/>
      <c r="E75" s="3"/>
      <c r="F75" s="3"/>
      <c r="G75" s="3"/>
      <c r="H75" s="3"/>
      <c r="I75" s="3"/>
      <c r="J75" s="3"/>
      <c r="K75" s="3"/>
      <c r="L75" s="3"/>
      <c r="M75" s="3"/>
      <c r="N75" s="3"/>
      <c r="O75" s="3"/>
      <c r="P75" s="3"/>
      <c r="Q75" s="3"/>
      <c r="R75" s="3"/>
      <c r="S75" s="3"/>
      <c r="T75" s="3"/>
      <c r="U75" s="3"/>
      <c r="V75" s="3"/>
      <c r="W75" s="3"/>
      <c r="X75" s="1"/>
      <c r="Y75" s="1"/>
      <c r="Z75" s="1"/>
    </row>
    <row r="76" ht="12.75" customHeight="1">
      <c r="A76" s="1"/>
      <c r="B76" s="3"/>
      <c r="C76" s="3"/>
      <c r="D76" s="3"/>
      <c r="E76" s="3"/>
      <c r="F76" s="3"/>
      <c r="G76" s="3"/>
      <c r="H76" s="3"/>
      <c r="I76" s="3"/>
      <c r="J76" s="3"/>
      <c r="K76" s="3"/>
      <c r="L76" s="3"/>
      <c r="M76" s="3"/>
      <c r="N76" s="3"/>
      <c r="O76" s="3"/>
      <c r="P76" s="3"/>
      <c r="Q76" s="3"/>
      <c r="R76" s="3"/>
      <c r="S76" s="3"/>
      <c r="T76" s="3"/>
      <c r="U76" s="3"/>
      <c r="V76" s="3"/>
      <c r="W76" s="3"/>
      <c r="X76" s="1"/>
      <c r="Y76" s="1"/>
      <c r="Z76" s="1"/>
    </row>
    <row r="77" ht="12.75" customHeight="1">
      <c r="A77" s="1"/>
      <c r="B77" s="3"/>
      <c r="C77" s="3"/>
      <c r="D77" s="3"/>
      <c r="E77" s="3"/>
      <c r="F77" s="3"/>
      <c r="G77" s="3"/>
      <c r="H77" s="3"/>
      <c r="I77" s="3"/>
      <c r="J77" s="3"/>
      <c r="K77" s="3"/>
      <c r="L77" s="3"/>
      <c r="M77" s="3"/>
      <c r="N77" s="3"/>
      <c r="O77" s="3"/>
      <c r="P77" s="3"/>
      <c r="Q77" s="3"/>
      <c r="R77" s="3"/>
      <c r="S77" s="3"/>
      <c r="T77" s="3"/>
      <c r="U77" s="3"/>
      <c r="V77" s="3"/>
      <c r="W77" s="3"/>
      <c r="X77" s="1"/>
      <c r="Y77" s="1"/>
      <c r="Z77" s="1"/>
    </row>
    <row r="78" ht="12.75" customHeight="1">
      <c r="A78" s="1"/>
      <c r="B78" s="3"/>
      <c r="C78" s="3"/>
      <c r="D78" s="3"/>
      <c r="E78" s="3"/>
      <c r="F78" s="3"/>
      <c r="G78" s="3"/>
      <c r="H78" s="3"/>
      <c r="I78" s="3"/>
      <c r="J78" s="3"/>
      <c r="K78" s="3"/>
      <c r="L78" s="3"/>
      <c r="M78" s="3"/>
      <c r="N78" s="3"/>
      <c r="O78" s="3"/>
      <c r="P78" s="3"/>
      <c r="Q78" s="3"/>
      <c r="R78" s="3"/>
      <c r="S78" s="3"/>
      <c r="T78" s="3"/>
      <c r="U78" s="3"/>
      <c r="V78" s="3"/>
      <c r="W78" s="3"/>
      <c r="X78" s="1"/>
      <c r="Y78" s="1"/>
      <c r="Z78" s="1"/>
    </row>
    <row r="79" ht="12.75" customHeight="1">
      <c r="A79" s="1"/>
      <c r="B79" s="3"/>
      <c r="C79" s="3"/>
      <c r="D79" s="3"/>
      <c r="E79" s="3"/>
      <c r="F79" s="3"/>
      <c r="G79" s="3"/>
      <c r="H79" s="3"/>
      <c r="I79" s="3"/>
      <c r="J79" s="3"/>
      <c r="K79" s="3"/>
      <c r="L79" s="3"/>
      <c r="M79" s="3"/>
      <c r="N79" s="3"/>
      <c r="O79" s="3"/>
      <c r="P79" s="3"/>
      <c r="Q79" s="3"/>
      <c r="R79" s="3"/>
      <c r="S79" s="3"/>
      <c r="T79" s="3"/>
      <c r="U79" s="3"/>
      <c r="V79" s="3"/>
      <c r="W79" s="3"/>
      <c r="X79" s="1"/>
      <c r="Y79" s="1"/>
      <c r="Z79" s="1"/>
    </row>
    <row r="80" ht="12.75" customHeight="1">
      <c r="A80" s="1"/>
      <c r="B80" s="3"/>
      <c r="C80" s="3"/>
      <c r="D80" s="3"/>
      <c r="E80" s="3"/>
      <c r="F80" s="3"/>
      <c r="G80" s="3"/>
      <c r="H80" s="3"/>
      <c r="I80" s="3"/>
      <c r="J80" s="3"/>
      <c r="K80" s="3"/>
      <c r="L80" s="3"/>
      <c r="M80" s="3"/>
      <c r="N80" s="3"/>
      <c r="O80" s="3"/>
      <c r="P80" s="3"/>
      <c r="Q80" s="3"/>
      <c r="R80" s="3"/>
      <c r="S80" s="3"/>
      <c r="T80" s="3"/>
      <c r="U80" s="3"/>
      <c r="V80" s="3"/>
      <c r="W80" s="3"/>
      <c r="X80" s="1"/>
      <c r="Y80" s="1"/>
      <c r="Z80" s="1"/>
    </row>
    <row r="81" ht="12.75" customHeight="1">
      <c r="A81" s="1"/>
      <c r="B81" s="3"/>
      <c r="C81" s="3"/>
      <c r="D81" s="3"/>
      <c r="E81" s="3"/>
      <c r="F81" s="3"/>
      <c r="G81" s="3"/>
      <c r="H81" s="3"/>
      <c r="I81" s="3"/>
      <c r="J81" s="3"/>
      <c r="K81" s="3"/>
      <c r="L81" s="3"/>
      <c r="M81" s="3"/>
      <c r="N81" s="3"/>
      <c r="O81" s="3"/>
      <c r="P81" s="3"/>
      <c r="Q81" s="3"/>
      <c r="R81" s="3"/>
      <c r="S81" s="3"/>
      <c r="T81" s="3"/>
      <c r="U81" s="3"/>
      <c r="V81" s="3"/>
      <c r="W81" s="3"/>
      <c r="X81" s="1"/>
      <c r="Y81" s="1"/>
      <c r="Z81" s="1"/>
    </row>
    <row r="82" ht="12.75" customHeight="1">
      <c r="A82" s="1"/>
      <c r="B82" s="3"/>
      <c r="C82" s="3"/>
      <c r="D82" s="3"/>
      <c r="E82" s="3"/>
      <c r="F82" s="3"/>
      <c r="G82" s="3"/>
      <c r="H82" s="3"/>
      <c r="I82" s="3"/>
      <c r="J82" s="3"/>
      <c r="K82" s="3"/>
      <c r="L82" s="3"/>
      <c r="M82" s="3"/>
      <c r="N82" s="3"/>
      <c r="O82" s="3"/>
      <c r="P82" s="3"/>
      <c r="Q82" s="3"/>
      <c r="R82" s="3"/>
      <c r="S82" s="3"/>
      <c r="T82" s="3"/>
      <c r="U82" s="3"/>
      <c r="V82" s="3"/>
      <c r="W82" s="3"/>
      <c r="X82" s="1"/>
      <c r="Y82" s="1"/>
      <c r="Z82" s="1"/>
    </row>
    <row r="83" ht="12.75" customHeight="1">
      <c r="A83" s="1"/>
      <c r="B83" s="3"/>
      <c r="C83" s="3"/>
      <c r="D83" s="3"/>
      <c r="E83" s="3"/>
      <c r="F83" s="3"/>
      <c r="G83" s="3"/>
      <c r="H83" s="3"/>
      <c r="I83" s="3"/>
      <c r="J83" s="3"/>
      <c r="K83" s="3"/>
      <c r="L83" s="3"/>
      <c r="M83" s="3"/>
      <c r="N83" s="3"/>
      <c r="O83" s="3"/>
      <c r="P83" s="3"/>
      <c r="Q83" s="3"/>
      <c r="R83" s="3"/>
      <c r="S83" s="3"/>
      <c r="T83" s="3"/>
      <c r="U83" s="3"/>
      <c r="V83" s="3"/>
      <c r="W83" s="3"/>
      <c r="X83" s="1"/>
      <c r="Y83" s="1"/>
      <c r="Z83" s="1"/>
    </row>
    <row r="84" ht="12.75" customHeight="1">
      <c r="A84" s="1"/>
      <c r="B84" s="3"/>
      <c r="C84" s="3"/>
      <c r="D84" s="3"/>
      <c r="E84" s="3"/>
      <c r="F84" s="3"/>
      <c r="G84" s="3"/>
      <c r="H84" s="3"/>
      <c r="I84" s="3"/>
      <c r="J84" s="3"/>
      <c r="K84" s="3"/>
      <c r="L84" s="3"/>
      <c r="M84" s="3"/>
      <c r="N84" s="3"/>
      <c r="O84" s="3"/>
      <c r="P84" s="3"/>
      <c r="Q84" s="3"/>
      <c r="R84" s="3"/>
      <c r="S84" s="3"/>
      <c r="T84" s="3"/>
      <c r="U84" s="3"/>
      <c r="V84" s="3"/>
      <c r="W84" s="3"/>
      <c r="X84" s="1"/>
      <c r="Y84" s="1"/>
      <c r="Z84" s="1"/>
    </row>
    <row r="85" ht="12.75" customHeight="1">
      <c r="A85" s="1"/>
      <c r="B85" s="3"/>
      <c r="C85" s="3"/>
      <c r="D85" s="3"/>
      <c r="E85" s="3"/>
      <c r="F85" s="3"/>
      <c r="G85" s="3"/>
      <c r="H85" s="3"/>
      <c r="I85" s="3"/>
      <c r="J85" s="3"/>
      <c r="K85" s="3"/>
      <c r="L85" s="3"/>
      <c r="M85" s="3"/>
      <c r="N85" s="3"/>
      <c r="O85" s="3"/>
      <c r="P85" s="3"/>
      <c r="Q85" s="3"/>
      <c r="R85" s="3"/>
      <c r="S85" s="3"/>
      <c r="T85" s="3"/>
      <c r="U85" s="3"/>
      <c r="V85" s="3"/>
      <c r="W85" s="3"/>
      <c r="X85" s="1"/>
      <c r="Y85" s="1"/>
      <c r="Z85" s="1"/>
    </row>
    <row r="86" ht="12.75" customHeight="1">
      <c r="A86" s="1"/>
      <c r="B86" s="3"/>
      <c r="C86" s="3"/>
      <c r="D86" s="3"/>
      <c r="E86" s="3"/>
      <c r="F86" s="3"/>
      <c r="G86" s="3"/>
      <c r="H86" s="3"/>
      <c r="I86" s="3"/>
      <c r="J86" s="3"/>
      <c r="K86" s="3"/>
      <c r="L86" s="3"/>
      <c r="M86" s="3"/>
      <c r="N86" s="3"/>
      <c r="O86" s="3"/>
      <c r="P86" s="3"/>
      <c r="Q86" s="3"/>
      <c r="R86" s="3"/>
      <c r="S86" s="3"/>
      <c r="T86" s="3"/>
      <c r="U86" s="3"/>
      <c r="V86" s="3"/>
      <c r="W86" s="3"/>
      <c r="X86" s="1"/>
      <c r="Y86" s="1"/>
      <c r="Z86" s="1"/>
    </row>
    <row r="87" ht="12.75" customHeight="1">
      <c r="A87" s="1"/>
      <c r="B87" s="3"/>
      <c r="C87" s="3"/>
      <c r="D87" s="3"/>
      <c r="E87" s="3"/>
      <c r="F87" s="3"/>
      <c r="G87" s="3"/>
      <c r="H87" s="3"/>
      <c r="I87" s="3"/>
      <c r="J87" s="3"/>
      <c r="K87" s="3"/>
      <c r="L87" s="3"/>
      <c r="M87" s="3"/>
      <c r="N87" s="3"/>
      <c r="O87" s="3"/>
      <c r="P87" s="3"/>
      <c r="Q87" s="3"/>
      <c r="R87" s="3"/>
      <c r="S87" s="3"/>
      <c r="T87" s="3"/>
      <c r="U87" s="3"/>
      <c r="V87" s="3"/>
      <c r="W87" s="3"/>
      <c r="X87" s="1"/>
      <c r="Y87" s="1"/>
      <c r="Z87" s="1"/>
    </row>
    <row r="88" ht="12.75" customHeight="1">
      <c r="A88" s="1"/>
      <c r="B88" s="3"/>
      <c r="C88" s="3"/>
      <c r="D88" s="3"/>
      <c r="E88" s="3"/>
      <c r="F88" s="3"/>
      <c r="G88" s="3"/>
      <c r="H88" s="3"/>
      <c r="I88" s="3"/>
      <c r="J88" s="3"/>
      <c r="K88" s="3"/>
      <c r="L88" s="3"/>
      <c r="M88" s="3"/>
      <c r="N88" s="3"/>
      <c r="O88" s="3"/>
      <c r="P88" s="3"/>
      <c r="Q88" s="3"/>
      <c r="R88" s="3"/>
      <c r="S88" s="3"/>
      <c r="T88" s="3"/>
      <c r="U88" s="3"/>
      <c r="V88" s="3"/>
      <c r="W88" s="3"/>
      <c r="X88" s="1"/>
      <c r="Y88" s="1"/>
      <c r="Z88" s="1"/>
    </row>
    <row r="89" ht="12.75" customHeight="1">
      <c r="A89" s="1"/>
      <c r="B89" s="3"/>
      <c r="C89" s="3"/>
      <c r="D89" s="3"/>
      <c r="E89" s="3"/>
      <c r="F89" s="3"/>
      <c r="G89" s="3"/>
      <c r="H89" s="3"/>
      <c r="I89" s="3"/>
      <c r="J89" s="3"/>
      <c r="K89" s="3"/>
      <c r="L89" s="3"/>
      <c r="M89" s="3"/>
      <c r="N89" s="3"/>
      <c r="O89" s="3"/>
      <c r="P89" s="3"/>
      <c r="Q89" s="3"/>
      <c r="R89" s="3"/>
      <c r="S89" s="3"/>
      <c r="T89" s="3"/>
      <c r="U89" s="3"/>
      <c r="V89" s="3"/>
      <c r="W89" s="3"/>
      <c r="X89" s="1"/>
      <c r="Y89" s="1"/>
      <c r="Z89" s="1"/>
    </row>
    <row r="90" ht="12.75" customHeight="1">
      <c r="A90" s="1"/>
      <c r="B90" s="3"/>
      <c r="C90" s="3"/>
      <c r="D90" s="3"/>
      <c r="E90" s="3"/>
      <c r="F90" s="3"/>
      <c r="G90" s="3"/>
      <c r="H90" s="3"/>
      <c r="I90" s="3"/>
      <c r="J90" s="3"/>
      <c r="K90" s="3"/>
      <c r="L90" s="3"/>
      <c r="M90" s="3"/>
      <c r="N90" s="3"/>
      <c r="O90" s="3"/>
      <c r="P90" s="3"/>
      <c r="Q90" s="3"/>
      <c r="R90" s="3"/>
      <c r="S90" s="3"/>
      <c r="T90" s="3"/>
      <c r="U90" s="3"/>
      <c r="V90" s="3"/>
      <c r="W90" s="3"/>
      <c r="X90" s="1"/>
      <c r="Y90" s="1"/>
      <c r="Z90" s="1"/>
    </row>
    <row r="91" ht="12.75" customHeight="1">
      <c r="A91" s="1"/>
      <c r="B91" s="3"/>
      <c r="C91" s="3"/>
      <c r="D91" s="3"/>
      <c r="E91" s="3"/>
      <c r="F91" s="3"/>
      <c r="G91" s="3"/>
      <c r="H91" s="3"/>
      <c r="I91" s="3"/>
      <c r="J91" s="3"/>
      <c r="K91" s="3"/>
      <c r="L91" s="3"/>
      <c r="M91" s="3"/>
      <c r="N91" s="3"/>
      <c r="O91" s="3"/>
      <c r="P91" s="3"/>
      <c r="Q91" s="3"/>
      <c r="R91" s="3"/>
      <c r="S91" s="3"/>
      <c r="T91" s="3"/>
      <c r="U91" s="3"/>
      <c r="V91" s="3"/>
      <c r="W91" s="3"/>
      <c r="X91" s="1"/>
      <c r="Y91" s="1"/>
      <c r="Z91" s="1"/>
    </row>
    <row r="92" ht="12.75" customHeight="1">
      <c r="A92" s="1"/>
      <c r="B92" s="3"/>
      <c r="C92" s="3"/>
      <c r="D92" s="3"/>
      <c r="E92" s="3"/>
      <c r="F92" s="3"/>
      <c r="G92" s="3"/>
      <c r="H92" s="3"/>
      <c r="I92" s="3"/>
      <c r="J92" s="3"/>
      <c r="K92" s="3"/>
      <c r="L92" s="3"/>
      <c r="M92" s="3"/>
      <c r="N92" s="3"/>
      <c r="O92" s="3"/>
      <c r="P92" s="3"/>
      <c r="Q92" s="3"/>
      <c r="R92" s="3"/>
      <c r="S92" s="3"/>
      <c r="T92" s="3"/>
      <c r="U92" s="3"/>
      <c r="V92" s="3"/>
      <c r="W92" s="3"/>
      <c r="X92" s="1"/>
      <c r="Y92" s="1"/>
      <c r="Z92" s="1"/>
    </row>
    <row r="93" ht="12.75" customHeight="1">
      <c r="A93" s="1"/>
      <c r="B93" s="3"/>
      <c r="C93" s="3"/>
      <c r="D93" s="3"/>
      <c r="E93" s="3"/>
      <c r="F93" s="3"/>
      <c r="G93" s="3"/>
      <c r="H93" s="3"/>
      <c r="I93" s="3"/>
      <c r="J93" s="3"/>
      <c r="K93" s="3"/>
      <c r="L93" s="3"/>
      <c r="M93" s="3"/>
      <c r="N93" s="3"/>
      <c r="O93" s="3"/>
      <c r="P93" s="3"/>
      <c r="Q93" s="3"/>
      <c r="R93" s="3"/>
      <c r="S93" s="3"/>
      <c r="T93" s="3"/>
      <c r="U93" s="3"/>
      <c r="V93" s="3"/>
      <c r="W93" s="3"/>
      <c r="X93" s="1"/>
      <c r="Y93" s="1"/>
      <c r="Z93" s="1"/>
    </row>
    <row r="94" ht="12.75" customHeight="1">
      <c r="A94" s="1"/>
      <c r="B94" s="3"/>
      <c r="C94" s="3"/>
      <c r="D94" s="3"/>
      <c r="E94" s="3"/>
      <c r="F94" s="3"/>
      <c r="G94" s="3"/>
      <c r="H94" s="3"/>
      <c r="I94" s="3"/>
      <c r="J94" s="3"/>
      <c r="K94" s="3"/>
      <c r="L94" s="3"/>
      <c r="M94" s="3"/>
      <c r="N94" s="3"/>
      <c r="O94" s="3"/>
      <c r="P94" s="3"/>
      <c r="Q94" s="3"/>
      <c r="R94" s="3"/>
      <c r="S94" s="3"/>
      <c r="T94" s="3"/>
      <c r="U94" s="3"/>
      <c r="V94" s="3"/>
      <c r="W94" s="3"/>
      <c r="X94" s="1"/>
      <c r="Y94" s="1"/>
      <c r="Z94" s="1"/>
    </row>
    <row r="95" ht="12.75" customHeight="1">
      <c r="A95" s="1"/>
      <c r="B95" s="3"/>
      <c r="C95" s="3"/>
      <c r="D95" s="3"/>
      <c r="E95" s="3"/>
      <c r="F95" s="3"/>
      <c r="G95" s="3"/>
      <c r="H95" s="3"/>
      <c r="I95" s="3"/>
      <c r="J95" s="3"/>
      <c r="K95" s="3"/>
      <c r="L95" s="3"/>
      <c r="M95" s="3"/>
      <c r="N95" s="3"/>
      <c r="O95" s="3"/>
      <c r="P95" s="3"/>
      <c r="Q95" s="3"/>
      <c r="R95" s="3"/>
      <c r="S95" s="3"/>
      <c r="T95" s="3"/>
      <c r="U95" s="3"/>
      <c r="V95" s="3"/>
      <c r="W95" s="3"/>
      <c r="X95" s="1"/>
      <c r="Y95" s="1"/>
      <c r="Z95" s="1"/>
    </row>
    <row r="96" ht="12.75" customHeight="1">
      <c r="A96" s="1"/>
      <c r="B96" s="3"/>
      <c r="C96" s="3"/>
      <c r="D96" s="3"/>
      <c r="E96" s="3"/>
      <c r="F96" s="3"/>
      <c r="G96" s="3"/>
      <c r="H96" s="3"/>
      <c r="I96" s="3"/>
      <c r="J96" s="3"/>
      <c r="K96" s="3"/>
      <c r="L96" s="3"/>
      <c r="M96" s="3"/>
      <c r="N96" s="3"/>
      <c r="O96" s="3"/>
      <c r="P96" s="3"/>
      <c r="Q96" s="3"/>
      <c r="R96" s="3"/>
      <c r="S96" s="3"/>
      <c r="T96" s="3"/>
      <c r="U96" s="3"/>
      <c r="V96" s="3"/>
      <c r="W96" s="3"/>
      <c r="X96" s="1"/>
      <c r="Y96" s="1"/>
      <c r="Z96" s="1"/>
    </row>
    <row r="97" ht="12.75" customHeight="1">
      <c r="A97" s="1"/>
      <c r="B97" s="3"/>
      <c r="C97" s="3"/>
      <c r="D97" s="3"/>
      <c r="E97" s="3"/>
      <c r="F97" s="3"/>
      <c r="G97" s="3"/>
      <c r="H97" s="3"/>
      <c r="I97" s="3"/>
      <c r="J97" s="3"/>
      <c r="K97" s="3"/>
      <c r="L97" s="3"/>
      <c r="M97" s="3"/>
      <c r="N97" s="3"/>
      <c r="O97" s="3"/>
      <c r="P97" s="3"/>
      <c r="Q97" s="3"/>
      <c r="R97" s="3"/>
      <c r="S97" s="3"/>
      <c r="T97" s="3"/>
      <c r="U97" s="3"/>
      <c r="V97" s="3"/>
      <c r="W97" s="3"/>
      <c r="X97" s="1"/>
      <c r="Y97" s="1"/>
      <c r="Z97" s="1"/>
    </row>
    <row r="98" ht="12.75" customHeight="1">
      <c r="A98" s="1"/>
      <c r="B98" s="3"/>
      <c r="C98" s="3"/>
      <c r="D98" s="3"/>
      <c r="E98" s="3"/>
      <c r="F98" s="3"/>
      <c r="G98" s="3"/>
      <c r="H98" s="3"/>
      <c r="I98" s="3"/>
      <c r="J98" s="3"/>
      <c r="K98" s="3"/>
      <c r="L98" s="3"/>
      <c r="M98" s="3"/>
      <c r="N98" s="3"/>
      <c r="O98" s="3"/>
      <c r="P98" s="3"/>
      <c r="Q98" s="3"/>
      <c r="R98" s="3"/>
      <c r="S98" s="3"/>
      <c r="T98" s="3"/>
      <c r="U98" s="3"/>
      <c r="V98" s="3"/>
      <c r="W98" s="3"/>
      <c r="X98" s="1"/>
      <c r="Y98" s="1"/>
      <c r="Z98" s="1"/>
    </row>
    <row r="99" ht="12.75" customHeight="1">
      <c r="A99" s="1"/>
      <c r="B99" s="3"/>
      <c r="C99" s="3"/>
      <c r="D99" s="3"/>
      <c r="E99" s="3"/>
      <c r="F99" s="3"/>
      <c r="G99" s="3"/>
      <c r="H99" s="3"/>
      <c r="I99" s="3"/>
      <c r="J99" s="3"/>
      <c r="K99" s="3"/>
      <c r="L99" s="3"/>
      <c r="M99" s="3"/>
      <c r="N99" s="3"/>
      <c r="O99" s="3"/>
      <c r="P99" s="3"/>
      <c r="Q99" s="3"/>
      <c r="R99" s="3"/>
      <c r="S99" s="3"/>
      <c r="T99" s="3"/>
      <c r="U99" s="3"/>
      <c r="V99" s="3"/>
      <c r="W99" s="3"/>
      <c r="X99" s="1"/>
      <c r="Y99" s="1"/>
      <c r="Z99" s="1"/>
    </row>
    <row r="100" ht="12.75" customHeight="1">
      <c r="A100" s="1"/>
      <c r="B100" s="3"/>
      <c r="C100" s="3"/>
      <c r="D100" s="3"/>
      <c r="E100" s="3"/>
      <c r="F100" s="3"/>
      <c r="G100" s="3"/>
      <c r="H100" s="3"/>
      <c r="I100" s="3"/>
      <c r="J100" s="3"/>
      <c r="K100" s="3"/>
      <c r="L100" s="3"/>
      <c r="M100" s="3"/>
      <c r="N100" s="3"/>
      <c r="O100" s="3"/>
      <c r="P100" s="3"/>
      <c r="Q100" s="3"/>
      <c r="R100" s="3"/>
      <c r="S100" s="3"/>
      <c r="T100" s="3"/>
      <c r="U100" s="3"/>
      <c r="V100" s="3"/>
      <c r="W100" s="3"/>
      <c r="X100" s="1"/>
      <c r="Y100" s="1"/>
      <c r="Z100" s="1"/>
    </row>
    <row r="101" ht="12.75" customHeight="1">
      <c r="A101" s="1"/>
      <c r="B101" s="3"/>
      <c r="C101" s="3"/>
      <c r="D101" s="3"/>
      <c r="E101" s="3"/>
      <c r="F101" s="3"/>
      <c r="G101" s="3"/>
      <c r="H101" s="3"/>
      <c r="I101" s="3"/>
      <c r="J101" s="3"/>
      <c r="K101" s="3"/>
      <c r="L101" s="3"/>
      <c r="M101" s="3"/>
      <c r="N101" s="3"/>
      <c r="O101" s="3"/>
      <c r="P101" s="3"/>
      <c r="Q101" s="3"/>
      <c r="R101" s="3"/>
      <c r="S101" s="3"/>
      <c r="T101" s="3"/>
      <c r="U101" s="3"/>
      <c r="V101" s="3"/>
      <c r="W101" s="3"/>
      <c r="X101" s="1"/>
      <c r="Y101" s="1"/>
      <c r="Z101" s="1"/>
    </row>
    <row r="102" ht="12.75" customHeight="1">
      <c r="A102" s="1"/>
      <c r="B102" s="3"/>
      <c r="C102" s="3"/>
      <c r="D102" s="3"/>
      <c r="E102" s="3"/>
      <c r="F102" s="3"/>
      <c r="G102" s="3"/>
      <c r="H102" s="3"/>
      <c r="I102" s="3"/>
      <c r="J102" s="3"/>
      <c r="K102" s="3"/>
      <c r="L102" s="3"/>
      <c r="M102" s="3"/>
      <c r="N102" s="3"/>
      <c r="O102" s="3"/>
      <c r="P102" s="3"/>
      <c r="Q102" s="3"/>
      <c r="R102" s="3"/>
      <c r="S102" s="3"/>
      <c r="T102" s="3"/>
      <c r="U102" s="3"/>
      <c r="V102" s="3"/>
      <c r="W102" s="3"/>
      <c r="X102" s="1"/>
      <c r="Y102" s="1"/>
      <c r="Z102" s="1"/>
    </row>
    <row r="103" ht="12.75" customHeight="1">
      <c r="A103" s="1"/>
      <c r="B103" s="3"/>
      <c r="C103" s="3"/>
      <c r="D103" s="3"/>
      <c r="E103" s="3"/>
      <c r="F103" s="3"/>
      <c r="G103" s="3"/>
      <c r="H103" s="3"/>
      <c r="I103" s="3"/>
      <c r="J103" s="3"/>
      <c r="K103" s="3"/>
      <c r="L103" s="3"/>
      <c r="M103" s="3"/>
      <c r="N103" s="3"/>
      <c r="O103" s="3"/>
      <c r="P103" s="3"/>
      <c r="Q103" s="3"/>
      <c r="R103" s="3"/>
      <c r="S103" s="3"/>
      <c r="T103" s="3"/>
      <c r="U103" s="3"/>
      <c r="V103" s="3"/>
      <c r="W103" s="3"/>
      <c r="X103" s="1"/>
      <c r="Y103" s="1"/>
      <c r="Z103" s="1"/>
    </row>
    <row r="104" ht="12.75" customHeight="1">
      <c r="A104" s="1"/>
      <c r="B104" s="3"/>
      <c r="C104" s="3"/>
      <c r="D104" s="3"/>
      <c r="E104" s="3"/>
      <c r="F104" s="3"/>
      <c r="G104" s="3"/>
      <c r="H104" s="3"/>
      <c r="I104" s="3"/>
      <c r="J104" s="3"/>
      <c r="K104" s="3"/>
      <c r="L104" s="3"/>
      <c r="M104" s="3"/>
      <c r="N104" s="3"/>
      <c r="O104" s="3"/>
      <c r="P104" s="3"/>
      <c r="Q104" s="3"/>
      <c r="R104" s="3"/>
      <c r="S104" s="3"/>
      <c r="T104" s="3"/>
      <c r="U104" s="3"/>
      <c r="V104" s="3"/>
      <c r="W104" s="3"/>
      <c r="X104" s="1"/>
      <c r="Y104" s="1"/>
      <c r="Z104" s="1"/>
    </row>
    <row r="105" ht="12.75" customHeight="1">
      <c r="A105" s="1"/>
      <c r="B105" s="3"/>
      <c r="C105" s="3"/>
      <c r="D105" s="3"/>
      <c r="E105" s="3"/>
      <c r="F105" s="3"/>
      <c r="G105" s="3"/>
      <c r="H105" s="3"/>
      <c r="I105" s="3"/>
      <c r="J105" s="3"/>
      <c r="K105" s="3"/>
      <c r="L105" s="3"/>
      <c r="M105" s="3"/>
      <c r="N105" s="3"/>
      <c r="O105" s="3"/>
      <c r="P105" s="3"/>
      <c r="Q105" s="3"/>
      <c r="R105" s="3"/>
      <c r="S105" s="3"/>
      <c r="T105" s="3"/>
      <c r="U105" s="3"/>
      <c r="V105" s="3"/>
      <c r="W105" s="3"/>
      <c r="X105" s="1"/>
      <c r="Y105" s="1"/>
      <c r="Z105" s="1"/>
    </row>
    <row r="106" ht="12.75" customHeight="1">
      <c r="A106" s="1"/>
      <c r="B106" s="3"/>
      <c r="C106" s="3"/>
      <c r="D106" s="3"/>
      <c r="E106" s="3"/>
      <c r="F106" s="3"/>
      <c r="G106" s="3"/>
      <c r="H106" s="3"/>
      <c r="I106" s="3"/>
      <c r="J106" s="3"/>
      <c r="K106" s="3"/>
      <c r="L106" s="3"/>
      <c r="M106" s="3"/>
      <c r="N106" s="3"/>
      <c r="O106" s="3"/>
      <c r="P106" s="3"/>
      <c r="Q106" s="3"/>
      <c r="R106" s="3"/>
      <c r="S106" s="3"/>
      <c r="T106" s="3"/>
      <c r="U106" s="3"/>
      <c r="V106" s="3"/>
      <c r="W106" s="3"/>
      <c r="X106" s="1"/>
      <c r="Y106" s="1"/>
      <c r="Z106" s="1"/>
    </row>
    <row r="107" ht="12.75" customHeight="1">
      <c r="A107" s="1"/>
      <c r="B107" s="3"/>
      <c r="C107" s="3"/>
      <c r="D107" s="3"/>
      <c r="E107" s="3"/>
      <c r="F107" s="3"/>
      <c r="G107" s="3"/>
      <c r="H107" s="3"/>
      <c r="I107" s="3"/>
      <c r="J107" s="3"/>
      <c r="K107" s="3"/>
      <c r="L107" s="3"/>
      <c r="M107" s="3"/>
      <c r="N107" s="3"/>
      <c r="O107" s="3"/>
      <c r="P107" s="3"/>
      <c r="Q107" s="3"/>
      <c r="R107" s="3"/>
      <c r="S107" s="3"/>
      <c r="T107" s="3"/>
      <c r="U107" s="3"/>
      <c r="V107" s="3"/>
      <c r="W107" s="3"/>
      <c r="X107" s="1"/>
      <c r="Y107" s="1"/>
      <c r="Z107" s="1"/>
    </row>
    <row r="108" ht="12.75" customHeight="1">
      <c r="A108" s="1"/>
      <c r="B108" s="3"/>
      <c r="C108" s="3"/>
      <c r="D108" s="3"/>
      <c r="E108" s="3"/>
      <c r="F108" s="3"/>
      <c r="G108" s="3"/>
      <c r="H108" s="3"/>
      <c r="I108" s="3"/>
      <c r="J108" s="3"/>
      <c r="K108" s="3"/>
      <c r="L108" s="3"/>
      <c r="M108" s="3"/>
      <c r="N108" s="3"/>
      <c r="O108" s="3"/>
      <c r="P108" s="3"/>
      <c r="Q108" s="3"/>
      <c r="R108" s="3"/>
      <c r="S108" s="3"/>
      <c r="T108" s="3"/>
      <c r="U108" s="3"/>
      <c r="V108" s="3"/>
      <c r="W108" s="3"/>
      <c r="X108" s="1"/>
      <c r="Y108" s="1"/>
      <c r="Z108" s="1"/>
    </row>
    <row r="109" ht="12.75" customHeight="1">
      <c r="A109" s="1"/>
      <c r="B109" s="3"/>
      <c r="C109" s="3"/>
      <c r="D109" s="3"/>
      <c r="E109" s="3"/>
      <c r="F109" s="3"/>
      <c r="G109" s="3"/>
      <c r="H109" s="3"/>
      <c r="I109" s="3"/>
      <c r="J109" s="3"/>
      <c r="K109" s="3"/>
      <c r="L109" s="3"/>
      <c r="M109" s="3"/>
      <c r="N109" s="3"/>
      <c r="O109" s="3"/>
      <c r="P109" s="3"/>
      <c r="Q109" s="3"/>
      <c r="R109" s="3"/>
      <c r="S109" s="3"/>
      <c r="T109" s="3"/>
      <c r="U109" s="3"/>
      <c r="V109" s="3"/>
      <c r="W109" s="3"/>
      <c r="X109" s="1"/>
      <c r="Y109" s="1"/>
      <c r="Z109" s="1"/>
    </row>
    <row r="110" ht="12.75" customHeight="1">
      <c r="A110" s="1"/>
      <c r="B110" s="3"/>
      <c r="C110" s="3"/>
      <c r="D110" s="3"/>
      <c r="E110" s="3"/>
      <c r="F110" s="3"/>
      <c r="G110" s="3"/>
      <c r="H110" s="3"/>
      <c r="I110" s="3"/>
      <c r="J110" s="3"/>
      <c r="K110" s="3"/>
      <c r="L110" s="3"/>
      <c r="M110" s="3"/>
      <c r="N110" s="3"/>
      <c r="O110" s="3"/>
      <c r="P110" s="3"/>
      <c r="Q110" s="3"/>
      <c r="R110" s="3"/>
      <c r="S110" s="3"/>
      <c r="T110" s="3"/>
      <c r="U110" s="3"/>
      <c r="V110" s="3"/>
      <c r="W110" s="3"/>
      <c r="X110" s="1"/>
      <c r="Y110" s="1"/>
      <c r="Z110" s="1"/>
    </row>
    <row r="111" ht="12.75" customHeight="1">
      <c r="A111" s="1"/>
      <c r="B111" s="3"/>
      <c r="C111" s="3"/>
      <c r="D111" s="3"/>
      <c r="E111" s="3"/>
      <c r="F111" s="3"/>
      <c r="G111" s="3"/>
      <c r="H111" s="3"/>
      <c r="I111" s="3"/>
      <c r="J111" s="3"/>
      <c r="K111" s="3"/>
      <c r="L111" s="3"/>
      <c r="M111" s="3"/>
      <c r="N111" s="3"/>
      <c r="O111" s="3"/>
      <c r="P111" s="3"/>
      <c r="Q111" s="3"/>
      <c r="R111" s="3"/>
      <c r="S111" s="3"/>
      <c r="T111" s="3"/>
      <c r="U111" s="3"/>
      <c r="V111" s="3"/>
      <c r="W111" s="3"/>
      <c r="X111" s="1"/>
      <c r="Y111" s="1"/>
      <c r="Z111" s="1"/>
    </row>
    <row r="112" ht="12.75" customHeight="1">
      <c r="A112" s="1"/>
      <c r="B112" s="3"/>
      <c r="C112" s="3"/>
      <c r="D112" s="3"/>
      <c r="E112" s="3"/>
      <c r="F112" s="3"/>
      <c r="G112" s="3"/>
      <c r="H112" s="3"/>
      <c r="I112" s="3"/>
      <c r="J112" s="3"/>
      <c r="K112" s="3"/>
      <c r="L112" s="3"/>
      <c r="M112" s="3"/>
      <c r="N112" s="3"/>
      <c r="O112" s="3"/>
      <c r="P112" s="3"/>
      <c r="Q112" s="3"/>
      <c r="R112" s="3"/>
      <c r="S112" s="3"/>
      <c r="T112" s="3"/>
      <c r="U112" s="3"/>
      <c r="V112" s="3"/>
      <c r="W112" s="3"/>
      <c r="X112" s="1"/>
      <c r="Y112" s="1"/>
      <c r="Z112" s="1"/>
    </row>
    <row r="113" ht="12.75" customHeight="1">
      <c r="A113" s="1"/>
      <c r="B113" s="3"/>
      <c r="C113" s="3"/>
      <c r="D113" s="3"/>
      <c r="E113" s="3"/>
      <c r="F113" s="3"/>
      <c r="G113" s="3"/>
      <c r="H113" s="3"/>
      <c r="I113" s="3"/>
      <c r="J113" s="3"/>
      <c r="K113" s="3"/>
      <c r="L113" s="3"/>
      <c r="M113" s="3"/>
      <c r="N113" s="3"/>
      <c r="O113" s="3"/>
      <c r="P113" s="3"/>
      <c r="Q113" s="3"/>
      <c r="R113" s="3"/>
      <c r="S113" s="3"/>
      <c r="T113" s="3"/>
      <c r="U113" s="3"/>
      <c r="V113" s="3"/>
      <c r="W113" s="3"/>
      <c r="X113" s="1"/>
      <c r="Y113" s="1"/>
      <c r="Z113" s="1"/>
    </row>
    <row r="114" ht="12.75" customHeight="1">
      <c r="A114" s="1"/>
      <c r="B114" s="3"/>
      <c r="C114" s="3"/>
      <c r="D114" s="3"/>
      <c r="E114" s="3"/>
      <c r="F114" s="3"/>
      <c r="G114" s="3"/>
      <c r="H114" s="3"/>
      <c r="I114" s="3"/>
      <c r="J114" s="3"/>
      <c r="K114" s="3"/>
      <c r="L114" s="3"/>
      <c r="M114" s="3"/>
      <c r="N114" s="3"/>
      <c r="O114" s="3"/>
      <c r="P114" s="3"/>
      <c r="Q114" s="3"/>
      <c r="R114" s="3"/>
      <c r="S114" s="3"/>
      <c r="T114" s="3"/>
      <c r="U114" s="3"/>
      <c r="V114" s="3"/>
      <c r="W114" s="3"/>
      <c r="X114" s="1"/>
      <c r="Y114" s="1"/>
      <c r="Z114" s="1"/>
    </row>
    <row r="115" ht="12.75" customHeight="1">
      <c r="A115" s="1"/>
      <c r="B115" s="3"/>
      <c r="C115" s="3"/>
      <c r="D115" s="3"/>
      <c r="E115" s="3"/>
      <c r="F115" s="3"/>
      <c r="G115" s="3"/>
      <c r="H115" s="3"/>
      <c r="I115" s="3"/>
      <c r="J115" s="3"/>
      <c r="K115" s="3"/>
      <c r="L115" s="3"/>
      <c r="M115" s="3"/>
      <c r="N115" s="3"/>
      <c r="O115" s="3"/>
      <c r="P115" s="3"/>
      <c r="Q115" s="3"/>
      <c r="R115" s="3"/>
      <c r="S115" s="3"/>
      <c r="T115" s="3"/>
      <c r="U115" s="3"/>
      <c r="V115" s="3"/>
      <c r="W115" s="3"/>
      <c r="X115" s="1"/>
      <c r="Y115" s="1"/>
      <c r="Z115" s="1"/>
    </row>
    <row r="116" ht="12.75" customHeight="1">
      <c r="A116" s="1"/>
      <c r="B116" s="3"/>
      <c r="C116" s="3"/>
      <c r="D116" s="3"/>
      <c r="E116" s="3"/>
      <c r="F116" s="3"/>
      <c r="G116" s="3"/>
      <c r="H116" s="3"/>
      <c r="I116" s="3"/>
      <c r="J116" s="3"/>
      <c r="K116" s="3"/>
      <c r="L116" s="3"/>
      <c r="M116" s="3"/>
      <c r="N116" s="3"/>
      <c r="O116" s="3"/>
      <c r="P116" s="3"/>
      <c r="Q116" s="3"/>
      <c r="R116" s="3"/>
      <c r="S116" s="3"/>
      <c r="T116" s="3"/>
      <c r="U116" s="3"/>
      <c r="V116" s="3"/>
      <c r="W116" s="3"/>
      <c r="X116" s="1"/>
      <c r="Y116" s="1"/>
      <c r="Z116" s="1"/>
    </row>
    <row r="117" ht="12.75" customHeight="1">
      <c r="A117" s="1"/>
      <c r="B117" s="3"/>
      <c r="C117" s="3"/>
      <c r="D117" s="3"/>
      <c r="E117" s="3"/>
      <c r="F117" s="3"/>
      <c r="G117" s="3"/>
      <c r="H117" s="3"/>
      <c r="I117" s="3"/>
      <c r="J117" s="3"/>
      <c r="K117" s="3"/>
      <c r="L117" s="3"/>
      <c r="M117" s="3"/>
      <c r="N117" s="3"/>
      <c r="O117" s="3"/>
      <c r="P117" s="3"/>
      <c r="Q117" s="3"/>
      <c r="R117" s="3"/>
      <c r="S117" s="3"/>
      <c r="T117" s="3"/>
      <c r="U117" s="3"/>
      <c r="V117" s="3"/>
      <c r="W117" s="3"/>
      <c r="X117" s="1"/>
      <c r="Y117" s="1"/>
      <c r="Z117" s="1"/>
    </row>
    <row r="118" ht="12.75" customHeight="1">
      <c r="A118" s="1"/>
      <c r="B118" s="3"/>
      <c r="C118" s="3"/>
      <c r="D118" s="3"/>
      <c r="E118" s="3"/>
      <c r="F118" s="3"/>
      <c r="G118" s="3"/>
      <c r="H118" s="3"/>
      <c r="I118" s="3"/>
      <c r="J118" s="3"/>
      <c r="K118" s="3"/>
      <c r="L118" s="3"/>
      <c r="M118" s="3"/>
      <c r="N118" s="3"/>
      <c r="O118" s="3"/>
      <c r="P118" s="3"/>
      <c r="Q118" s="3"/>
      <c r="R118" s="3"/>
      <c r="S118" s="3"/>
      <c r="T118" s="3"/>
      <c r="U118" s="3"/>
      <c r="V118" s="3"/>
      <c r="W118" s="3"/>
      <c r="X118" s="1"/>
      <c r="Y118" s="1"/>
      <c r="Z118" s="1"/>
    </row>
    <row r="119" ht="12.75" customHeight="1">
      <c r="A119" s="1"/>
      <c r="B119" s="3"/>
      <c r="C119" s="3"/>
      <c r="D119" s="3"/>
      <c r="E119" s="3"/>
      <c r="F119" s="3"/>
      <c r="G119" s="3"/>
      <c r="H119" s="3"/>
      <c r="I119" s="3"/>
      <c r="J119" s="3"/>
      <c r="K119" s="3"/>
      <c r="L119" s="3"/>
      <c r="M119" s="3"/>
      <c r="N119" s="3"/>
      <c r="O119" s="3"/>
      <c r="P119" s="3"/>
      <c r="Q119" s="3"/>
      <c r="R119" s="3"/>
      <c r="S119" s="3"/>
      <c r="T119" s="3"/>
      <c r="U119" s="3"/>
      <c r="V119" s="3"/>
      <c r="W119" s="3"/>
      <c r="X119" s="1"/>
      <c r="Y119" s="1"/>
      <c r="Z119" s="1"/>
    </row>
    <row r="120" ht="12.75" customHeight="1">
      <c r="A120" s="1"/>
      <c r="B120" s="3"/>
      <c r="C120" s="3"/>
      <c r="D120" s="3"/>
      <c r="E120" s="3"/>
      <c r="F120" s="3"/>
      <c r="G120" s="3"/>
      <c r="H120" s="3"/>
      <c r="I120" s="3"/>
      <c r="J120" s="3"/>
      <c r="K120" s="3"/>
      <c r="L120" s="3"/>
      <c r="M120" s="3"/>
      <c r="N120" s="3"/>
      <c r="O120" s="3"/>
      <c r="P120" s="3"/>
      <c r="Q120" s="3"/>
      <c r="R120" s="3"/>
      <c r="S120" s="3"/>
      <c r="T120" s="3"/>
      <c r="U120" s="3"/>
      <c r="V120" s="3"/>
      <c r="W120" s="3"/>
      <c r="X120" s="1"/>
      <c r="Y120" s="1"/>
      <c r="Z120" s="1"/>
    </row>
    <row r="121" ht="12.75" customHeight="1">
      <c r="A121" s="1"/>
      <c r="B121" s="3"/>
      <c r="C121" s="3"/>
      <c r="D121" s="3"/>
      <c r="E121" s="3"/>
      <c r="F121" s="3"/>
      <c r="G121" s="3"/>
      <c r="H121" s="3"/>
      <c r="I121" s="3"/>
      <c r="J121" s="3"/>
      <c r="K121" s="3"/>
      <c r="L121" s="3"/>
      <c r="M121" s="3"/>
      <c r="N121" s="3"/>
      <c r="O121" s="3"/>
      <c r="P121" s="3"/>
      <c r="Q121" s="3"/>
      <c r="R121" s="3"/>
      <c r="S121" s="3"/>
      <c r="T121" s="3"/>
      <c r="U121" s="3"/>
      <c r="V121" s="3"/>
      <c r="W121" s="3"/>
      <c r="X121" s="1"/>
      <c r="Y121" s="1"/>
      <c r="Z121" s="1"/>
    </row>
    <row r="122" ht="12.75" customHeight="1">
      <c r="A122" s="1"/>
      <c r="B122" s="3"/>
      <c r="C122" s="3"/>
      <c r="D122" s="3"/>
      <c r="E122" s="3"/>
      <c r="F122" s="3"/>
      <c r="G122" s="3"/>
      <c r="H122" s="3"/>
      <c r="I122" s="3"/>
      <c r="J122" s="3"/>
      <c r="K122" s="3"/>
      <c r="L122" s="3"/>
      <c r="M122" s="3"/>
      <c r="N122" s="3"/>
      <c r="O122" s="3"/>
      <c r="P122" s="3"/>
      <c r="Q122" s="3"/>
      <c r="R122" s="3"/>
      <c r="S122" s="3"/>
      <c r="T122" s="3"/>
      <c r="U122" s="3"/>
      <c r="V122" s="3"/>
      <c r="W122" s="3"/>
      <c r="X122" s="1"/>
      <c r="Y122" s="1"/>
      <c r="Z122" s="1"/>
    </row>
    <row r="123" ht="12.75" customHeight="1">
      <c r="A123" s="1"/>
      <c r="B123" s="3"/>
      <c r="C123" s="3"/>
      <c r="D123" s="3"/>
      <c r="E123" s="3"/>
      <c r="F123" s="3"/>
      <c r="G123" s="3"/>
      <c r="H123" s="3"/>
      <c r="I123" s="3"/>
      <c r="J123" s="3"/>
      <c r="K123" s="3"/>
      <c r="L123" s="3"/>
      <c r="M123" s="3"/>
      <c r="N123" s="3"/>
      <c r="O123" s="3"/>
      <c r="P123" s="3"/>
      <c r="Q123" s="3"/>
      <c r="R123" s="3"/>
      <c r="S123" s="3"/>
      <c r="T123" s="3"/>
      <c r="U123" s="3"/>
      <c r="V123" s="3"/>
      <c r="W123" s="3"/>
      <c r="X123" s="1"/>
      <c r="Y123" s="1"/>
      <c r="Z123" s="1"/>
    </row>
    <row r="124" ht="12.75" customHeight="1">
      <c r="A124" s="1"/>
      <c r="B124" s="3"/>
      <c r="C124" s="3"/>
      <c r="D124" s="3"/>
      <c r="E124" s="3"/>
      <c r="F124" s="3"/>
      <c r="G124" s="3"/>
      <c r="H124" s="3"/>
      <c r="I124" s="3"/>
      <c r="J124" s="3"/>
      <c r="K124" s="3"/>
      <c r="L124" s="3"/>
      <c r="M124" s="3"/>
      <c r="N124" s="3"/>
      <c r="O124" s="3"/>
      <c r="P124" s="3"/>
      <c r="Q124" s="3"/>
      <c r="R124" s="3"/>
      <c r="S124" s="3"/>
      <c r="T124" s="3"/>
      <c r="U124" s="3"/>
      <c r="V124" s="3"/>
      <c r="W124" s="3"/>
      <c r="X124" s="1"/>
      <c r="Y124" s="1"/>
      <c r="Z124" s="1"/>
    </row>
    <row r="125" ht="12.75" customHeight="1">
      <c r="A125" s="1"/>
      <c r="B125" s="3"/>
      <c r="C125" s="3"/>
      <c r="D125" s="3"/>
      <c r="E125" s="3"/>
      <c r="F125" s="3"/>
      <c r="G125" s="3"/>
      <c r="H125" s="3"/>
      <c r="I125" s="3"/>
      <c r="J125" s="3"/>
      <c r="K125" s="3"/>
      <c r="L125" s="3"/>
      <c r="M125" s="3"/>
      <c r="N125" s="3"/>
      <c r="O125" s="3"/>
      <c r="P125" s="3"/>
      <c r="Q125" s="3"/>
      <c r="R125" s="3"/>
      <c r="S125" s="3"/>
      <c r="T125" s="3"/>
      <c r="U125" s="3"/>
      <c r="V125" s="3"/>
      <c r="W125" s="3"/>
      <c r="X125" s="1"/>
      <c r="Y125" s="1"/>
      <c r="Z125" s="1"/>
    </row>
    <row r="126" ht="12.75" customHeight="1">
      <c r="A126" s="1"/>
      <c r="B126" s="3"/>
      <c r="C126" s="3"/>
      <c r="D126" s="3"/>
      <c r="E126" s="3"/>
      <c r="F126" s="3"/>
      <c r="G126" s="3"/>
      <c r="H126" s="3"/>
      <c r="I126" s="3"/>
      <c r="J126" s="3"/>
      <c r="K126" s="3"/>
      <c r="L126" s="3"/>
      <c r="M126" s="3"/>
      <c r="N126" s="3"/>
      <c r="O126" s="3"/>
      <c r="P126" s="3"/>
      <c r="Q126" s="3"/>
      <c r="R126" s="3"/>
      <c r="S126" s="3"/>
      <c r="T126" s="3"/>
      <c r="U126" s="3"/>
      <c r="V126" s="3"/>
      <c r="W126" s="3"/>
      <c r="X126" s="1"/>
      <c r="Y126" s="1"/>
      <c r="Z126" s="1"/>
    </row>
    <row r="127" ht="12.75" customHeight="1">
      <c r="A127" s="1"/>
      <c r="B127" s="3"/>
      <c r="C127" s="3"/>
      <c r="D127" s="3"/>
      <c r="E127" s="3"/>
      <c r="F127" s="3"/>
      <c r="G127" s="3"/>
      <c r="H127" s="3"/>
      <c r="I127" s="3"/>
      <c r="J127" s="3"/>
      <c r="K127" s="3"/>
      <c r="L127" s="3"/>
      <c r="M127" s="3"/>
      <c r="N127" s="3"/>
      <c r="O127" s="3"/>
      <c r="P127" s="3"/>
      <c r="Q127" s="3"/>
      <c r="R127" s="3"/>
      <c r="S127" s="3"/>
      <c r="T127" s="3"/>
      <c r="U127" s="3"/>
      <c r="V127" s="3"/>
      <c r="W127" s="3"/>
      <c r="X127" s="1"/>
      <c r="Y127" s="1"/>
      <c r="Z127" s="1"/>
    </row>
    <row r="128" ht="12.75" customHeight="1">
      <c r="A128" s="1"/>
      <c r="B128" s="3"/>
      <c r="C128" s="3"/>
      <c r="D128" s="3"/>
      <c r="E128" s="3"/>
      <c r="F128" s="3"/>
      <c r="G128" s="3"/>
      <c r="H128" s="3"/>
      <c r="I128" s="3"/>
      <c r="J128" s="3"/>
      <c r="K128" s="3"/>
      <c r="L128" s="3"/>
      <c r="M128" s="3"/>
      <c r="N128" s="3"/>
      <c r="O128" s="3"/>
      <c r="P128" s="3"/>
      <c r="Q128" s="3"/>
      <c r="R128" s="3"/>
      <c r="S128" s="3"/>
      <c r="T128" s="3"/>
      <c r="U128" s="3"/>
      <c r="V128" s="3"/>
      <c r="W128" s="3"/>
      <c r="X128" s="1"/>
      <c r="Y128" s="1"/>
      <c r="Z128" s="1"/>
    </row>
    <row r="129" ht="12.75" customHeight="1">
      <c r="A129" s="1"/>
      <c r="B129" s="3"/>
      <c r="C129" s="3"/>
      <c r="D129" s="3"/>
      <c r="E129" s="3"/>
      <c r="F129" s="3"/>
      <c r="G129" s="3"/>
      <c r="H129" s="3"/>
      <c r="I129" s="3"/>
      <c r="J129" s="3"/>
      <c r="K129" s="3"/>
      <c r="L129" s="3"/>
      <c r="M129" s="3"/>
      <c r="N129" s="3"/>
      <c r="O129" s="3"/>
      <c r="P129" s="3"/>
      <c r="Q129" s="3"/>
      <c r="R129" s="3"/>
      <c r="S129" s="3"/>
      <c r="T129" s="3"/>
      <c r="U129" s="3"/>
      <c r="V129" s="3"/>
      <c r="W129" s="3"/>
      <c r="X129" s="1"/>
      <c r="Y129" s="1"/>
      <c r="Z129" s="1"/>
    </row>
    <row r="130" ht="12.75" customHeight="1">
      <c r="A130" s="1"/>
      <c r="B130" s="3"/>
      <c r="C130" s="3"/>
      <c r="D130" s="3"/>
      <c r="E130" s="3"/>
      <c r="F130" s="3"/>
      <c r="G130" s="3"/>
      <c r="H130" s="3"/>
      <c r="I130" s="3"/>
      <c r="J130" s="3"/>
      <c r="K130" s="3"/>
      <c r="L130" s="3"/>
      <c r="M130" s="3"/>
      <c r="N130" s="3"/>
      <c r="O130" s="3"/>
      <c r="P130" s="3"/>
      <c r="Q130" s="3"/>
      <c r="R130" s="3"/>
      <c r="S130" s="3"/>
      <c r="T130" s="3"/>
      <c r="U130" s="3"/>
      <c r="V130" s="3"/>
      <c r="W130" s="3"/>
      <c r="X130" s="1"/>
      <c r="Y130" s="1"/>
      <c r="Z130" s="1"/>
    </row>
    <row r="131" ht="12.75" customHeight="1">
      <c r="A131" s="1"/>
      <c r="B131" s="3"/>
      <c r="C131" s="3"/>
      <c r="D131" s="3"/>
      <c r="E131" s="3"/>
      <c r="F131" s="3"/>
      <c r="G131" s="3"/>
      <c r="H131" s="3"/>
      <c r="I131" s="3"/>
      <c r="J131" s="3"/>
      <c r="K131" s="3"/>
      <c r="L131" s="3"/>
      <c r="M131" s="3"/>
      <c r="N131" s="3"/>
      <c r="O131" s="3"/>
      <c r="P131" s="3"/>
      <c r="Q131" s="3"/>
      <c r="R131" s="3"/>
      <c r="S131" s="3"/>
      <c r="T131" s="3"/>
      <c r="U131" s="3"/>
      <c r="V131" s="3"/>
      <c r="W131" s="3"/>
      <c r="X131" s="1"/>
      <c r="Y131" s="1"/>
      <c r="Z131" s="1"/>
    </row>
    <row r="132" ht="12.75" customHeight="1">
      <c r="A132" s="1"/>
      <c r="B132" s="3"/>
      <c r="C132" s="3"/>
      <c r="D132" s="3"/>
      <c r="E132" s="3"/>
      <c r="F132" s="3"/>
      <c r="G132" s="3"/>
      <c r="H132" s="3"/>
      <c r="I132" s="3"/>
      <c r="J132" s="3"/>
      <c r="K132" s="3"/>
      <c r="L132" s="3"/>
      <c r="M132" s="3"/>
      <c r="N132" s="3"/>
      <c r="O132" s="3"/>
      <c r="P132" s="3"/>
      <c r="Q132" s="3"/>
      <c r="R132" s="3"/>
      <c r="S132" s="3"/>
      <c r="T132" s="3"/>
      <c r="U132" s="3"/>
      <c r="V132" s="3"/>
      <c r="W132" s="3"/>
      <c r="X132" s="1"/>
      <c r="Y132" s="1"/>
      <c r="Z132" s="1"/>
    </row>
    <row r="133" ht="12.75" customHeight="1">
      <c r="A133" s="1"/>
      <c r="B133" s="3"/>
      <c r="C133" s="3"/>
      <c r="D133" s="3"/>
      <c r="E133" s="3"/>
      <c r="F133" s="3"/>
      <c r="G133" s="3"/>
      <c r="H133" s="3"/>
      <c r="I133" s="3"/>
      <c r="J133" s="3"/>
      <c r="K133" s="3"/>
      <c r="L133" s="3"/>
      <c r="M133" s="3"/>
      <c r="N133" s="3"/>
      <c r="O133" s="3"/>
      <c r="P133" s="3"/>
      <c r="Q133" s="3"/>
      <c r="R133" s="3"/>
      <c r="S133" s="3"/>
      <c r="T133" s="3"/>
      <c r="U133" s="3"/>
      <c r="V133" s="3"/>
      <c r="W133" s="3"/>
      <c r="X133" s="1"/>
      <c r="Y133" s="1"/>
      <c r="Z133" s="1"/>
    </row>
    <row r="134" ht="12.75" customHeight="1">
      <c r="A134" s="1"/>
      <c r="B134" s="3"/>
      <c r="C134" s="3"/>
      <c r="D134" s="3"/>
      <c r="E134" s="3"/>
      <c r="F134" s="3"/>
      <c r="G134" s="3"/>
      <c r="H134" s="3"/>
      <c r="I134" s="3"/>
      <c r="J134" s="3"/>
      <c r="K134" s="3"/>
      <c r="L134" s="3"/>
      <c r="M134" s="3"/>
      <c r="N134" s="3"/>
      <c r="O134" s="3"/>
      <c r="P134" s="3"/>
      <c r="Q134" s="3"/>
      <c r="R134" s="3"/>
      <c r="S134" s="3"/>
      <c r="T134" s="3"/>
      <c r="U134" s="3"/>
      <c r="V134" s="3"/>
      <c r="W134" s="3"/>
      <c r="X134" s="1"/>
      <c r="Y134" s="1"/>
      <c r="Z134" s="1"/>
    </row>
    <row r="135" ht="12.75" customHeight="1">
      <c r="A135" s="1"/>
      <c r="B135" s="3"/>
      <c r="C135" s="3"/>
      <c r="D135" s="3"/>
      <c r="E135" s="3"/>
      <c r="F135" s="3"/>
      <c r="G135" s="3"/>
      <c r="H135" s="3"/>
      <c r="I135" s="3"/>
      <c r="J135" s="3"/>
      <c r="K135" s="3"/>
      <c r="L135" s="3"/>
      <c r="M135" s="3"/>
      <c r="N135" s="3"/>
      <c r="O135" s="3"/>
      <c r="P135" s="3"/>
      <c r="Q135" s="3"/>
      <c r="R135" s="3"/>
      <c r="S135" s="3"/>
      <c r="T135" s="3"/>
      <c r="U135" s="3"/>
      <c r="V135" s="3"/>
      <c r="W135" s="3"/>
      <c r="X135" s="1"/>
      <c r="Y135" s="1"/>
      <c r="Z135" s="1"/>
    </row>
    <row r="136" ht="12.75" customHeight="1">
      <c r="A136" s="1"/>
      <c r="B136" s="3"/>
      <c r="C136" s="3"/>
      <c r="D136" s="3"/>
      <c r="E136" s="3"/>
      <c r="F136" s="3"/>
      <c r="G136" s="3"/>
      <c r="H136" s="3"/>
      <c r="I136" s="3"/>
      <c r="J136" s="3"/>
      <c r="K136" s="3"/>
      <c r="L136" s="3"/>
      <c r="M136" s="3"/>
      <c r="N136" s="3"/>
      <c r="O136" s="3"/>
      <c r="P136" s="3"/>
      <c r="Q136" s="3"/>
      <c r="R136" s="3"/>
      <c r="S136" s="3"/>
      <c r="T136" s="3"/>
      <c r="U136" s="3"/>
      <c r="V136" s="3"/>
      <c r="W136" s="3"/>
      <c r="X136" s="1"/>
      <c r="Y136" s="1"/>
      <c r="Z136" s="1"/>
    </row>
    <row r="137" ht="12.75" customHeight="1">
      <c r="A137" s="1"/>
      <c r="B137" s="3"/>
      <c r="C137" s="3"/>
      <c r="D137" s="3"/>
      <c r="E137" s="3"/>
      <c r="F137" s="3"/>
      <c r="G137" s="3"/>
      <c r="H137" s="3"/>
      <c r="I137" s="3"/>
      <c r="J137" s="3"/>
      <c r="K137" s="3"/>
      <c r="L137" s="3"/>
      <c r="M137" s="3"/>
      <c r="N137" s="3"/>
      <c r="O137" s="3"/>
      <c r="P137" s="3"/>
      <c r="Q137" s="3"/>
      <c r="R137" s="3"/>
      <c r="S137" s="3"/>
      <c r="T137" s="3"/>
      <c r="U137" s="3"/>
      <c r="V137" s="3"/>
      <c r="W137" s="3"/>
      <c r="X137" s="1"/>
      <c r="Y137" s="1"/>
      <c r="Z137" s="1"/>
    </row>
    <row r="138" ht="12.75" customHeight="1">
      <c r="A138" s="1"/>
      <c r="B138" s="3"/>
      <c r="C138" s="3"/>
      <c r="D138" s="3"/>
      <c r="E138" s="3"/>
      <c r="F138" s="3"/>
      <c r="G138" s="3"/>
      <c r="H138" s="3"/>
      <c r="I138" s="3"/>
      <c r="J138" s="3"/>
      <c r="K138" s="3"/>
      <c r="L138" s="3"/>
      <c r="M138" s="3"/>
      <c r="N138" s="3"/>
      <c r="O138" s="3"/>
      <c r="P138" s="3"/>
      <c r="Q138" s="3"/>
      <c r="R138" s="3"/>
      <c r="S138" s="3"/>
      <c r="T138" s="3"/>
      <c r="U138" s="3"/>
      <c r="V138" s="3"/>
      <c r="W138" s="3"/>
      <c r="X138" s="1"/>
      <c r="Y138" s="1"/>
      <c r="Z138" s="1"/>
    </row>
    <row r="139" ht="12.75" customHeight="1">
      <c r="A139" s="1"/>
      <c r="B139" s="3"/>
      <c r="C139" s="3"/>
      <c r="D139" s="3"/>
      <c r="E139" s="3"/>
      <c r="F139" s="3"/>
      <c r="G139" s="3"/>
      <c r="H139" s="3"/>
      <c r="I139" s="3"/>
      <c r="J139" s="3"/>
      <c r="K139" s="3"/>
      <c r="L139" s="3"/>
      <c r="M139" s="3"/>
      <c r="N139" s="3"/>
      <c r="O139" s="3"/>
      <c r="P139" s="3"/>
      <c r="Q139" s="3"/>
      <c r="R139" s="3"/>
      <c r="S139" s="3"/>
      <c r="T139" s="3"/>
      <c r="U139" s="3"/>
      <c r="V139" s="3"/>
      <c r="W139" s="3"/>
      <c r="X139" s="1"/>
      <c r="Y139" s="1"/>
      <c r="Z139" s="1"/>
    </row>
    <row r="140" ht="12.75" customHeight="1">
      <c r="A140" s="1"/>
      <c r="B140" s="3"/>
      <c r="C140" s="3"/>
      <c r="D140" s="3"/>
      <c r="E140" s="3"/>
      <c r="F140" s="3"/>
      <c r="G140" s="3"/>
      <c r="H140" s="3"/>
      <c r="I140" s="3"/>
      <c r="J140" s="3"/>
      <c r="K140" s="3"/>
      <c r="L140" s="3"/>
      <c r="M140" s="3"/>
      <c r="N140" s="3"/>
      <c r="O140" s="3"/>
      <c r="P140" s="3"/>
      <c r="Q140" s="3"/>
      <c r="R140" s="3"/>
      <c r="S140" s="3"/>
      <c r="T140" s="3"/>
      <c r="U140" s="3"/>
      <c r="V140" s="3"/>
      <c r="W140" s="3"/>
      <c r="X140" s="1"/>
      <c r="Y140" s="1"/>
      <c r="Z140" s="1"/>
    </row>
    <row r="141" ht="12.75" customHeight="1">
      <c r="A141" s="1"/>
      <c r="B141" s="3"/>
      <c r="C141" s="3"/>
      <c r="D141" s="3"/>
      <c r="E141" s="3"/>
      <c r="F141" s="3"/>
      <c r="G141" s="3"/>
      <c r="H141" s="3"/>
      <c r="I141" s="3"/>
      <c r="J141" s="3"/>
      <c r="K141" s="3"/>
      <c r="L141" s="3"/>
      <c r="M141" s="3"/>
      <c r="N141" s="3"/>
      <c r="O141" s="3"/>
      <c r="P141" s="3"/>
      <c r="Q141" s="3"/>
      <c r="R141" s="3"/>
      <c r="S141" s="3"/>
      <c r="T141" s="3"/>
      <c r="U141" s="3"/>
      <c r="V141" s="3"/>
      <c r="W141" s="3"/>
      <c r="X141" s="1"/>
      <c r="Y141" s="1"/>
      <c r="Z141" s="1"/>
    </row>
    <row r="142" ht="12.75" customHeight="1">
      <c r="A142" s="1"/>
      <c r="B142" s="3"/>
      <c r="C142" s="3"/>
      <c r="D142" s="3"/>
      <c r="E142" s="3"/>
      <c r="F142" s="3"/>
      <c r="G142" s="3"/>
      <c r="H142" s="3"/>
      <c r="I142" s="3"/>
      <c r="J142" s="3"/>
      <c r="K142" s="3"/>
      <c r="L142" s="3"/>
      <c r="M142" s="3"/>
      <c r="N142" s="3"/>
      <c r="O142" s="3"/>
      <c r="P142" s="3"/>
      <c r="Q142" s="3"/>
      <c r="R142" s="3"/>
      <c r="S142" s="3"/>
      <c r="T142" s="3"/>
      <c r="U142" s="3"/>
      <c r="V142" s="3"/>
      <c r="W142" s="3"/>
      <c r="X142" s="1"/>
      <c r="Y142" s="1"/>
      <c r="Z142" s="1"/>
    </row>
    <row r="143" ht="12.75" customHeight="1">
      <c r="A143" s="1"/>
      <c r="B143" s="3"/>
      <c r="C143" s="3"/>
      <c r="D143" s="3"/>
      <c r="E143" s="3"/>
      <c r="F143" s="3"/>
      <c r="G143" s="3"/>
      <c r="H143" s="3"/>
      <c r="I143" s="3"/>
      <c r="J143" s="3"/>
      <c r="K143" s="3"/>
      <c r="L143" s="3"/>
      <c r="M143" s="3"/>
      <c r="N143" s="3"/>
      <c r="O143" s="3"/>
      <c r="P143" s="3"/>
      <c r="Q143" s="3"/>
      <c r="R143" s="3"/>
      <c r="S143" s="3"/>
      <c r="T143" s="3"/>
      <c r="U143" s="3"/>
      <c r="V143" s="3"/>
      <c r="W143" s="3"/>
      <c r="X143" s="1"/>
      <c r="Y143" s="1"/>
      <c r="Z143" s="1"/>
    </row>
    <row r="144" ht="12.75" customHeight="1">
      <c r="A144" s="1"/>
      <c r="B144" s="3"/>
      <c r="C144" s="3"/>
      <c r="D144" s="3"/>
      <c r="E144" s="3"/>
      <c r="F144" s="3"/>
      <c r="G144" s="3"/>
      <c r="H144" s="3"/>
      <c r="I144" s="3"/>
      <c r="J144" s="3"/>
      <c r="K144" s="3"/>
      <c r="L144" s="3"/>
      <c r="M144" s="3"/>
      <c r="N144" s="3"/>
      <c r="O144" s="3"/>
      <c r="P144" s="3"/>
      <c r="Q144" s="3"/>
      <c r="R144" s="3"/>
      <c r="S144" s="3"/>
      <c r="T144" s="3"/>
      <c r="U144" s="3"/>
      <c r="V144" s="3"/>
      <c r="W144" s="3"/>
      <c r="X144" s="1"/>
      <c r="Y144" s="1"/>
      <c r="Z144" s="1"/>
    </row>
    <row r="145" ht="12.75" customHeight="1">
      <c r="A145" s="1"/>
      <c r="B145" s="3"/>
      <c r="C145" s="3"/>
      <c r="D145" s="3"/>
      <c r="E145" s="3"/>
      <c r="F145" s="3"/>
      <c r="G145" s="3"/>
      <c r="H145" s="3"/>
      <c r="I145" s="3"/>
      <c r="J145" s="3"/>
      <c r="K145" s="3"/>
      <c r="L145" s="3"/>
      <c r="M145" s="3"/>
      <c r="N145" s="3"/>
      <c r="O145" s="3"/>
      <c r="P145" s="3"/>
      <c r="Q145" s="3"/>
      <c r="R145" s="3"/>
      <c r="S145" s="3"/>
      <c r="T145" s="3"/>
      <c r="U145" s="3"/>
      <c r="V145" s="3"/>
      <c r="W145" s="3"/>
      <c r="X145" s="1"/>
      <c r="Y145" s="1"/>
      <c r="Z145" s="1"/>
    </row>
    <row r="146" ht="12.75" customHeight="1">
      <c r="A146" s="1"/>
      <c r="B146" s="3"/>
      <c r="C146" s="3"/>
      <c r="D146" s="3"/>
      <c r="E146" s="3"/>
      <c r="F146" s="3"/>
      <c r="G146" s="3"/>
      <c r="H146" s="3"/>
      <c r="I146" s="3"/>
      <c r="J146" s="3"/>
      <c r="K146" s="3"/>
      <c r="L146" s="3"/>
      <c r="M146" s="3"/>
      <c r="N146" s="3"/>
      <c r="O146" s="3"/>
      <c r="P146" s="3"/>
      <c r="Q146" s="3"/>
      <c r="R146" s="3"/>
      <c r="S146" s="3"/>
      <c r="T146" s="3"/>
      <c r="U146" s="3"/>
      <c r="V146" s="3"/>
      <c r="W146" s="3"/>
      <c r="X146" s="1"/>
      <c r="Y146" s="1"/>
      <c r="Z146" s="1"/>
    </row>
    <row r="147" ht="12.75" customHeight="1">
      <c r="A147" s="1"/>
      <c r="B147" s="3"/>
      <c r="C147" s="3"/>
      <c r="D147" s="3"/>
      <c r="E147" s="3"/>
      <c r="F147" s="3"/>
      <c r="G147" s="3"/>
      <c r="H147" s="3"/>
      <c r="I147" s="3"/>
      <c r="J147" s="3"/>
      <c r="K147" s="3"/>
      <c r="L147" s="3"/>
      <c r="M147" s="3"/>
      <c r="N147" s="3"/>
      <c r="O147" s="3"/>
      <c r="P147" s="3"/>
      <c r="Q147" s="3"/>
      <c r="R147" s="3"/>
      <c r="S147" s="3"/>
      <c r="T147" s="3"/>
      <c r="U147" s="3"/>
      <c r="V147" s="3"/>
      <c r="W147" s="3"/>
      <c r="X147" s="1"/>
      <c r="Y147" s="1"/>
      <c r="Z147" s="1"/>
    </row>
    <row r="148" ht="12.75" customHeight="1">
      <c r="A148" s="1"/>
      <c r="B148" s="3"/>
      <c r="C148" s="3"/>
      <c r="D148" s="3"/>
      <c r="E148" s="3"/>
      <c r="F148" s="3"/>
      <c r="G148" s="3"/>
      <c r="H148" s="3"/>
      <c r="I148" s="3"/>
      <c r="J148" s="3"/>
      <c r="K148" s="3"/>
      <c r="L148" s="3"/>
      <c r="M148" s="3"/>
      <c r="N148" s="3"/>
      <c r="O148" s="3"/>
      <c r="P148" s="3"/>
      <c r="Q148" s="3"/>
      <c r="R148" s="3"/>
      <c r="S148" s="3"/>
      <c r="T148" s="3"/>
      <c r="U148" s="3"/>
      <c r="V148" s="3"/>
      <c r="W148" s="3"/>
      <c r="X148" s="1"/>
      <c r="Y148" s="1"/>
      <c r="Z148" s="1"/>
    </row>
    <row r="149" ht="12.75" customHeight="1">
      <c r="A149" s="1"/>
      <c r="B149" s="3"/>
      <c r="C149" s="3"/>
      <c r="D149" s="3"/>
      <c r="E149" s="3"/>
      <c r="F149" s="3"/>
      <c r="G149" s="3"/>
      <c r="H149" s="3"/>
      <c r="I149" s="3"/>
      <c r="J149" s="3"/>
      <c r="K149" s="3"/>
      <c r="L149" s="3"/>
      <c r="M149" s="3"/>
      <c r="N149" s="3"/>
      <c r="O149" s="3"/>
      <c r="P149" s="3"/>
      <c r="Q149" s="3"/>
      <c r="R149" s="3"/>
      <c r="S149" s="3"/>
      <c r="T149" s="3"/>
      <c r="U149" s="3"/>
      <c r="V149" s="3"/>
      <c r="W149" s="3"/>
      <c r="X149" s="1"/>
      <c r="Y149" s="1"/>
      <c r="Z149" s="1"/>
    </row>
    <row r="150" ht="12.75" customHeight="1">
      <c r="A150" s="1"/>
      <c r="B150" s="3"/>
      <c r="C150" s="3"/>
      <c r="D150" s="3"/>
      <c r="E150" s="3"/>
      <c r="F150" s="3"/>
      <c r="G150" s="3"/>
      <c r="H150" s="3"/>
      <c r="I150" s="3"/>
      <c r="J150" s="3"/>
      <c r="K150" s="3"/>
      <c r="L150" s="3"/>
      <c r="M150" s="3"/>
      <c r="N150" s="3"/>
      <c r="O150" s="3"/>
      <c r="P150" s="3"/>
      <c r="Q150" s="3"/>
      <c r="R150" s="3"/>
      <c r="S150" s="3"/>
      <c r="T150" s="3"/>
      <c r="U150" s="3"/>
      <c r="V150" s="3"/>
      <c r="W150" s="3"/>
      <c r="X150" s="1"/>
      <c r="Y150" s="1"/>
      <c r="Z150" s="1"/>
    </row>
    <row r="151" ht="12.75" customHeight="1">
      <c r="A151" s="1"/>
      <c r="B151" s="3"/>
      <c r="C151" s="3"/>
      <c r="D151" s="3"/>
      <c r="E151" s="3"/>
      <c r="F151" s="3"/>
      <c r="G151" s="3"/>
      <c r="H151" s="3"/>
      <c r="I151" s="3"/>
      <c r="J151" s="3"/>
      <c r="K151" s="3"/>
      <c r="L151" s="3"/>
      <c r="M151" s="3"/>
      <c r="N151" s="3"/>
      <c r="O151" s="3"/>
      <c r="P151" s="3"/>
      <c r="Q151" s="3"/>
      <c r="R151" s="3"/>
      <c r="S151" s="3"/>
      <c r="T151" s="3"/>
      <c r="U151" s="3"/>
      <c r="V151" s="3"/>
      <c r="W151" s="3"/>
      <c r="X151" s="1"/>
      <c r="Y151" s="1"/>
      <c r="Z151" s="1"/>
    </row>
    <row r="152" ht="12.75" customHeight="1">
      <c r="A152" s="1"/>
      <c r="B152" s="3"/>
      <c r="C152" s="3"/>
      <c r="D152" s="3"/>
      <c r="E152" s="3"/>
      <c r="F152" s="3"/>
      <c r="G152" s="3"/>
      <c r="H152" s="3"/>
      <c r="I152" s="3"/>
      <c r="J152" s="3"/>
      <c r="K152" s="3"/>
      <c r="L152" s="3"/>
      <c r="M152" s="3"/>
      <c r="N152" s="3"/>
      <c r="O152" s="3"/>
      <c r="P152" s="3"/>
      <c r="Q152" s="3"/>
      <c r="R152" s="3"/>
      <c r="S152" s="3"/>
      <c r="T152" s="3"/>
      <c r="U152" s="3"/>
      <c r="V152" s="3"/>
      <c r="W152" s="3"/>
      <c r="X152" s="1"/>
      <c r="Y152" s="1"/>
      <c r="Z152" s="1"/>
    </row>
    <row r="153" ht="12.75" customHeight="1">
      <c r="A153" s="1"/>
      <c r="B153" s="3"/>
      <c r="C153" s="3"/>
      <c r="D153" s="3"/>
      <c r="E153" s="3"/>
      <c r="F153" s="3"/>
      <c r="G153" s="3"/>
      <c r="H153" s="3"/>
      <c r="I153" s="3"/>
      <c r="J153" s="3"/>
      <c r="K153" s="3"/>
      <c r="L153" s="3"/>
      <c r="M153" s="3"/>
      <c r="N153" s="3"/>
      <c r="O153" s="3"/>
      <c r="P153" s="3"/>
      <c r="Q153" s="3"/>
      <c r="R153" s="3"/>
      <c r="S153" s="3"/>
      <c r="T153" s="3"/>
      <c r="U153" s="3"/>
      <c r="V153" s="3"/>
      <c r="W153" s="3"/>
      <c r="X153" s="1"/>
      <c r="Y153" s="1"/>
      <c r="Z153" s="1"/>
    </row>
    <row r="154" ht="12.75" customHeight="1">
      <c r="A154" s="1"/>
      <c r="B154" s="3"/>
      <c r="C154" s="3"/>
      <c r="D154" s="3"/>
      <c r="E154" s="3"/>
      <c r="F154" s="3"/>
      <c r="G154" s="3"/>
      <c r="H154" s="3"/>
      <c r="I154" s="3"/>
      <c r="J154" s="3"/>
      <c r="K154" s="3"/>
      <c r="L154" s="3"/>
      <c r="M154" s="3"/>
      <c r="N154" s="3"/>
      <c r="O154" s="3"/>
      <c r="P154" s="3"/>
      <c r="Q154" s="3"/>
      <c r="R154" s="3"/>
      <c r="S154" s="3"/>
      <c r="T154" s="3"/>
      <c r="U154" s="3"/>
      <c r="V154" s="3"/>
      <c r="W154" s="3"/>
      <c r="X154" s="1"/>
      <c r="Y154" s="1"/>
      <c r="Z154" s="1"/>
    </row>
    <row r="155" ht="12.75" customHeight="1">
      <c r="A155" s="1"/>
      <c r="B155" s="3"/>
      <c r="C155" s="3"/>
      <c r="D155" s="3"/>
      <c r="E155" s="3"/>
      <c r="F155" s="3"/>
      <c r="G155" s="3"/>
      <c r="H155" s="3"/>
      <c r="I155" s="3"/>
      <c r="J155" s="3"/>
      <c r="K155" s="3"/>
      <c r="L155" s="3"/>
      <c r="M155" s="3"/>
      <c r="N155" s="3"/>
      <c r="O155" s="3"/>
      <c r="P155" s="3"/>
      <c r="Q155" s="3"/>
      <c r="R155" s="3"/>
      <c r="S155" s="3"/>
      <c r="T155" s="3"/>
      <c r="U155" s="3"/>
      <c r="V155" s="3"/>
      <c r="W155" s="3"/>
      <c r="X155" s="1"/>
      <c r="Y155" s="1"/>
      <c r="Z155" s="1"/>
    </row>
    <row r="156" ht="12.75" customHeight="1">
      <c r="A156" s="1"/>
      <c r="B156" s="3"/>
      <c r="C156" s="3"/>
      <c r="D156" s="3"/>
      <c r="E156" s="3"/>
      <c r="F156" s="3"/>
      <c r="G156" s="3"/>
      <c r="H156" s="3"/>
      <c r="I156" s="3"/>
      <c r="J156" s="3"/>
      <c r="K156" s="3"/>
      <c r="L156" s="3"/>
      <c r="M156" s="3"/>
      <c r="N156" s="3"/>
      <c r="O156" s="3"/>
      <c r="P156" s="3"/>
      <c r="Q156" s="3"/>
      <c r="R156" s="3"/>
      <c r="S156" s="3"/>
      <c r="T156" s="3"/>
      <c r="U156" s="3"/>
      <c r="V156" s="3"/>
      <c r="W156" s="3"/>
      <c r="X156" s="1"/>
      <c r="Y156" s="1"/>
      <c r="Z156" s="1"/>
    </row>
    <row r="157" ht="12.75" customHeight="1">
      <c r="A157" s="1"/>
      <c r="B157" s="3"/>
      <c r="C157" s="3"/>
      <c r="D157" s="3"/>
      <c r="E157" s="3"/>
      <c r="F157" s="3"/>
      <c r="G157" s="3"/>
      <c r="H157" s="3"/>
      <c r="I157" s="3"/>
      <c r="J157" s="3"/>
      <c r="K157" s="3"/>
      <c r="L157" s="3"/>
      <c r="M157" s="3"/>
      <c r="N157" s="3"/>
      <c r="O157" s="3"/>
      <c r="P157" s="3"/>
      <c r="Q157" s="3"/>
      <c r="R157" s="3"/>
      <c r="S157" s="3"/>
      <c r="T157" s="3"/>
      <c r="U157" s="3"/>
      <c r="V157" s="3"/>
      <c r="W157" s="3"/>
      <c r="X157" s="1"/>
      <c r="Y157" s="1"/>
      <c r="Z157" s="1"/>
    </row>
    <row r="158" ht="12.75" customHeight="1">
      <c r="A158" s="1"/>
      <c r="B158" s="3"/>
      <c r="C158" s="3"/>
      <c r="D158" s="3"/>
      <c r="E158" s="3"/>
      <c r="F158" s="3"/>
      <c r="G158" s="3"/>
      <c r="H158" s="3"/>
      <c r="I158" s="3"/>
      <c r="J158" s="3"/>
      <c r="K158" s="3"/>
      <c r="L158" s="3"/>
      <c r="M158" s="3"/>
      <c r="N158" s="3"/>
      <c r="O158" s="3"/>
      <c r="P158" s="3"/>
      <c r="Q158" s="3"/>
      <c r="R158" s="3"/>
      <c r="S158" s="3"/>
      <c r="T158" s="3"/>
      <c r="U158" s="3"/>
      <c r="V158" s="3"/>
      <c r="W158" s="3"/>
      <c r="X158" s="1"/>
      <c r="Y158" s="1"/>
      <c r="Z158" s="1"/>
    </row>
    <row r="159" ht="12.75" customHeight="1">
      <c r="A159" s="1"/>
      <c r="B159" s="3"/>
      <c r="C159" s="3"/>
      <c r="D159" s="3"/>
      <c r="E159" s="3"/>
      <c r="F159" s="3"/>
      <c r="G159" s="3"/>
      <c r="H159" s="3"/>
      <c r="I159" s="3"/>
      <c r="J159" s="3"/>
      <c r="K159" s="3"/>
      <c r="L159" s="3"/>
      <c r="M159" s="3"/>
      <c r="N159" s="3"/>
      <c r="O159" s="3"/>
      <c r="P159" s="3"/>
      <c r="Q159" s="3"/>
      <c r="R159" s="3"/>
      <c r="S159" s="3"/>
      <c r="T159" s="3"/>
      <c r="U159" s="3"/>
      <c r="V159" s="3"/>
      <c r="W159" s="3"/>
      <c r="X159" s="1"/>
      <c r="Y159" s="1"/>
      <c r="Z159" s="1"/>
    </row>
    <row r="160" ht="12.75" customHeight="1">
      <c r="A160" s="1"/>
      <c r="B160" s="3"/>
      <c r="C160" s="3"/>
      <c r="D160" s="3"/>
      <c r="E160" s="3"/>
      <c r="F160" s="3"/>
      <c r="G160" s="3"/>
      <c r="H160" s="3"/>
      <c r="I160" s="3"/>
      <c r="J160" s="3"/>
      <c r="K160" s="3"/>
      <c r="L160" s="3"/>
      <c r="M160" s="3"/>
      <c r="N160" s="3"/>
      <c r="O160" s="3"/>
      <c r="P160" s="3"/>
      <c r="Q160" s="3"/>
      <c r="R160" s="3"/>
      <c r="S160" s="3"/>
      <c r="T160" s="3"/>
      <c r="U160" s="3"/>
      <c r="V160" s="3"/>
      <c r="W160" s="3"/>
      <c r="X160" s="1"/>
      <c r="Y160" s="1"/>
      <c r="Z160" s="1"/>
    </row>
    <row r="161" ht="12.75" customHeight="1">
      <c r="A161" s="1"/>
      <c r="B161" s="3"/>
      <c r="C161" s="3"/>
      <c r="D161" s="3"/>
      <c r="E161" s="3"/>
      <c r="F161" s="3"/>
      <c r="G161" s="3"/>
      <c r="H161" s="3"/>
      <c r="I161" s="3"/>
      <c r="J161" s="3"/>
      <c r="K161" s="3"/>
      <c r="L161" s="3"/>
      <c r="M161" s="3"/>
      <c r="N161" s="3"/>
      <c r="O161" s="3"/>
      <c r="P161" s="3"/>
      <c r="Q161" s="3"/>
      <c r="R161" s="3"/>
      <c r="S161" s="3"/>
      <c r="T161" s="3"/>
      <c r="U161" s="3"/>
      <c r="V161" s="3"/>
      <c r="W161" s="3"/>
      <c r="X161" s="1"/>
      <c r="Y161" s="1"/>
      <c r="Z161" s="1"/>
    </row>
    <row r="162" ht="12.75" customHeight="1">
      <c r="A162" s="1"/>
      <c r="B162" s="3"/>
      <c r="C162" s="3"/>
      <c r="D162" s="3"/>
      <c r="E162" s="3"/>
      <c r="F162" s="3"/>
      <c r="G162" s="3"/>
      <c r="H162" s="3"/>
      <c r="I162" s="3"/>
      <c r="J162" s="3"/>
      <c r="K162" s="3"/>
      <c r="L162" s="3"/>
      <c r="M162" s="3"/>
      <c r="N162" s="3"/>
      <c r="O162" s="3"/>
      <c r="P162" s="3"/>
      <c r="Q162" s="3"/>
      <c r="R162" s="3"/>
      <c r="S162" s="3"/>
      <c r="T162" s="3"/>
      <c r="U162" s="3"/>
      <c r="V162" s="3"/>
      <c r="W162" s="3"/>
      <c r="X162" s="1"/>
      <c r="Y162" s="1"/>
      <c r="Z162" s="1"/>
    </row>
    <row r="163" ht="12.75" customHeight="1">
      <c r="A163" s="1"/>
      <c r="B163" s="3"/>
      <c r="C163" s="3"/>
      <c r="D163" s="3"/>
      <c r="E163" s="3"/>
      <c r="F163" s="3"/>
      <c r="G163" s="3"/>
      <c r="H163" s="3"/>
      <c r="I163" s="3"/>
      <c r="J163" s="3"/>
      <c r="K163" s="3"/>
      <c r="L163" s="3"/>
      <c r="M163" s="3"/>
      <c r="N163" s="3"/>
      <c r="O163" s="3"/>
      <c r="P163" s="3"/>
      <c r="Q163" s="3"/>
      <c r="R163" s="3"/>
      <c r="S163" s="3"/>
      <c r="T163" s="3"/>
      <c r="U163" s="3"/>
      <c r="V163" s="3"/>
      <c r="W163" s="3"/>
      <c r="X163" s="1"/>
      <c r="Y163" s="1"/>
      <c r="Z163" s="1"/>
    </row>
    <row r="164" ht="12.75" customHeight="1">
      <c r="A164" s="1"/>
      <c r="B164" s="3"/>
      <c r="C164" s="3"/>
      <c r="D164" s="3"/>
      <c r="E164" s="3"/>
      <c r="F164" s="3"/>
      <c r="G164" s="3"/>
      <c r="H164" s="3"/>
      <c r="I164" s="3"/>
      <c r="J164" s="3"/>
      <c r="K164" s="3"/>
      <c r="L164" s="3"/>
      <c r="M164" s="3"/>
      <c r="N164" s="3"/>
      <c r="O164" s="3"/>
      <c r="P164" s="3"/>
      <c r="Q164" s="3"/>
      <c r="R164" s="3"/>
      <c r="S164" s="3"/>
      <c r="T164" s="3"/>
      <c r="U164" s="3"/>
      <c r="V164" s="3"/>
      <c r="W164" s="3"/>
      <c r="X164" s="1"/>
      <c r="Y164" s="1"/>
      <c r="Z164" s="1"/>
    </row>
    <row r="165" ht="12.75" customHeight="1">
      <c r="A165" s="1"/>
      <c r="B165" s="3"/>
      <c r="C165" s="3"/>
      <c r="D165" s="3"/>
      <c r="E165" s="3"/>
      <c r="F165" s="3"/>
      <c r="G165" s="3"/>
      <c r="H165" s="3"/>
      <c r="I165" s="3"/>
      <c r="J165" s="3"/>
      <c r="K165" s="3"/>
      <c r="L165" s="3"/>
      <c r="M165" s="3"/>
      <c r="N165" s="3"/>
      <c r="O165" s="3"/>
      <c r="P165" s="3"/>
      <c r="Q165" s="3"/>
      <c r="R165" s="3"/>
      <c r="S165" s="3"/>
      <c r="T165" s="3"/>
      <c r="U165" s="3"/>
      <c r="V165" s="3"/>
      <c r="W165" s="3"/>
      <c r="X165" s="1"/>
      <c r="Y165" s="1"/>
      <c r="Z165" s="1"/>
    </row>
    <row r="166" ht="12.75" customHeight="1">
      <c r="A166" s="1"/>
      <c r="B166" s="3"/>
      <c r="C166" s="3"/>
      <c r="D166" s="3"/>
      <c r="E166" s="3"/>
      <c r="F166" s="3"/>
      <c r="G166" s="3"/>
      <c r="H166" s="3"/>
      <c r="I166" s="3"/>
      <c r="J166" s="3"/>
      <c r="K166" s="3"/>
      <c r="L166" s="3"/>
      <c r="M166" s="3"/>
      <c r="N166" s="3"/>
      <c r="O166" s="3"/>
      <c r="P166" s="3"/>
      <c r="Q166" s="3"/>
      <c r="R166" s="3"/>
      <c r="S166" s="3"/>
      <c r="T166" s="3"/>
      <c r="U166" s="3"/>
      <c r="V166" s="3"/>
      <c r="W166" s="3"/>
      <c r="X166" s="1"/>
      <c r="Y166" s="1"/>
      <c r="Z166" s="1"/>
    </row>
    <row r="167" ht="12.75" customHeight="1">
      <c r="A167" s="1"/>
      <c r="B167" s="3"/>
      <c r="C167" s="3"/>
      <c r="D167" s="3"/>
      <c r="E167" s="3"/>
      <c r="F167" s="3"/>
      <c r="G167" s="3"/>
      <c r="H167" s="3"/>
      <c r="I167" s="3"/>
      <c r="J167" s="3"/>
      <c r="K167" s="3"/>
      <c r="L167" s="3"/>
      <c r="M167" s="3"/>
      <c r="N167" s="3"/>
      <c r="O167" s="3"/>
      <c r="P167" s="3"/>
      <c r="Q167" s="3"/>
      <c r="R167" s="3"/>
      <c r="S167" s="3"/>
      <c r="T167" s="3"/>
      <c r="U167" s="3"/>
      <c r="V167" s="3"/>
      <c r="W167" s="3"/>
      <c r="X167" s="1"/>
      <c r="Y167" s="1"/>
      <c r="Z167" s="1"/>
    </row>
    <row r="168" ht="12.75" customHeight="1">
      <c r="A168" s="1"/>
      <c r="B168" s="3"/>
      <c r="C168" s="3"/>
      <c r="D168" s="3"/>
      <c r="E168" s="3"/>
      <c r="F168" s="3"/>
      <c r="G168" s="3"/>
      <c r="H168" s="3"/>
      <c r="I168" s="3"/>
      <c r="J168" s="3"/>
      <c r="K168" s="3"/>
      <c r="L168" s="3"/>
      <c r="M168" s="3"/>
      <c r="N168" s="3"/>
      <c r="O168" s="3"/>
      <c r="P168" s="3"/>
      <c r="Q168" s="3"/>
      <c r="R168" s="3"/>
      <c r="S168" s="3"/>
      <c r="T168" s="3"/>
      <c r="U168" s="3"/>
      <c r="V168" s="3"/>
      <c r="W168" s="3"/>
      <c r="X168" s="1"/>
      <c r="Y168" s="1"/>
      <c r="Z168" s="1"/>
    </row>
    <row r="169" ht="12.75" customHeight="1">
      <c r="A169" s="1"/>
      <c r="B169" s="3"/>
      <c r="C169" s="3"/>
      <c r="D169" s="3"/>
      <c r="E169" s="3"/>
      <c r="F169" s="3"/>
      <c r="G169" s="3"/>
      <c r="H169" s="3"/>
      <c r="I169" s="3"/>
      <c r="J169" s="3"/>
      <c r="K169" s="3"/>
      <c r="L169" s="3"/>
      <c r="M169" s="3"/>
      <c r="N169" s="3"/>
      <c r="O169" s="3"/>
      <c r="P169" s="3"/>
      <c r="Q169" s="3"/>
      <c r="R169" s="3"/>
      <c r="S169" s="3"/>
      <c r="T169" s="3"/>
      <c r="U169" s="3"/>
      <c r="V169" s="3"/>
      <c r="W169" s="3"/>
      <c r="X169" s="1"/>
      <c r="Y169" s="1"/>
      <c r="Z169" s="1"/>
    </row>
    <row r="170" ht="12.75" customHeight="1">
      <c r="A170" s="1"/>
      <c r="B170" s="3"/>
      <c r="C170" s="3"/>
      <c r="D170" s="3"/>
      <c r="E170" s="3"/>
      <c r="F170" s="3"/>
      <c r="G170" s="3"/>
      <c r="H170" s="3"/>
      <c r="I170" s="3"/>
      <c r="J170" s="3"/>
      <c r="K170" s="3"/>
      <c r="L170" s="3"/>
      <c r="M170" s="3"/>
      <c r="N170" s="3"/>
      <c r="O170" s="3"/>
      <c r="P170" s="3"/>
      <c r="Q170" s="3"/>
      <c r="R170" s="3"/>
      <c r="S170" s="3"/>
      <c r="T170" s="3"/>
      <c r="U170" s="3"/>
      <c r="V170" s="3"/>
      <c r="W170" s="3"/>
      <c r="X170" s="1"/>
      <c r="Y170" s="1"/>
      <c r="Z170" s="1"/>
    </row>
    <row r="171" ht="12.75" customHeight="1">
      <c r="A171" s="1"/>
      <c r="B171" s="3"/>
      <c r="C171" s="3"/>
      <c r="D171" s="3"/>
      <c r="E171" s="3"/>
      <c r="F171" s="3"/>
      <c r="G171" s="3"/>
      <c r="H171" s="3"/>
      <c r="I171" s="3"/>
      <c r="J171" s="3"/>
      <c r="K171" s="3"/>
      <c r="L171" s="3"/>
      <c r="M171" s="3"/>
      <c r="N171" s="3"/>
      <c r="O171" s="3"/>
      <c r="P171" s="3"/>
      <c r="Q171" s="3"/>
      <c r="R171" s="3"/>
      <c r="S171" s="3"/>
      <c r="T171" s="3"/>
      <c r="U171" s="3"/>
      <c r="V171" s="3"/>
      <c r="W171" s="3"/>
      <c r="X171" s="1"/>
      <c r="Y171" s="1"/>
      <c r="Z171" s="1"/>
    </row>
    <row r="172" ht="12.75" customHeight="1">
      <c r="A172" s="1"/>
      <c r="B172" s="3"/>
      <c r="C172" s="3"/>
      <c r="D172" s="3"/>
      <c r="E172" s="3"/>
      <c r="F172" s="3"/>
      <c r="G172" s="3"/>
      <c r="H172" s="3"/>
      <c r="I172" s="3"/>
      <c r="J172" s="3"/>
      <c r="K172" s="3"/>
      <c r="L172" s="3"/>
      <c r="M172" s="3"/>
      <c r="N172" s="3"/>
      <c r="O172" s="3"/>
      <c r="P172" s="3"/>
      <c r="Q172" s="3"/>
      <c r="R172" s="3"/>
      <c r="S172" s="3"/>
      <c r="T172" s="3"/>
      <c r="U172" s="3"/>
      <c r="V172" s="3"/>
      <c r="W172" s="3"/>
      <c r="X172" s="1"/>
      <c r="Y172" s="1"/>
      <c r="Z172" s="1"/>
    </row>
    <row r="173" ht="12.75" customHeight="1">
      <c r="A173" s="1"/>
      <c r="B173" s="3"/>
      <c r="C173" s="3"/>
      <c r="D173" s="3"/>
      <c r="E173" s="3"/>
      <c r="F173" s="3"/>
      <c r="G173" s="3"/>
      <c r="H173" s="3"/>
      <c r="I173" s="3"/>
      <c r="J173" s="3"/>
      <c r="K173" s="3"/>
      <c r="L173" s="3"/>
      <c r="M173" s="3"/>
      <c r="N173" s="3"/>
      <c r="O173" s="3"/>
      <c r="P173" s="3"/>
      <c r="Q173" s="3"/>
      <c r="R173" s="3"/>
      <c r="S173" s="3"/>
      <c r="T173" s="3"/>
      <c r="U173" s="3"/>
      <c r="V173" s="3"/>
      <c r="W173" s="3"/>
      <c r="X173" s="1"/>
      <c r="Y173" s="1"/>
      <c r="Z173" s="1"/>
    </row>
    <row r="174" ht="12.75" customHeight="1">
      <c r="A174" s="1"/>
      <c r="B174" s="3"/>
      <c r="C174" s="3"/>
      <c r="D174" s="3"/>
      <c r="E174" s="3"/>
      <c r="F174" s="3"/>
      <c r="G174" s="3"/>
      <c r="H174" s="3"/>
      <c r="I174" s="3"/>
      <c r="J174" s="3"/>
      <c r="K174" s="3"/>
      <c r="L174" s="3"/>
      <c r="M174" s="3"/>
      <c r="N174" s="3"/>
      <c r="O174" s="3"/>
      <c r="P174" s="3"/>
      <c r="Q174" s="3"/>
      <c r="R174" s="3"/>
      <c r="S174" s="3"/>
      <c r="T174" s="3"/>
      <c r="U174" s="3"/>
      <c r="V174" s="3"/>
      <c r="W174" s="3"/>
      <c r="X174" s="1"/>
      <c r="Y174" s="1"/>
      <c r="Z174" s="1"/>
    </row>
    <row r="175" ht="12.75" customHeight="1">
      <c r="A175" s="1"/>
      <c r="B175" s="3"/>
      <c r="C175" s="3"/>
      <c r="D175" s="3"/>
      <c r="E175" s="3"/>
      <c r="F175" s="3"/>
      <c r="G175" s="3"/>
      <c r="H175" s="3"/>
      <c r="I175" s="3"/>
      <c r="J175" s="3"/>
      <c r="K175" s="3"/>
      <c r="L175" s="3"/>
      <c r="M175" s="3"/>
      <c r="N175" s="3"/>
      <c r="O175" s="3"/>
      <c r="P175" s="3"/>
      <c r="Q175" s="3"/>
      <c r="R175" s="3"/>
      <c r="S175" s="3"/>
      <c r="T175" s="3"/>
      <c r="U175" s="3"/>
      <c r="V175" s="3"/>
      <c r="W175" s="3"/>
      <c r="X175" s="1"/>
      <c r="Y175" s="1"/>
      <c r="Z175" s="1"/>
    </row>
    <row r="176" ht="12.75" customHeight="1">
      <c r="A176" s="1"/>
      <c r="B176" s="3"/>
      <c r="C176" s="3"/>
      <c r="D176" s="3"/>
      <c r="E176" s="3"/>
      <c r="F176" s="3"/>
      <c r="G176" s="3"/>
      <c r="H176" s="3"/>
      <c r="I176" s="3"/>
      <c r="J176" s="3"/>
      <c r="K176" s="3"/>
      <c r="L176" s="3"/>
      <c r="M176" s="3"/>
      <c r="N176" s="3"/>
      <c r="O176" s="3"/>
      <c r="P176" s="3"/>
      <c r="Q176" s="3"/>
      <c r="R176" s="3"/>
      <c r="S176" s="3"/>
      <c r="T176" s="3"/>
      <c r="U176" s="3"/>
      <c r="V176" s="3"/>
      <c r="W176" s="3"/>
      <c r="X176" s="1"/>
      <c r="Y176" s="1"/>
      <c r="Z176" s="1"/>
    </row>
    <row r="177" ht="12.75" customHeight="1">
      <c r="A177" s="1"/>
      <c r="B177" s="3"/>
      <c r="C177" s="3"/>
      <c r="D177" s="3"/>
      <c r="E177" s="3"/>
      <c r="F177" s="3"/>
      <c r="G177" s="3"/>
      <c r="H177" s="3"/>
      <c r="I177" s="3"/>
      <c r="J177" s="3"/>
      <c r="K177" s="3"/>
      <c r="L177" s="3"/>
      <c r="M177" s="3"/>
      <c r="N177" s="3"/>
      <c r="O177" s="3"/>
      <c r="P177" s="3"/>
      <c r="Q177" s="3"/>
      <c r="R177" s="3"/>
      <c r="S177" s="3"/>
      <c r="T177" s="3"/>
      <c r="U177" s="3"/>
      <c r="V177" s="3"/>
      <c r="W177" s="3"/>
      <c r="X177" s="1"/>
      <c r="Y177" s="1"/>
      <c r="Z177" s="1"/>
    </row>
    <row r="178" ht="12.75" customHeight="1">
      <c r="A178" s="1"/>
      <c r="B178" s="3"/>
      <c r="C178" s="3"/>
      <c r="D178" s="3"/>
      <c r="E178" s="3"/>
      <c r="F178" s="3"/>
      <c r="G178" s="3"/>
      <c r="H178" s="3"/>
      <c r="I178" s="3"/>
      <c r="J178" s="3"/>
      <c r="K178" s="3"/>
      <c r="L178" s="3"/>
      <c r="M178" s="3"/>
      <c r="N178" s="3"/>
      <c r="O178" s="3"/>
      <c r="P178" s="3"/>
      <c r="Q178" s="3"/>
      <c r="R178" s="3"/>
      <c r="S178" s="3"/>
      <c r="T178" s="3"/>
      <c r="U178" s="3"/>
      <c r="V178" s="3"/>
      <c r="W178" s="3"/>
      <c r="X178" s="1"/>
      <c r="Y178" s="1"/>
      <c r="Z178" s="1"/>
    </row>
    <row r="179" ht="12.75" customHeight="1">
      <c r="A179" s="1"/>
      <c r="B179" s="3"/>
      <c r="C179" s="3"/>
      <c r="D179" s="3"/>
      <c r="E179" s="3"/>
      <c r="F179" s="3"/>
      <c r="G179" s="3"/>
      <c r="H179" s="3"/>
      <c r="I179" s="3"/>
      <c r="J179" s="3"/>
      <c r="K179" s="3"/>
      <c r="L179" s="3"/>
      <c r="M179" s="3"/>
      <c r="N179" s="3"/>
      <c r="O179" s="3"/>
      <c r="P179" s="3"/>
      <c r="Q179" s="3"/>
      <c r="R179" s="3"/>
      <c r="S179" s="3"/>
      <c r="T179" s="3"/>
      <c r="U179" s="3"/>
      <c r="V179" s="3"/>
      <c r="W179" s="3"/>
      <c r="X179" s="1"/>
      <c r="Y179" s="1"/>
      <c r="Z179" s="1"/>
    </row>
    <row r="180" ht="12.75" customHeight="1">
      <c r="A180" s="1"/>
      <c r="B180" s="3"/>
      <c r="C180" s="3"/>
      <c r="D180" s="3"/>
      <c r="E180" s="3"/>
      <c r="F180" s="3"/>
      <c r="G180" s="3"/>
      <c r="H180" s="3"/>
      <c r="I180" s="3"/>
      <c r="J180" s="3"/>
      <c r="K180" s="3"/>
      <c r="L180" s="3"/>
      <c r="M180" s="3"/>
      <c r="N180" s="3"/>
      <c r="O180" s="3"/>
      <c r="P180" s="3"/>
      <c r="Q180" s="3"/>
      <c r="R180" s="3"/>
      <c r="S180" s="3"/>
      <c r="T180" s="3"/>
      <c r="U180" s="3"/>
      <c r="V180" s="3"/>
      <c r="W180" s="3"/>
      <c r="X180" s="1"/>
      <c r="Y180" s="1"/>
      <c r="Z180" s="1"/>
    </row>
    <row r="181" ht="12.75" customHeight="1">
      <c r="A181" s="1"/>
      <c r="B181" s="3"/>
      <c r="C181" s="3"/>
      <c r="D181" s="3"/>
      <c r="E181" s="3"/>
      <c r="F181" s="3"/>
      <c r="G181" s="3"/>
      <c r="H181" s="3"/>
      <c r="I181" s="3"/>
      <c r="J181" s="3"/>
      <c r="K181" s="3"/>
      <c r="L181" s="3"/>
      <c r="M181" s="3"/>
      <c r="N181" s="3"/>
      <c r="O181" s="3"/>
      <c r="P181" s="3"/>
      <c r="Q181" s="3"/>
      <c r="R181" s="3"/>
      <c r="S181" s="3"/>
      <c r="T181" s="3"/>
      <c r="U181" s="3"/>
      <c r="V181" s="3"/>
      <c r="W181" s="3"/>
      <c r="X181" s="1"/>
      <c r="Y181" s="1"/>
      <c r="Z181" s="1"/>
    </row>
    <row r="182" ht="12.75" customHeight="1">
      <c r="A182" s="1"/>
      <c r="B182" s="3"/>
      <c r="C182" s="3"/>
      <c r="D182" s="3"/>
      <c r="E182" s="3"/>
      <c r="F182" s="3"/>
      <c r="G182" s="3"/>
      <c r="H182" s="3"/>
      <c r="I182" s="3"/>
      <c r="J182" s="3"/>
      <c r="K182" s="3"/>
      <c r="L182" s="3"/>
      <c r="M182" s="3"/>
      <c r="N182" s="3"/>
      <c r="O182" s="3"/>
      <c r="P182" s="3"/>
      <c r="Q182" s="3"/>
      <c r="R182" s="3"/>
      <c r="S182" s="3"/>
      <c r="T182" s="3"/>
      <c r="U182" s="3"/>
      <c r="V182" s="3"/>
      <c r="W182" s="3"/>
      <c r="X182" s="1"/>
      <c r="Y182" s="1"/>
      <c r="Z182" s="1"/>
    </row>
    <row r="183" ht="12.75" customHeight="1">
      <c r="A183" s="1"/>
      <c r="B183" s="3"/>
      <c r="C183" s="3"/>
      <c r="D183" s="3"/>
      <c r="E183" s="3"/>
      <c r="F183" s="3"/>
      <c r="G183" s="3"/>
      <c r="H183" s="3"/>
      <c r="I183" s="3"/>
      <c r="J183" s="3"/>
      <c r="K183" s="3"/>
      <c r="L183" s="3"/>
      <c r="M183" s="3"/>
      <c r="N183" s="3"/>
      <c r="O183" s="3"/>
      <c r="P183" s="3"/>
      <c r="Q183" s="3"/>
      <c r="R183" s="3"/>
      <c r="S183" s="3"/>
      <c r="T183" s="3"/>
      <c r="U183" s="3"/>
      <c r="V183" s="3"/>
      <c r="W183" s="3"/>
      <c r="X183" s="1"/>
      <c r="Y183" s="1"/>
      <c r="Z183" s="1"/>
    </row>
    <row r="184" ht="12.75" customHeight="1">
      <c r="A184" s="1"/>
      <c r="B184" s="3"/>
      <c r="C184" s="3"/>
      <c r="D184" s="3"/>
      <c r="E184" s="3"/>
      <c r="F184" s="3"/>
      <c r="G184" s="3"/>
      <c r="H184" s="3"/>
      <c r="I184" s="3"/>
      <c r="J184" s="3"/>
      <c r="K184" s="3"/>
      <c r="L184" s="3"/>
      <c r="M184" s="3"/>
      <c r="N184" s="3"/>
      <c r="O184" s="3"/>
      <c r="P184" s="3"/>
      <c r="Q184" s="3"/>
      <c r="R184" s="3"/>
      <c r="S184" s="3"/>
      <c r="T184" s="3"/>
      <c r="U184" s="3"/>
      <c r="V184" s="3"/>
      <c r="W184" s="3"/>
      <c r="X184" s="1"/>
      <c r="Y184" s="1"/>
      <c r="Z184" s="1"/>
    </row>
    <row r="185" ht="12.75" customHeight="1">
      <c r="A185" s="1"/>
      <c r="B185" s="3"/>
      <c r="C185" s="3"/>
      <c r="D185" s="3"/>
      <c r="E185" s="3"/>
      <c r="F185" s="3"/>
      <c r="G185" s="3"/>
      <c r="H185" s="3"/>
      <c r="I185" s="3"/>
      <c r="J185" s="3"/>
      <c r="K185" s="3"/>
      <c r="L185" s="3"/>
      <c r="M185" s="3"/>
      <c r="N185" s="3"/>
      <c r="O185" s="3"/>
      <c r="P185" s="3"/>
      <c r="Q185" s="3"/>
      <c r="R185" s="3"/>
      <c r="S185" s="3"/>
      <c r="T185" s="3"/>
      <c r="U185" s="3"/>
      <c r="V185" s="3"/>
      <c r="W185" s="3"/>
      <c r="X185" s="1"/>
      <c r="Y185" s="1"/>
      <c r="Z185" s="1"/>
    </row>
    <row r="186" ht="12.75" customHeight="1">
      <c r="A186" s="1"/>
      <c r="B186" s="3"/>
      <c r="C186" s="3"/>
      <c r="D186" s="3"/>
      <c r="E186" s="3"/>
      <c r="F186" s="3"/>
      <c r="G186" s="3"/>
      <c r="H186" s="3"/>
      <c r="I186" s="3"/>
      <c r="J186" s="3"/>
      <c r="K186" s="3"/>
      <c r="L186" s="3"/>
      <c r="M186" s="3"/>
      <c r="N186" s="3"/>
      <c r="O186" s="3"/>
      <c r="P186" s="3"/>
      <c r="Q186" s="3"/>
      <c r="R186" s="3"/>
      <c r="S186" s="3"/>
      <c r="T186" s="3"/>
      <c r="U186" s="3"/>
      <c r="V186" s="3"/>
      <c r="W186" s="3"/>
      <c r="X186" s="1"/>
      <c r="Y186" s="1"/>
      <c r="Z186" s="1"/>
    </row>
    <row r="187" ht="12.75" customHeight="1">
      <c r="A187" s="1"/>
      <c r="B187" s="3"/>
      <c r="C187" s="3"/>
      <c r="D187" s="3"/>
      <c r="E187" s="3"/>
      <c r="F187" s="3"/>
      <c r="G187" s="3"/>
      <c r="H187" s="3"/>
      <c r="I187" s="3"/>
      <c r="J187" s="3"/>
      <c r="K187" s="3"/>
      <c r="L187" s="3"/>
      <c r="M187" s="3"/>
      <c r="N187" s="3"/>
      <c r="O187" s="3"/>
      <c r="P187" s="3"/>
      <c r="Q187" s="3"/>
      <c r="R187" s="3"/>
      <c r="S187" s="3"/>
      <c r="T187" s="3"/>
      <c r="U187" s="3"/>
      <c r="V187" s="3"/>
      <c r="W187" s="3"/>
      <c r="X187" s="1"/>
      <c r="Y187" s="1"/>
      <c r="Z187" s="1"/>
    </row>
    <row r="188" ht="12.75" customHeight="1">
      <c r="A188" s="1"/>
      <c r="B188" s="3"/>
      <c r="C188" s="3"/>
      <c r="D188" s="3"/>
      <c r="E188" s="3"/>
      <c r="F188" s="3"/>
      <c r="G188" s="3"/>
      <c r="H188" s="3"/>
      <c r="I188" s="3"/>
      <c r="J188" s="3"/>
      <c r="K188" s="3"/>
      <c r="L188" s="3"/>
      <c r="M188" s="3"/>
      <c r="N188" s="3"/>
      <c r="O188" s="3"/>
      <c r="P188" s="3"/>
      <c r="Q188" s="3"/>
      <c r="R188" s="3"/>
      <c r="S188" s="3"/>
      <c r="T188" s="3"/>
      <c r="U188" s="3"/>
      <c r="V188" s="3"/>
      <c r="W188" s="3"/>
      <c r="X188" s="1"/>
      <c r="Y188" s="1"/>
      <c r="Z188" s="1"/>
    </row>
    <row r="189" ht="12.75" customHeight="1">
      <c r="A189" s="1"/>
      <c r="B189" s="3"/>
      <c r="C189" s="3"/>
      <c r="D189" s="3"/>
      <c r="E189" s="3"/>
      <c r="F189" s="3"/>
      <c r="G189" s="3"/>
      <c r="H189" s="3"/>
      <c r="I189" s="3"/>
      <c r="J189" s="3"/>
      <c r="K189" s="3"/>
      <c r="L189" s="3"/>
      <c r="M189" s="3"/>
      <c r="N189" s="3"/>
      <c r="O189" s="3"/>
      <c r="P189" s="3"/>
      <c r="Q189" s="3"/>
      <c r="R189" s="3"/>
      <c r="S189" s="3"/>
      <c r="T189" s="3"/>
      <c r="U189" s="3"/>
      <c r="V189" s="3"/>
      <c r="W189" s="3"/>
      <c r="X189" s="1"/>
      <c r="Y189" s="1"/>
      <c r="Z189" s="1"/>
    </row>
    <row r="190" ht="12.75" customHeight="1">
      <c r="A190" s="1"/>
      <c r="B190" s="3"/>
      <c r="C190" s="3"/>
      <c r="D190" s="3"/>
      <c r="E190" s="3"/>
      <c r="F190" s="3"/>
      <c r="G190" s="3"/>
      <c r="H190" s="3"/>
      <c r="I190" s="3"/>
      <c r="J190" s="3"/>
      <c r="K190" s="3"/>
      <c r="L190" s="3"/>
      <c r="M190" s="3"/>
      <c r="N190" s="3"/>
      <c r="O190" s="3"/>
      <c r="P190" s="3"/>
      <c r="Q190" s="3"/>
      <c r="R190" s="3"/>
      <c r="S190" s="3"/>
      <c r="T190" s="3"/>
      <c r="U190" s="3"/>
      <c r="V190" s="3"/>
      <c r="W190" s="3"/>
      <c r="X190" s="1"/>
      <c r="Y190" s="1"/>
      <c r="Z190" s="1"/>
    </row>
    <row r="191" ht="12.75" customHeight="1">
      <c r="A191" s="1"/>
      <c r="B191" s="3"/>
      <c r="C191" s="3"/>
      <c r="D191" s="3"/>
      <c r="E191" s="3"/>
      <c r="F191" s="3"/>
      <c r="G191" s="3"/>
      <c r="H191" s="3"/>
      <c r="I191" s="3"/>
      <c r="J191" s="3"/>
      <c r="K191" s="3"/>
      <c r="L191" s="3"/>
      <c r="M191" s="3"/>
      <c r="N191" s="3"/>
      <c r="O191" s="3"/>
      <c r="P191" s="3"/>
      <c r="Q191" s="3"/>
      <c r="R191" s="3"/>
      <c r="S191" s="3"/>
      <c r="T191" s="3"/>
      <c r="U191" s="3"/>
      <c r="V191" s="3"/>
      <c r="W191" s="3"/>
      <c r="X191" s="1"/>
      <c r="Y191" s="1"/>
      <c r="Z191" s="1"/>
    </row>
    <row r="192" ht="12.75" customHeight="1">
      <c r="A192" s="1"/>
      <c r="B192" s="3"/>
      <c r="C192" s="3"/>
      <c r="D192" s="3"/>
      <c r="E192" s="3"/>
      <c r="F192" s="3"/>
      <c r="G192" s="3"/>
      <c r="H192" s="3"/>
      <c r="I192" s="3"/>
      <c r="J192" s="3"/>
      <c r="K192" s="3"/>
      <c r="L192" s="3"/>
      <c r="M192" s="3"/>
      <c r="N192" s="3"/>
      <c r="O192" s="3"/>
      <c r="P192" s="3"/>
      <c r="Q192" s="3"/>
      <c r="R192" s="3"/>
      <c r="S192" s="3"/>
      <c r="T192" s="3"/>
      <c r="U192" s="3"/>
      <c r="V192" s="3"/>
      <c r="W192" s="3"/>
      <c r="X192" s="1"/>
      <c r="Y192" s="1"/>
      <c r="Z192" s="1"/>
    </row>
    <row r="193" ht="12.75" customHeight="1">
      <c r="A193" s="1"/>
      <c r="B193" s="3"/>
      <c r="C193" s="3"/>
      <c r="D193" s="3"/>
      <c r="E193" s="3"/>
      <c r="F193" s="3"/>
      <c r="G193" s="3"/>
      <c r="H193" s="3"/>
      <c r="I193" s="3"/>
      <c r="J193" s="3"/>
      <c r="K193" s="3"/>
      <c r="L193" s="3"/>
      <c r="M193" s="3"/>
      <c r="N193" s="3"/>
      <c r="O193" s="3"/>
      <c r="P193" s="3"/>
      <c r="Q193" s="3"/>
      <c r="R193" s="3"/>
      <c r="S193" s="3"/>
      <c r="T193" s="3"/>
      <c r="U193" s="3"/>
      <c r="V193" s="3"/>
      <c r="W193" s="3"/>
      <c r="X193" s="1"/>
      <c r="Y193" s="1"/>
      <c r="Z193" s="1"/>
    </row>
    <row r="194" ht="12.75" customHeight="1">
      <c r="A194" s="1"/>
      <c r="B194" s="3"/>
      <c r="C194" s="3"/>
      <c r="D194" s="3"/>
      <c r="E194" s="3"/>
      <c r="F194" s="3"/>
      <c r="G194" s="3"/>
      <c r="H194" s="3"/>
      <c r="I194" s="3"/>
      <c r="J194" s="3"/>
      <c r="K194" s="3"/>
      <c r="L194" s="3"/>
      <c r="M194" s="3"/>
      <c r="N194" s="3"/>
      <c r="O194" s="3"/>
      <c r="P194" s="3"/>
      <c r="Q194" s="3"/>
      <c r="R194" s="3"/>
      <c r="S194" s="3"/>
      <c r="T194" s="3"/>
      <c r="U194" s="3"/>
      <c r="V194" s="3"/>
      <c r="W194" s="3"/>
      <c r="X194" s="1"/>
      <c r="Y194" s="1"/>
      <c r="Z194" s="1"/>
    </row>
    <row r="195" ht="12.75" customHeight="1">
      <c r="A195" s="1"/>
      <c r="B195" s="3"/>
      <c r="C195" s="3"/>
      <c r="D195" s="3"/>
      <c r="E195" s="3"/>
      <c r="F195" s="3"/>
      <c r="G195" s="3"/>
      <c r="H195" s="3"/>
      <c r="I195" s="3"/>
      <c r="J195" s="3"/>
      <c r="K195" s="3"/>
      <c r="L195" s="3"/>
      <c r="M195" s="3"/>
      <c r="N195" s="3"/>
      <c r="O195" s="3"/>
      <c r="P195" s="3"/>
      <c r="Q195" s="3"/>
      <c r="R195" s="3"/>
      <c r="S195" s="3"/>
      <c r="T195" s="3"/>
      <c r="U195" s="3"/>
      <c r="V195" s="3"/>
      <c r="W195" s="3"/>
      <c r="X195" s="1"/>
      <c r="Y195" s="1"/>
      <c r="Z195" s="1"/>
    </row>
    <row r="196" ht="12.75" customHeight="1">
      <c r="A196" s="1"/>
      <c r="B196" s="3"/>
      <c r="C196" s="3"/>
      <c r="D196" s="3"/>
      <c r="E196" s="3"/>
      <c r="F196" s="3"/>
      <c r="G196" s="3"/>
      <c r="H196" s="3"/>
      <c r="I196" s="3"/>
      <c r="J196" s="3"/>
      <c r="K196" s="3"/>
      <c r="L196" s="3"/>
      <c r="M196" s="3"/>
      <c r="N196" s="3"/>
      <c r="O196" s="3"/>
      <c r="P196" s="3"/>
      <c r="Q196" s="3"/>
      <c r="R196" s="3"/>
      <c r="S196" s="3"/>
      <c r="T196" s="3"/>
      <c r="U196" s="3"/>
      <c r="V196" s="3"/>
      <c r="W196" s="3"/>
      <c r="X196" s="1"/>
      <c r="Y196" s="1"/>
      <c r="Z196" s="1"/>
    </row>
    <row r="197" ht="12.75" customHeight="1">
      <c r="A197" s="1"/>
      <c r="B197" s="3"/>
      <c r="C197" s="3"/>
      <c r="D197" s="3"/>
      <c r="E197" s="3"/>
      <c r="F197" s="3"/>
      <c r="G197" s="3"/>
      <c r="H197" s="3"/>
      <c r="I197" s="3"/>
      <c r="J197" s="3"/>
      <c r="K197" s="3"/>
      <c r="L197" s="3"/>
      <c r="M197" s="3"/>
      <c r="N197" s="3"/>
      <c r="O197" s="3"/>
      <c r="P197" s="3"/>
      <c r="Q197" s="3"/>
      <c r="R197" s="3"/>
      <c r="S197" s="3"/>
      <c r="T197" s="3"/>
      <c r="U197" s="3"/>
      <c r="V197" s="3"/>
      <c r="W197" s="3"/>
      <c r="X197" s="1"/>
      <c r="Y197" s="1"/>
      <c r="Z197" s="1"/>
    </row>
    <row r="198" ht="12.75" customHeight="1">
      <c r="A198" s="1"/>
      <c r="B198" s="3"/>
      <c r="C198" s="3"/>
      <c r="D198" s="3"/>
      <c r="E198" s="3"/>
      <c r="F198" s="3"/>
      <c r="G198" s="3"/>
      <c r="H198" s="3"/>
      <c r="I198" s="3"/>
      <c r="J198" s="3"/>
      <c r="K198" s="3"/>
      <c r="L198" s="3"/>
      <c r="M198" s="3"/>
      <c r="N198" s="3"/>
      <c r="O198" s="3"/>
      <c r="P198" s="3"/>
      <c r="Q198" s="3"/>
      <c r="R198" s="3"/>
      <c r="S198" s="3"/>
      <c r="T198" s="3"/>
      <c r="U198" s="3"/>
      <c r="V198" s="3"/>
      <c r="W198" s="3"/>
      <c r="X198" s="1"/>
      <c r="Y198" s="1"/>
      <c r="Z198" s="1"/>
    </row>
    <row r="199" ht="12.75" customHeight="1">
      <c r="A199" s="1"/>
      <c r="B199" s="3"/>
      <c r="C199" s="3"/>
      <c r="D199" s="3"/>
      <c r="E199" s="3"/>
      <c r="F199" s="3"/>
      <c r="G199" s="3"/>
      <c r="H199" s="3"/>
      <c r="I199" s="3"/>
      <c r="J199" s="3"/>
      <c r="K199" s="3"/>
      <c r="L199" s="3"/>
      <c r="M199" s="3"/>
      <c r="N199" s="3"/>
      <c r="O199" s="3"/>
      <c r="P199" s="3"/>
      <c r="Q199" s="3"/>
      <c r="R199" s="3"/>
      <c r="S199" s="3"/>
      <c r="T199" s="3"/>
      <c r="U199" s="3"/>
      <c r="V199" s="3"/>
      <c r="W199" s="3"/>
      <c r="X199" s="1"/>
      <c r="Y199" s="1"/>
      <c r="Z199" s="1"/>
    </row>
    <row r="200" ht="12.75" customHeight="1">
      <c r="A200" s="1"/>
      <c r="B200" s="3"/>
      <c r="C200" s="3"/>
      <c r="D200" s="3"/>
      <c r="E200" s="3"/>
      <c r="F200" s="3"/>
      <c r="G200" s="3"/>
      <c r="H200" s="3"/>
      <c r="I200" s="3"/>
      <c r="J200" s="3"/>
      <c r="K200" s="3"/>
      <c r="L200" s="3"/>
      <c r="M200" s="3"/>
      <c r="N200" s="3"/>
      <c r="O200" s="3"/>
      <c r="P200" s="3"/>
      <c r="Q200" s="3"/>
      <c r="R200" s="3"/>
      <c r="S200" s="3"/>
      <c r="T200" s="3"/>
      <c r="U200" s="3"/>
      <c r="V200" s="3"/>
      <c r="W200" s="3"/>
      <c r="X200" s="1"/>
      <c r="Y200" s="1"/>
      <c r="Z200" s="1"/>
    </row>
    <row r="201" ht="12.75" customHeight="1">
      <c r="A201" s="1"/>
      <c r="B201" s="3"/>
      <c r="C201" s="3"/>
      <c r="D201" s="3"/>
      <c r="E201" s="3"/>
      <c r="F201" s="3"/>
      <c r="G201" s="3"/>
      <c r="H201" s="3"/>
      <c r="I201" s="3"/>
      <c r="J201" s="3"/>
      <c r="K201" s="3"/>
      <c r="L201" s="3"/>
      <c r="M201" s="3"/>
      <c r="N201" s="3"/>
      <c r="O201" s="3"/>
      <c r="P201" s="3"/>
      <c r="Q201" s="3"/>
      <c r="R201" s="3"/>
      <c r="S201" s="3"/>
      <c r="T201" s="3"/>
      <c r="U201" s="3"/>
      <c r="V201" s="3"/>
      <c r="W201" s="3"/>
      <c r="X201" s="1"/>
      <c r="Y201" s="1"/>
      <c r="Z201" s="1"/>
    </row>
    <row r="202" ht="12.75" customHeight="1">
      <c r="A202" s="1"/>
      <c r="B202" s="3"/>
      <c r="C202" s="3"/>
      <c r="D202" s="3"/>
      <c r="E202" s="3"/>
      <c r="F202" s="3"/>
      <c r="G202" s="3"/>
      <c r="H202" s="3"/>
      <c r="I202" s="3"/>
      <c r="J202" s="3"/>
      <c r="K202" s="3"/>
      <c r="L202" s="3"/>
      <c r="M202" s="3"/>
      <c r="N202" s="3"/>
      <c r="O202" s="3"/>
      <c r="P202" s="3"/>
      <c r="Q202" s="3"/>
      <c r="R202" s="3"/>
      <c r="S202" s="3"/>
      <c r="T202" s="3"/>
      <c r="U202" s="3"/>
      <c r="V202" s="3"/>
      <c r="W202" s="3"/>
      <c r="X202" s="1"/>
      <c r="Y202" s="1"/>
      <c r="Z202" s="1"/>
    </row>
    <row r="203" ht="12.75" customHeight="1">
      <c r="A203" s="1"/>
      <c r="B203" s="3"/>
      <c r="C203" s="3"/>
      <c r="D203" s="3"/>
      <c r="E203" s="3"/>
      <c r="F203" s="3"/>
      <c r="G203" s="3"/>
      <c r="H203" s="3"/>
      <c r="I203" s="3"/>
      <c r="J203" s="3"/>
      <c r="K203" s="3"/>
      <c r="L203" s="3"/>
      <c r="M203" s="3"/>
      <c r="N203" s="3"/>
      <c r="O203" s="3"/>
      <c r="P203" s="3"/>
      <c r="Q203" s="3"/>
      <c r="R203" s="3"/>
      <c r="S203" s="3"/>
      <c r="T203" s="3"/>
      <c r="U203" s="3"/>
      <c r="V203" s="3"/>
      <c r="W203" s="3"/>
      <c r="X203" s="1"/>
      <c r="Y203" s="1"/>
      <c r="Z203" s="1"/>
    </row>
    <row r="204" ht="12.75" customHeight="1">
      <c r="A204" s="1"/>
      <c r="B204" s="3"/>
      <c r="C204" s="3"/>
      <c r="D204" s="3"/>
      <c r="E204" s="3"/>
      <c r="F204" s="3"/>
      <c r="G204" s="3"/>
      <c r="H204" s="3"/>
      <c r="I204" s="3"/>
      <c r="J204" s="3"/>
      <c r="K204" s="3"/>
      <c r="L204" s="3"/>
      <c r="M204" s="3"/>
      <c r="N204" s="3"/>
      <c r="O204" s="3"/>
      <c r="P204" s="3"/>
      <c r="Q204" s="3"/>
      <c r="R204" s="3"/>
      <c r="S204" s="3"/>
      <c r="T204" s="3"/>
      <c r="U204" s="3"/>
      <c r="V204" s="3"/>
      <c r="W204" s="3"/>
      <c r="X204" s="1"/>
      <c r="Y204" s="1"/>
      <c r="Z204" s="1"/>
    </row>
    <row r="205" ht="12.75" customHeight="1">
      <c r="A205" s="1"/>
      <c r="B205" s="3"/>
      <c r="C205" s="3"/>
      <c r="D205" s="3"/>
      <c r="E205" s="3"/>
      <c r="F205" s="3"/>
      <c r="G205" s="3"/>
      <c r="H205" s="3"/>
      <c r="I205" s="3"/>
      <c r="J205" s="3"/>
      <c r="K205" s="3"/>
      <c r="L205" s="3"/>
      <c r="M205" s="3"/>
      <c r="N205" s="3"/>
      <c r="O205" s="3"/>
      <c r="P205" s="3"/>
      <c r="Q205" s="3"/>
      <c r="R205" s="3"/>
      <c r="S205" s="3"/>
      <c r="T205" s="3"/>
      <c r="U205" s="3"/>
      <c r="V205" s="3"/>
      <c r="W205" s="3"/>
      <c r="X205" s="1"/>
      <c r="Y205" s="1"/>
      <c r="Z205" s="1"/>
    </row>
    <row r="206" ht="12.75" customHeight="1">
      <c r="A206" s="1"/>
      <c r="B206" s="3"/>
      <c r="C206" s="3"/>
      <c r="D206" s="3"/>
      <c r="E206" s="3"/>
      <c r="F206" s="3"/>
      <c r="G206" s="3"/>
      <c r="H206" s="3"/>
      <c r="I206" s="3"/>
      <c r="J206" s="3"/>
      <c r="K206" s="3"/>
      <c r="L206" s="3"/>
      <c r="M206" s="3"/>
      <c r="N206" s="3"/>
      <c r="O206" s="3"/>
      <c r="P206" s="3"/>
      <c r="Q206" s="3"/>
      <c r="R206" s="3"/>
      <c r="S206" s="3"/>
      <c r="T206" s="3"/>
      <c r="U206" s="3"/>
      <c r="V206" s="3"/>
      <c r="W206" s="3"/>
      <c r="X206" s="1"/>
      <c r="Y206" s="1"/>
      <c r="Z206" s="1"/>
    </row>
    <row r="207" ht="12.75" customHeight="1">
      <c r="A207" s="1"/>
      <c r="B207" s="3"/>
      <c r="C207" s="3"/>
      <c r="D207" s="3"/>
      <c r="E207" s="3"/>
      <c r="F207" s="3"/>
      <c r="G207" s="3"/>
      <c r="H207" s="3"/>
      <c r="I207" s="3"/>
      <c r="J207" s="3"/>
      <c r="K207" s="3"/>
      <c r="L207" s="3"/>
      <c r="M207" s="3"/>
      <c r="N207" s="3"/>
      <c r="O207" s="3"/>
      <c r="P207" s="3"/>
      <c r="Q207" s="3"/>
      <c r="R207" s="3"/>
      <c r="S207" s="3"/>
      <c r="T207" s="3"/>
      <c r="U207" s="3"/>
      <c r="V207" s="3"/>
      <c r="W207" s="3"/>
      <c r="X207" s="1"/>
      <c r="Y207" s="1"/>
      <c r="Z207" s="1"/>
    </row>
    <row r="208" ht="12.75" customHeight="1">
      <c r="A208" s="1"/>
      <c r="B208" s="3"/>
      <c r="C208" s="3"/>
      <c r="D208" s="3"/>
      <c r="E208" s="3"/>
      <c r="F208" s="3"/>
      <c r="G208" s="3"/>
      <c r="H208" s="3"/>
      <c r="I208" s="3"/>
      <c r="J208" s="3"/>
      <c r="K208" s="3"/>
      <c r="L208" s="3"/>
      <c r="M208" s="3"/>
      <c r="N208" s="3"/>
      <c r="O208" s="3"/>
      <c r="P208" s="3"/>
      <c r="Q208" s="3"/>
      <c r="R208" s="3"/>
      <c r="S208" s="3"/>
      <c r="T208" s="3"/>
      <c r="U208" s="3"/>
      <c r="V208" s="3"/>
      <c r="W208" s="3"/>
      <c r="X208" s="1"/>
      <c r="Y208" s="1"/>
      <c r="Z208" s="1"/>
    </row>
    <row r="209" ht="12.75" customHeight="1">
      <c r="A209" s="1"/>
      <c r="B209" s="3"/>
      <c r="C209" s="3"/>
      <c r="D209" s="3"/>
      <c r="E209" s="3"/>
      <c r="F209" s="3"/>
      <c r="G209" s="3"/>
      <c r="H209" s="3"/>
      <c r="I209" s="3"/>
      <c r="J209" s="3"/>
      <c r="K209" s="3"/>
      <c r="L209" s="3"/>
      <c r="M209" s="3"/>
      <c r="N209" s="3"/>
      <c r="O209" s="3"/>
      <c r="P209" s="3"/>
      <c r="Q209" s="3"/>
      <c r="R209" s="3"/>
      <c r="S209" s="3"/>
      <c r="T209" s="3"/>
      <c r="U209" s="3"/>
      <c r="V209" s="3"/>
      <c r="W209" s="3"/>
      <c r="X209" s="1"/>
      <c r="Y209" s="1"/>
      <c r="Z209" s="1"/>
    </row>
    <row r="210" ht="12.75" customHeight="1">
      <c r="A210" s="1"/>
      <c r="B210" s="3"/>
      <c r="C210" s="3"/>
      <c r="D210" s="3"/>
      <c r="E210" s="3"/>
      <c r="F210" s="3"/>
      <c r="G210" s="3"/>
      <c r="H210" s="3"/>
      <c r="I210" s="3"/>
      <c r="J210" s="3"/>
      <c r="K210" s="3"/>
      <c r="L210" s="3"/>
      <c r="M210" s="3"/>
      <c r="N210" s="3"/>
      <c r="O210" s="3"/>
      <c r="P210" s="3"/>
      <c r="Q210" s="3"/>
      <c r="R210" s="3"/>
      <c r="S210" s="3"/>
      <c r="T210" s="3"/>
      <c r="U210" s="3"/>
      <c r="V210" s="3"/>
      <c r="W210" s="3"/>
      <c r="X210" s="1"/>
      <c r="Y210" s="1"/>
      <c r="Z210" s="1"/>
    </row>
    <row r="211" ht="12.75" customHeight="1">
      <c r="A211" s="1"/>
      <c r="B211" s="3"/>
      <c r="C211" s="3"/>
      <c r="D211" s="3"/>
      <c r="E211" s="3"/>
      <c r="F211" s="3"/>
      <c r="G211" s="3"/>
      <c r="H211" s="3"/>
      <c r="I211" s="3"/>
      <c r="J211" s="3"/>
      <c r="K211" s="3"/>
      <c r="L211" s="3"/>
      <c r="M211" s="3"/>
      <c r="N211" s="3"/>
      <c r="O211" s="3"/>
      <c r="P211" s="3"/>
      <c r="Q211" s="3"/>
      <c r="R211" s="3"/>
      <c r="S211" s="3"/>
      <c r="T211" s="3"/>
      <c r="U211" s="3"/>
      <c r="V211" s="3"/>
      <c r="W211" s="3"/>
      <c r="X211" s="1"/>
      <c r="Y211" s="1"/>
      <c r="Z211" s="1"/>
    </row>
    <row r="212" ht="12.75" customHeight="1">
      <c r="A212" s="1"/>
      <c r="B212" s="3"/>
      <c r="C212" s="3"/>
      <c r="D212" s="3"/>
      <c r="E212" s="3"/>
      <c r="F212" s="3"/>
      <c r="G212" s="3"/>
      <c r="H212" s="3"/>
      <c r="I212" s="3"/>
      <c r="J212" s="3"/>
      <c r="K212" s="3"/>
      <c r="L212" s="3"/>
      <c r="M212" s="3"/>
      <c r="N212" s="3"/>
      <c r="O212" s="3"/>
      <c r="P212" s="3"/>
      <c r="Q212" s="3"/>
      <c r="R212" s="3"/>
      <c r="S212" s="3"/>
      <c r="T212" s="3"/>
      <c r="U212" s="3"/>
      <c r="V212" s="3"/>
      <c r="W212" s="3"/>
      <c r="X212" s="1"/>
      <c r="Y212" s="1"/>
      <c r="Z212" s="1"/>
    </row>
    <row r="213" ht="12.75" customHeight="1">
      <c r="A213" s="1"/>
      <c r="B213" s="3"/>
      <c r="C213" s="3"/>
      <c r="D213" s="3"/>
      <c r="E213" s="3"/>
      <c r="F213" s="3"/>
      <c r="G213" s="3"/>
      <c r="H213" s="3"/>
      <c r="I213" s="3"/>
      <c r="J213" s="3"/>
      <c r="K213" s="3"/>
      <c r="L213" s="3"/>
      <c r="M213" s="3"/>
      <c r="N213" s="3"/>
      <c r="O213" s="3"/>
      <c r="P213" s="3"/>
      <c r="Q213" s="3"/>
      <c r="R213" s="3"/>
      <c r="S213" s="3"/>
      <c r="T213" s="3"/>
      <c r="U213" s="3"/>
      <c r="V213" s="3"/>
      <c r="W213" s="3"/>
      <c r="X213" s="1"/>
      <c r="Y213" s="1"/>
      <c r="Z213" s="1"/>
    </row>
    <row r="214" ht="12.75" customHeight="1">
      <c r="A214" s="1"/>
      <c r="B214" s="3"/>
      <c r="C214" s="3"/>
      <c r="D214" s="3"/>
      <c r="E214" s="3"/>
      <c r="F214" s="3"/>
      <c r="G214" s="3"/>
      <c r="H214" s="3"/>
      <c r="I214" s="3"/>
      <c r="J214" s="3"/>
      <c r="K214" s="3"/>
      <c r="L214" s="3"/>
      <c r="M214" s="3"/>
      <c r="N214" s="3"/>
      <c r="O214" s="3"/>
      <c r="P214" s="3"/>
      <c r="Q214" s="3"/>
      <c r="R214" s="3"/>
      <c r="S214" s="3"/>
      <c r="T214" s="3"/>
      <c r="U214" s="3"/>
      <c r="V214" s="3"/>
      <c r="W214" s="3"/>
      <c r="X214" s="1"/>
      <c r="Y214" s="1"/>
      <c r="Z214" s="1"/>
    </row>
    <row r="215" ht="12.75" customHeight="1">
      <c r="A215" s="1"/>
      <c r="B215" s="3"/>
      <c r="C215" s="3"/>
      <c r="D215" s="3"/>
      <c r="E215" s="3"/>
      <c r="F215" s="3"/>
      <c r="G215" s="3"/>
      <c r="H215" s="3"/>
      <c r="I215" s="3"/>
      <c r="J215" s="3"/>
      <c r="K215" s="3"/>
      <c r="L215" s="3"/>
      <c r="M215" s="3"/>
      <c r="N215" s="3"/>
      <c r="O215" s="3"/>
      <c r="P215" s="3"/>
      <c r="Q215" s="3"/>
      <c r="R215" s="3"/>
      <c r="S215" s="3"/>
      <c r="T215" s="3"/>
      <c r="U215" s="3"/>
      <c r="V215" s="3"/>
      <c r="W215" s="3"/>
      <c r="X215" s="1"/>
      <c r="Y215" s="1"/>
      <c r="Z215" s="1"/>
    </row>
    <row r="216" ht="12.75" customHeight="1">
      <c r="A216" s="1"/>
      <c r="B216" s="3"/>
      <c r="C216" s="3"/>
      <c r="D216" s="3"/>
      <c r="E216" s="3"/>
      <c r="F216" s="3"/>
      <c r="G216" s="3"/>
      <c r="H216" s="3"/>
      <c r="I216" s="3"/>
      <c r="J216" s="3"/>
      <c r="K216" s="3"/>
      <c r="L216" s="3"/>
      <c r="M216" s="3"/>
      <c r="N216" s="3"/>
      <c r="O216" s="3"/>
      <c r="P216" s="3"/>
      <c r="Q216" s="3"/>
      <c r="R216" s="3"/>
      <c r="S216" s="3"/>
      <c r="T216" s="3"/>
      <c r="U216" s="3"/>
      <c r="V216" s="3"/>
      <c r="W216" s="3"/>
      <c r="X216" s="1"/>
      <c r="Y216" s="1"/>
      <c r="Z216" s="1"/>
    </row>
    <row r="217" ht="12.75" customHeight="1">
      <c r="A217" s="1"/>
      <c r="B217" s="3"/>
      <c r="C217" s="3"/>
      <c r="D217" s="3"/>
      <c r="E217" s="3"/>
      <c r="F217" s="3"/>
      <c r="G217" s="3"/>
      <c r="H217" s="3"/>
      <c r="I217" s="3"/>
      <c r="J217" s="3"/>
      <c r="K217" s="3"/>
      <c r="L217" s="3"/>
      <c r="M217" s="3"/>
      <c r="N217" s="3"/>
      <c r="O217" s="3"/>
      <c r="P217" s="3"/>
      <c r="Q217" s="3"/>
      <c r="R217" s="3"/>
      <c r="S217" s="3"/>
      <c r="T217" s="3"/>
      <c r="U217" s="3"/>
      <c r="V217" s="3"/>
      <c r="W217" s="3"/>
      <c r="X217" s="1"/>
      <c r="Y217" s="1"/>
      <c r="Z217" s="1"/>
    </row>
    <row r="218" ht="12.75" customHeight="1">
      <c r="A218" s="1"/>
      <c r="B218" s="3"/>
      <c r="C218" s="3"/>
      <c r="D218" s="3"/>
      <c r="E218" s="3"/>
      <c r="F218" s="3"/>
      <c r="G218" s="3"/>
      <c r="H218" s="3"/>
      <c r="I218" s="3"/>
      <c r="J218" s="3"/>
      <c r="K218" s="3"/>
      <c r="L218" s="3"/>
      <c r="M218" s="3"/>
      <c r="N218" s="3"/>
      <c r="O218" s="3"/>
      <c r="P218" s="3"/>
      <c r="Q218" s="3"/>
      <c r="R218" s="3"/>
      <c r="S218" s="3"/>
      <c r="T218" s="3"/>
      <c r="U218" s="3"/>
      <c r="V218" s="3"/>
      <c r="W218" s="3"/>
      <c r="X218" s="1"/>
      <c r="Y218" s="1"/>
      <c r="Z218" s="1"/>
    </row>
    <row r="219" ht="12.75" customHeight="1">
      <c r="A219" s="1"/>
      <c r="B219" s="3"/>
      <c r="C219" s="3"/>
      <c r="D219" s="3"/>
      <c r="E219" s="3"/>
      <c r="F219" s="3"/>
      <c r="G219" s="3"/>
      <c r="H219" s="3"/>
      <c r="I219" s="3"/>
      <c r="J219" s="3"/>
      <c r="K219" s="3"/>
      <c r="L219" s="3"/>
      <c r="M219" s="3"/>
      <c r="N219" s="3"/>
      <c r="O219" s="3"/>
      <c r="P219" s="3"/>
      <c r="Q219" s="3"/>
      <c r="R219" s="3"/>
      <c r="S219" s="3"/>
      <c r="T219" s="3"/>
      <c r="U219" s="3"/>
      <c r="V219" s="3"/>
      <c r="W219" s="3"/>
      <c r="X219" s="1"/>
      <c r="Y219" s="1"/>
      <c r="Z219" s="1"/>
    </row>
    <row r="220" ht="12.75" customHeight="1">
      <c r="A220" s="1"/>
      <c r="B220" s="3"/>
      <c r="C220" s="3"/>
      <c r="D220" s="3"/>
      <c r="E220" s="3"/>
      <c r="F220" s="3"/>
      <c r="G220" s="3"/>
      <c r="H220" s="3"/>
      <c r="I220" s="3"/>
      <c r="J220" s="3"/>
      <c r="K220" s="3"/>
      <c r="L220" s="3"/>
      <c r="M220" s="3"/>
      <c r="N220" s="3"/>
      <c r="O220" s="3"/>
      <c r="P220" s="3"/>
      <c r="Q220" s="3"/>
      <c r="R220" s="3"/>
      <c r="S220" s="3"/>
      <c r="T220" s="3"/>
      <c r="U220" s="3"/>
      <c r="V220" s="3"/>
      <c r="W220" s="3"/>
      <c r="X220" s="1"/>
      <c r="Y220" s="1"/>
      <c r="Z220" s="1"/>
    </row>
    <row r="221" ht="12.75" customHeight="1">
      <c r="A221" s="1"/>
      <c r="B221" s="3"/>
      <c r="C221" s="3"/>
      <c r="D221" s="3"/>
      <c r="E221" s="3"/>
      <c r="F221" s="3"/>
      <c r="G221" s="3"/>
      <c r="H221" s="3"/>
      <c r="I221" s="3"/>
      <c r="J221" s="3"/>
      <c r="K221" s="3"/>
      <c r="L221" s="3"/>
      <c r="M221" s="3"/>
      <c r="N221" s="3"/>
      <c r="O221" s="3"/>
      <c r="P221" s="3"/>
      <c r="Q221" s="3"/>
      <c r="R221" s="3"/>
      <c r="S221" s="3"/>
      <c r="T221" s="3"/>
      <c r="U221" s="3"/>
      <c r="V221" s="3"/>
      <c r="W221" s="3"/>
      <c r="X221" s="1"/>
      <c r="Y221" s="1"/>
      <c r="Z221" s="1"/>
    </row>
    <row r="222" ht="12.75" customHeight="1">
      <c r="A222" s="1"/>
      <c r="B222" s="3"/>
      <c r="C222" s="3"/>
      <c r="D222" s="3"/>
      <c r="E222" s="3"/>
      <c r="F222" s="3"/>
      <c r="G222" s="3"/>
      <c r="H222" s="3"/>
      <c r="I222" s="3"/>
      <c r="J222" s="3"/>
      <c r="K222" s="3"/>
      <c r="L222" s="3"/>
      <c r="M222" s="3"/>
      <c r="N222" s="3"/>
      <c r="O222" s="3"/>
      <c r="P222" s="3"/>
      <c r="Q222" s="3"/>
      <c r="R222" s="3"/>
      <c r="S222" s="3"/>
      <c r="T222" s="3"/>
      <c r="U222" s="3"/>
      <c r="V222" s="3"/>
      <c r="W222" s="3"/>
      <c r="X222" s="1"/>
      <c r="Y222" s="1"/>
      <c r="Z222" s="1"/>
    </row>
    <row r="223" ht="12.75" customHeight="1">
      <c r="A223" s="1"/>
      <c r="B223" s="3"/>
      <c r="C223" s="3"/>
      <c r="D223" s="3"/>
      <c r="E223" s="3"/>
      <c r="F223" s="3"/>
      <c r="G223" s="3"/>
      <c r="H223" s="3"/>
      <c r="I223" s="3"/>
      <c r="J223" s="3"/>
      <c r="K223" s="3"/>
      <c r="L223" s="3"/>
      <c r="M223" s="3"/>
      <c r="N223" s="3"/>
      <c r="O223" s="3"/>
      <c r="P223" s="3"/>
      <c r="Q223" s="3"/>
      <c r="R223" s="3"/>
      <c r="S223" s="3"/>
      <c r="T223" s="3"/>
      <c r="U223" s="3"/>
      <c r="V223" s="3"/>
      <c r="W223" s="3"/>
      <c r="X223" s="1"/>
      <c r="Y223" s="1"/>
      <c r="Z223" s="1"/>
    </row>
    <row r="224" ht="12.75" customHeight="1">
      <c r="A224" s="1"/>
      <c r="B224" s="3"/>
      <c r="C224" s="3"/>
      <c r="D224" s="3"/>
      <c r="E224" s="3"/>
      <c r="F224" s="3"/>
      <c r="G224" s="3"/>
      <c r="H224" s="3"/>
      <c r="I224" s="3"/>
      <c r="J224" s="3"/>
      <c r="K224" s="3"/>
      <c r="L224" s="3"/>
      <c r="M224" s="3"/>
      <c r="N224" s="3"/>
      <c r="O224" s="3"/>
      <c r="P224" s="3"/>
      <c r="Q224" s="3"/>
      <c r="R224" s="3"/>
      <c r="S224" s="3"/>
      <c r="T224" s="3"/>
      <c r="U224" s="3"/>
      <c r="V224" s="3"/>
      <c r="W224" s="3"/>
      <c r="X224" s="1"/>
      <c r="Y224" s="1"/>
      <c r="Z224" s="1"/>
    </row>
    <row r="225" ht="12.75" customHeight="1">
      <c r="A225" s="1"/>
      <c r="B225" s="3"/>
      <c r="C225" s="3"/>
      <c r="D225" s="3"/>
      <c r="E225" s="3"/>
      <c r="F225" s="3"/>
      <c r="G225" s="3"/>
      <c r="H225" s="3"/>
      <c r="I225" s="3"/>
      <c r="J225" s="3"/>
      <c r="K225" s="3"/>
      <c r="L225" s="3"/>
      <c r="M225" s="3"/>
      <c r="N225" s="3"/>
      <c r="O225" s="3"/>
      <c r="P225" s="3"/>
      <c r="Q225" s="3"/>
      <c r="R225" s="3"/>
      <c r="S225" s="3"/>
      <c r="T225" s="3"/>
      <c r="U225" s="3"/>
      <c r="V225" s="3"/>
      <c r="W225" s="3"/>
      <c r="X225" s="1"/>
      <c r="Y225" s="1"/>
      <c r="Z225" s="1"/>
    </row>
    <row r="226" ht="12.75" customHeight="1">
      <c r="A226" s="1"/>
      <c r="B226" s="3"/>
      <c r="C226" s="3"/>
      <c r="D226" s="3"/>
      <c r="E226" s="3"/>
      <c r="F226" s="3"/>
      <c r="G226" s="3"/>
      <c r="H226" s="3"/>
      <c r="I226" s="3"/>
      <c r="J226" s="3"/>
      <c r="K226" s="3"/>
      <c r="L226" s="3"/>
      <c r="M226" s="3"/>
      <c r="N226" s="3"/>
      <c r="O226" s="3"/>
      <c r="P226" s="3"/>
      <c r="Q226" s="3"/>
      <c r="R226" s="3"/>
      <c r="S226" s="3"/>
      <c r="T226" s="3"/>
      <c r="U226" s="3"/>
      <c r="V226" s="3"/>
      <c r="W226" s="3"/>
      <c r="X226" s="1"/>
      <c r="Y226" s="1"/>
      <c r="Z226" s="1"/>
    </row>
    <row r="227" ht="12.75" customHeight="1">
      <c r="A227" s="1"/>
      <c r="B227" s="3"/>
      <c r="C227" s="3"/>
      <c r="D227" s="3"/>
      <c r="E227" s="3"/>
      <c r="F227" s="3"/>
      <c r="G227" s="3"/>
      <c r="H227" s="3"/>
      <c r="I227" s="3"/>
      <c r="J227" s="3"/>
      <c r="K227" s="3"/>
      <c r="L227" s="3"/>
      <c r="M227" s="3"/>
      <c r="N227" s="3"/>
      <c r="O227" s="3"/>
      <c r="P227" s="3"/>
      <c r="Q227" s="3"/>
      <c r="R227" s="3"/>
      <c r="S227" s="3"/>
      <c r="T227" s="3"/>
      <c r="U227" s="3"/>
      <c r="V227" s="3"/>
      <c r="W227" s="3"/>
      <c r="X227" s="1"/>
      <c r="Y227" s="1"/>
      <c r="Z227" s="1"/>
    </row>
    <row r="228" ht="12.75" customHeight="1">
      <c r="A228" s="1"/>
      <c r="B228" s="3"/>
      <c r="C228" s="3"/>
      <c r="D228" s="3"/>
      <c r="E228" s="3"/>
      <c r="F228" s="3"/>
      <c r="G228" s="3"/>
      <c r="H228" s="3"/>
      <c r="I228" s="3"/>
      <c r="J228" s="3"/>
      <c r="K228" s="3"/>
      <c r="L228" s="3"/>
      <c r="M228" s="3"/>
      <c r="N228" s="3"/>
      <c r="O228" s="3"/>
      <c r="P228" s="3"/>
      <c r="Q228" s="3"/>
      <c r="R228" s="3"/>
      <c r="S228" s="3"/>
      <c r="T228" s="3"/>
      <c r="U228" s="3"/>
      <c r="V228" s="3"/>
      <c r="W228" s="3"/>
      <c r="X228" s="1"/>
      <c r="Y228" s="1"/>
      <c r="Z228" s="1"/>
    </row>
    <row r="229" ht="12.75" customHeight="1">
      <c r="A229" s="1"/>
      <c r="B229" s="3"/>
      <c r="C229" s="3"/>
      <c r="D229" s="3"/>
      <c r="E229" s="3"/>
      <c r="F229" s="3"/>
      <c r="G229" s="3"/>
      <c r="H229" s="3"/>
      <c r="I229" s="3"/>
      <c r="J229" s="3"/>
      <c r="K229" s="3"/>
      <c r="L229" s="3"/>
      <c r="M229" s="3"/>
      <c r="N229" s="3"/>
      <c r="O229" s="3"/>
      <c r="P229" s="3"/>
      <c r="Q229" s="3"/>
      <c r="R229" s="3"/>
      <c r="S229" s="3"/>
      <c r="T229" s="3"/>
      <c r="U229" s="3"/>
      <c r="V229" s="3"/>
      <c r="W229" s="3"/>
      <c r="X229" s="1"/>
      <c r="Y229" s="1"/>
      <c r="Z229" s="1"/>
    </row>
    <row r="230" ht="12.75" customHeight="1">
      <c r="A230" s="1"/>
      <c r="B230" s="3"/>
      <c r="C230" s="3"/>
      <c r="D230" s="3"/>
      <c r="E230" s="3"/>
      <c r="F230" s="3"/>
      <c r="G230" s="3"/>
      <c r="H230" s="3"/>
      <c r="I230" s="3"/>
      <c r="J230" s="3"/>
      <c r="K230" s="3"/>
      <c r="L230" s="3"/>
      <c r="M230" s="3"/>
      <c r="N230" s="3"/>
      <c r="O230" s="3"/>
      <c r="P230" s="3"/>
      <c r="Q230" s="3"/>
      <c r="R230" s="3"/>
      <c r="S230" s="3"/>
      <c r="T230" s="3"/>
      <c r="U230" s="3"/>
      <c r="V230" s="3"/>
      <c r="W230" s="3"/>
      <c r="X230" s="1"/>
      <c r="Y230" s="1"/>
      <c r="Z230" s="1"/>
    </row>
    <row r="231" ht="12.75" customHeight="1">
      <c r="A231" s="1"/>
      <c r="B231" s="3"/>
      <c r="C231" s="3"/>
      <c r="D231" s="3"/>
      <c r="E231" s="3"/>
      <c r="F231" s="3"/>
      <c r="G231" s="3"/>
      <c r="H231" s="3"/>
      <c r="I231" s="3"/>
      <c r="J231" s="3"/>
      <c r="K231" s="3"/>
      <c r="L231" s="3"/>
      <c r="M231" s="3"/>
      <c r="N231" s="3"/>
      <c r="O231" s="3"/>
      <c r="P231" s="3"/>
      <c r="Q231" s="3"/>
      <c r="R231" s="3"/>
      <c r="S231" s="3"/>
      <c r="T231" s="3"/>
      <c r="U231" s="3"/>
      <c r="V231" s="3"/>
      <c r="W231" s="3"/>
      <c r="X231" s="1"/>
      <c r="Y231" s="1"/>
      <c r="Z231" s="1"/>
    </row>
    <row r="232" ht="12.75" customHeight="1">
      <c r="A232" s="1"/>
      <c r="B232" s="3"/>
      <c r="C232" s="3"/>
      <c r="D232" s="3"/>
      <c r="E232" s="3"/>
      <c r="F232" s="3"/>
      <c r="G232" s="3"/>
      <c r="H232" s="3"/>
      <c r="I232" s="3"/>
      <c r="J232" s="3"/>
      <c r="K232" s="3"/>
      <c r="L232" s="3"/>
      <c r="M232" s="3"/>
      <c r="N232" s="3"/>
      <c r="O232" s="3"/>
      <c r="P232" s="3"/>
      <c r="Q232" s="3"/>
      <c r="R232" s="3"/>
      <c r="S232" s="3"/>
      <c r="T232" s="3"/>
      <c r="U232" s="3"/>
      <c r="V232" s="3"/>
      <c r="W232" s="3"/>
      <c r="X232" s="1"/>
      <c r="Y232" s="1"/>
      <c r="Z232" s="1"/>
    </row>
    <row r="233" ht="12.75" customHeight="1">
      <c r="A233" s="1"/>
      <c r="B233" s="3"/>
      <c r="C233" s="3"/>
      <c r="D233" s="3"/>
      <c r="E233" s="3"/>
      <c r="F233" s="3"/>
      <c r="G233" s="3"/>
      <c r="H233" s="3"/>
      <c r="I233" s="3"/>
      <c r="J233" s="3"/>
      <c r="K233" s="3"/>
      <c r="L233" s="3"/>
      <c r="M233" s="3"/>
      <c r="N233" s="3"/>
      <c r="O233" s="3"/>
      <c r="P233" s="3"/>
      <c r="Q233" s="3"/>
      <c r="R233" s="3"/>
      <c r="S233" s="3"/>
      <c r="T233" s="3"/>
      <c r="U233" s="3"/>
      <c r="V233" s="3"/>
      <c r="W233" s="3"/>
      <c r="X233" s="1"/>
      <c r="Y233" s="1"/>
      <c r="Z233" s="1"/>
    </row>
    <row r="234" ht="12.75" customHeight="1">
      <c r="A234" s="1"/>
      <c r="B234" s="3"/>
      <c r="C234" s="3"/>
      <c r="D234" s="3"/>
      <c r="E234" s="3"/>
      <c r="F234" s="3"/>
      <c r="G234" s="3"/>
      <c r="H234" s="3"/>
      <c r="I234" s="3"/>
      <c r="J234" s="3"/>
      <c r="K234" s="3"/>
      <c r="L234" s="3"/>
      <c r="M234" s="3"/>
      <c r="N234" s="3"/>
      <c r="O234" s="3"/>
      <c r="P234" s="3"/>
      <c r="Q234" s="3"/>
      <c r="R234" s="3"/>
      <c r="S234" s="3"/>
      <c r="T234" s="3"/>
      <c r="U234" s="3"/>
      <c r="V234" s="3"/>
      <c r="W234" s="3"/>
      <c r="X234" s="1"/>
      <c r="Y234" s="1"/>
      <c r="Z234" s="1"/>
    </row>
    <row r="235" ht="12.75" customHeight="1">
      <c r="A235" s="1"/>
      <c r="B235" s="3"/>
      <c r="C235" s="3"/>
      <c r="D235" s="3"/>
      <c r="E235" s="3"/>
      <c r="F235" s="3"/>
      <c r="G235" s="3"/>
      <c r="H235" s="3"/>
      <c r="I235" s="3"/>
      <c r="J235" s="3"/>
      <c r="K235" s="3"/>
      <c r="L235" s="3"/>
      <c r="M235" s="3"/>
      <c r="N235" s="3"/>
      <c r="O235" s="3"/>
      <c r="P235" s="3"/>
      <c r="Q235" s="3"/>
      <c r="R235" s="3"/>
      <c r="S235" s="3"/>
      <c r="T235" s="3"/>
      <c r="U235" s="3"/>
      <c r="V235" s="3"/>
      <c r="W235" s="3"/>
      <c r="X235" s="1"/>
      <c r="Y235" s="1"/>
      <c r="Z235" s="1"/>
    </row>
    <row r="236" ht="12.75" customHeight="1">
      <c r="A236" s="1"/>
      <c r="B236" s="3"/>
      <c r="C236" s="3"/>
      <c r="D236" s="3"/>
      <c r="E236" s="3"/>
      <c r="F236" s="3"/>
      <c r="G236" s="3"/>
      <c r="H236" s="3"/>
      <c r="I236" s="3"/>
      <c r="J236" s="3"/>
      <c r="K236" s="3"/>
      <c r="L236" s="3"/>
      <c r="M236" s="3"/>
      <c r="N236" s="3"/>
      <c r="O236" s="3"/>
      <c r="P236" s="3"/>
      <c r="Q236" s="3"/>
      <c r="R236" s="3"/>
      <c r="S236" s="3"/>
      <c r="T236" s="3"/>
      <c r="U236" s="3"/>
      <c r="V236" s="3"/>
      <c r="W236" s="3"/>
      <c r="X236" s="1"/>
      <c r="Y236" s="1"/>
      <c r="Z236" s="1"/>
    </row>
    <row r="237" ht="12.75" customHeight="1">
      <c r="A237" s="1"/>
      <c r="B237" s="3"/>
      <c r="C237" s="3"/>
      <c r="D237" s="3"/>
      <c r="E237" s="3"/>
      <c r="F237" s="3"/>
      <c r="G237" s="3"/>
      <c r="H237" s="3"/>
      <c r="I237" s="3"/>
      <c r="J237" s="3"/>
      <c r="K237" s="3"/>
      <c r="L237" s="3"/>
      <c r="M237" s="3"/>
      <c r="N237" s="3"/>
      <c r="O237" s="3"/>
      <c r="P237" s="3"/>
      <c r="Q237" s="3"/>
      <c r="R237" s="3"/>
      <c r="S237" s="3"/>
      <c r="T237" s="3"/>
      <c r="U237" s="3"/>
      <c r="V237" s="3"/>
      <c r="W237" s="3"/>
      <c r="X237" s="1"/>
      <c r="Y237" s="1"/>
      <c r="Z237" s="1"/>
    </row>
    <row r="238" ht="12.75" customHeight="1">
      <c r="A238" s="1"/>
      <c r="B238" s="3"/>
      <c r="C238" s="3"/>
      <c r="D238" s="3"/>
      <c r="E238" s="3"/>
      <c r="F238" s="3"/>
      <c r="G238" s="3"/>
      <c r="H238" s="3"/>
      <c r="I238" s="3"/>
      <c r="J238" s="3"/>
      <c r="K238" s="3"/>
      <c r="L238" s="3"/>
      <c r="M238" s="3"/>
      <c r="N238" s="3"/>
      <c r="O238" s="3"/>
      <c r="P238" s="3"/>
      <c r="Q238" s="3"/>
      <c r="R238" s="3"/>
      <c r="S238" s="3"/>
      <c r="T238" s="3"/>
      <c r="U238" s="3"/>
      <c r="V238" s="3"/>
      <c r="W238" s="3"/>
      <c r="X238" s="1"/>
      <c r="Y238" s="1"/>
      <c r="Z238" s="1"/>
    </row>
    <row r="239" ht="12.75" customHeight="1">
      <c r="A239" s="1"/>
      <c r="B239" s="3"/>
      <c r="C239" s="3"/>
      <c r="D239" s="3"/>
      <c r="E239" s="3"/>
      <c r="F239" s="3"/>
      <c r="G239" s="3"/>
      <c r="H239" s="3"/>
      <c r="I239" s="3"/>
      <c r="J239" s="3"/>
      <c r="K239" s="3"/>
      <c r="L239" s="3"/>
      <c r="M239" s="3"/>
      <c r="N239" s="3"/>
      <c r="O239" s="3"/>
      <c r="P239" s="3"/>
      <c r="Q239" s="3"/>
      <c r="R239" s="3"/>
      <c r="S239" s="3"/>
      <c r="T239" s="3"/>
      <c r="U239" s="3"/>
      <c r="V239" s="3"/>
      <c r="W239" s="3"/>
      <c r="X239" s="1"/>
      <c r="Y239" s="1"/>
      <c r="Z239" s="1"/>
    </row>
    <row r="240" ht="12.75" customHeight="1">
      <c r="A240" s="1"/>
      <c r="B240" s="3"/>
      <c r="C240" s="3"/>
      <c r="D240" s="3"/>
      <c r="E240" s="3"/>
      <c r="F240" s="3"/>
      <c r="G240" s="3"/>
      <c r="H240" s="3"/>
      <c r="I240" s="3"/>
      <c r="J240" s="3"/>
      <c r="K240" s="3"/>
      <c r="L240" s="3"/>
      <c r="M240" s="3"/>
      <c r="N240" s="3"/>
      <c r="O240" s="3"/>
      <c r="P240" s="3"/>
      <c r="Q240" s="3"/>
      <c r="R240" s="3"/>
      <c r="S240" s="3"/>
      <c r="T240" s="3"/>
      <c r="U240" s="3"/>
      <c r="V240" s="3"/>
      <c r="W240" s="3"/>
      <c r="X240" s="1"/>
      <c r="Y240" s="1"/>
      <c r="Z240" s="1"/>
    </row>
    <row r="241" ht="12.75" customHeight="1">
      <c r="A241" s="1"/>
      <c r="B241" s="3"/>
      <c r="C241" s="3"/>
      <c r="D241" s="3"/>
      <c r="E241" s="3"/>
      <c r="F241" s="3"/>
      <c r="G241" s="3"/>
      <c r="H241" s="3"/>
      <c r="I241" s="3"/>
      <c r="J241" s="3"/>
      <c r="K241" s="3"/>
      <c r="L241" s="3"/>
      <c r="M241" s="3"/>
      <c r="N241" s="3"/>
      <c r="O241" s="3"/>
      <c r="P241" s="3"/>
      <c r="Q241" s="3"/>
      <c r="R241" s="3"/>
      <c r="S241" s="3"/>
      <c r="T241" s="3"/>
      <c r="U241" s="3"/>
      <c r="V241" s="3"/>
      <c r="W241" s="3"/>
      <c r="X241" s="1"/>
      <c r="Y241" s="1"/>
      <c r="Z241" s="1"/>
    </row>
    <row r="242" ht="12.75" customHeight="1">
      <c r="A242" s="1"/>
      <c r="B242" s="3"/>
      <c r="C242" s="3"/>
      <c r="D242" s="3"/>
      <c r="E242" s="3"/>
      <c r="F242" s="3"/>
      <c r="G242" s="3"/>
      <c r="H242" s="3"/>
      <c r="I242" s="3"/>
      <c r="J242" s="3"/>
      <c r="K242" s="3"/>
      <c r="L242" s="3"/>
      <c r="M242" s="3"/>
      <c r="N242" s="3"/>
      <c r="O242" s="3"/>
      <c r="P242" s="3"/>
      <c r="Q242" s="3"/>
      <c r="R242" s="3"/>
      <c r="S242" s="3"/>
      <c r="T242" s="3"/>
      <c r="U242" s="3"/>
      <c r="V242" s="3"/>
      <c r="W242" s="3"/>
      <c r="X242" s="1"/>
      <c r="Y242" s="1"/>
      <c r="Z242" s="1"/>
    </row>
    <row r="243" ht="12.75" customHeight="1">
      <c r="A243" s="1"/>
      <c r="B243" s="3"/>
      <c r="C243" s="3"/>
      <c r="D243" s="3"/>
      <c r="E243" s="3"/>
      <c r="F243" s="3"/>
      <c r="G243" s="3"/>
      <c r="H243" s="3"/>
      <c r="I243" s="3"/>
      <c r="J243" s="3"/>
      <c r="K243" s="3"/>
      <c r="L243" s="3"/>
      <c r="M243" s="3"/>
      <c r="N243" s="3"/>
      <c r="O243" s="3"/>
      <c r="P243" s="3"/>
      <c r="Q243" s="3"/>
      <c r="R243" s="3"/>
      <c r="S243" s="3"/>
      <c r="T243" s="3"/>
      <c r="U243" s="3"/>
      <c r="V243" s="3"/>
      <c r="W243" s="3"/>
      <c r="X243" s="1"/>
      <c r="Y243" s="1"/>
      <c r="Z243" s="1"/>
    </row>
    <row r="244" ht="12.75" customHeight="1">
      <c r="A244" s="1"/>
      <c r="B244" s="3"/>
      <c r="C244" s="3"/>
      <c r="D244" s="3"/>
      <c r="E244" s="3"/>
      <c r="F244" s="3"/>
      <c r="G244" s="3"/>
      <c r="H244" s="3"/>
      <c r="I244" s="3"/>
      <c r="J244" s="3"/>
      <c r="K244" s="3"/>
      <c r="L244" s="3"/>
      <c r="M244" s="3"/>
      <c r="N244" s="3"/>
      <c r="O244" s="3"/>
      <c r="P244" s="3"/>
      <c r="Q244" s="3"/>
      <c r="R244" s="3"/>
      <c r="S244" s="3"/>
      <c r="T244" s="3"/>
      <c r="U244" s="3"/>
      <c r="V244" s="3"/>
      <c r="W244" s="3"/>
      <c r="X244" s="1"/>
      <c r="Y244" s="1"/>
      <c r="Z244" s="1"/>
    </row>
    <row r="245" ht="12.75" customHeight="1">
      <c r="A245" s="1"/>
      <c r="B245" s="3"/>
      <c r="C245" s="3"/>
      <c r="D245" s="3"/>
      <c r="E245" s="3"/>
      <c r="F245" s="3"/>
      <c r="G245" s="3"/>
      <c r="H245" s="3"/>
      <c r="I245" s="3"/>
      <c r="J245" s="3"/>
      <c r="K245" s="3"/>
      <c r="L245" s="3"/>
      <c r="M245" s="3"/>
      <c r="N245" s="3"/>
      <c r="O245" s="3"/>
      <c r="P245" s="3"/>
      <c r="Q245" s="3"/>
      <c r="R245" s="3"/>
      <c r="S245" s="3"/>
      <c r="T245" s="3"/>
      <c r="U245" s="3"/>
      <c r="V245" s="3"/>
      <c r="W245" s="3"/>
      <c r="X245" s="1"/>
      <c r="Y245" s="1"/>
      <c r="Z245" s="1"/>
    </row>
    <row r="246" ht="12.75" customHeight="1">
      <c r="A246" s="1"/>
      <c r="B246" s="3"/>
      <c r="C246" s="3"/>
      <c r="D246" s="3"/>
      <c r="E246" s="3"/>
      <c r="F246" s="3"/>
      <c r="G246" s="3"/>
      <c r="H246" s="3"/>
      <c r="I246" s="3"/>
      <c r="J246" s="3"/>
      <c r="K246" s="3"/>
      <c r="L246" s="3"/>
      <c r="M246" s="3"/>
      <c r="N246" s="3"/>
      <c r="O246" s="3"/>
      <c r="P246" s="3"/>
      <c r="Q246" s="3"/>
      <c r="R246" s="3"/>
      <c r="S246" s="3"/>
      <c r="T246" s="3"/>
      <c r="U246" s="3"/>
      <c r="V246" s="3"/>
      <c r="W246" s="3"/>
      <c r="X246" s="1"/>
      <c r="Y246" s="1"/>
      <c r="Z246" s="1"/>
    </row>
    <row r="247" ht="12.75" customHeight="1">
      <c r="A247" s="1"/>
      <c r="B247" s="3"/>
      <c r="C247" s="3"/>
      <c r="D247" s="3"/>
      <c r="E247" s="3"/>
      <c r="F247" s="3"/>
      <c r="G247" s="3"/>
      <c r="H247" s="3"/>
      <c r="I247" s="3"/>
      <c r="J247" s="3"/>
      <c r="K247" s="3"/>
      <c r="L247" s="3"/>
      <c r="M247" s="3"/>
      <c r="N247" s="3"/>
      <c r="O247" s="3"/>
      <c r="P247" s="3"/>
      <c r="Q247" s="3"/>
      <c r="R247" s="3"/>
      <c r="S247" s="3"/>
      <c r="T247" s="3"/>
      <c r="U247" s="3"/>
      <c r="V247" s="3"/>
      <c r="W247" s="3"/>
      <c r="X247" s="1"/>
      <c r="Y247" s="1"/>
      <c r="Z247" s="1"/>
    </row>
    <row r="248" ht="12.75" customHeight="1">
      <c r="A248" s="1"/>
      <c r="B248" s="3"/>
      <c r="C248" s="3"/>
      <c r="D248" s="3"/>
      <c r="E248" s="3"/>
      <c r="F248" s="3"/>
      <c r="G248" s="3"/>
      <c r="H248" s="3"/>
      <c r="I248" s="3"/>
      <c r="J248" s="3"/>
      <c r="K248" s="3"/>
      <c r="L248" s="3"/>
      <c r="M248" s="3"/>
      <c r="N248" s="3"/>
      <c r="O248" s="3"/>
      <c r="P248" s="3"/>
      <c r="Q248" s="3"/>
      <c r="R248" s="3"/>
      <c r="S248" s="3"/>
      <c r="T248" s="3"/>
      <c r="U248" s="3"/>
      <c r="V248" s="3"/>
      <c r="W248" s="3"/>
      <c r="X248" s="1"/>
      <c r="Y248" s="1"/>
      <c r="Z248" s="1"/>
    </row>
    <row r="249" ht="12.75" customHeight="1">
      <c r="A249" s="1"/>
      <c r="B249" s="3"/>
      <c r="C249" s="3"/>
      <c r="D249" s="3"/>
      <c r="E249" s="3"/>
      <c r="F249" s="3"/>
      <c r="G249" s="3"/>
      <c r="H249" s="3"/>
      <c r="I249" s="3"/>
      <c r="J249" s="3"/>
      <c r="K249" s="3"/>
      <c r="L249" s="3"/>
      <c r="M249" s="3"/>
      <c r="N249" s="3"/>
      <c r="O249" s="3"/>
      <c r="P249" s="3"/>
      <c r="Q249" s="3"/>
      <c r="R249" s="3"/>
      <c r="S249" s="3"/>
      <c r="T249" s="3"/>
      <c r="U249" s="3"/>
      <c r="V249" s="3"/>
      <c r="W249" s="3"/>
      <c r="X249" s="1"/>
      <c r="Y249" s="1"/>
      <c r="Z249" s="1"/>
    </row>
    <row r="250" ht="12.75" customHeight="1">
      <c r="A250" s="1"/>
      <c r="B250" s="3"/>
      <c r="C250" s="3"/>
      <c r="D250" s="3"/>
      <c r="E250" s="3"/>
      <c r="F250" s="3"/>
      <c r="G250" s="3"/>
      <c r="H250" s="3"/>
      <c r="I250" s="3"/>
      <c r="J250" s="3"/>
      <c r="K250" s="3"/>
      <c r="L250" s="3"/>
      <c r="M250" s="3"/>
      <c r="N250" s="3"/>
      <c r="O250" s="3"/>
      <c r="P250" s="3"/>
      <c r="Q250" s="3"/>
      <c r="R250" s="3"/>
      <c r="S250" s="3"/>
      <c r="T250" s="3"/>
      <c r="U250" s="3"/>
      <c r="V250" s="3"/>
      <c r="W250" s="3"/>
      <c r="X250" s="1"/>
      <c r="Y250" s="1"/>
      <c r="Z250" s="1"/>
    </row>
    <row r="251" ht="12.75" customHeight="1">
      <c r="A251" s="1"/>
      <c r="B251" s="3"/>
      <c r="C251" s="3"/>
      <c r="D251" s="3"/>
      <c r="E251" s="3"/>
      <c r="F251" s="3"/>
      <c r="G251" s="3"/>
      <c r="H251" s="3"/>
      <c r="I251" s="3"/>
      <c r="J251" s="3"/>
      <c r="K251" s="3"/>
      <c r="L251" s="3"/>
      <c r="M251" s="3"/>
      <c r="N251" s="3"/>
      <c r="O251" s="3"/>
      <c r="P251" s="3"/>
      <c r="Q251" s="3"/>
      <c r="R251" s="3"/>
      <c r="S251" s="3"/>
      <c r="T251" s="3"/>
      <c r="U251" s="3"/>
      <c r="V251" s="3"/>
      <c r="W251" s="3"/>
      <c r="X251" s="1"/>
      <c r="Y251" s="1"/>
      <c r="Z251" s="1"/>
    </row>
    <row r="252" ht="12.75" customHeight="1">
      <c r="A252" s="1"/>
      <c r="B252" s="3"/>
      <c r="C252" s="3"/>
      <c r="D252" s="3"/>
      <c r="E252" s="3"/>
      <c r="F252" s="3"/>
      <c r="G252" s="3"/>
      <c r="H252" s="3"/>
      <c r="I252" s="3"/>
      <c r="J252" s="3"/>
      <c r="K252" s="3"/>
      <c r="L252" s="3"/>
      <c r="M252" s="3"/>
      <c r="N252" s="3"/>
      <c r="O252" s="3"/>
      <c r="P252" s="3"/>
      <c r="Q252" s="3"/>
      <c r="R252" s="3"/>
      <c r="S252" s="3"/>
      <c r="T252" s="3"/>
      <c r="U252" s="3"/>
      <c r="V252" s="3"/>
      <c r="W252" s="3"/>
      <c r="X252" s="1"/>
      <c r="Y252" s="1"/>
      <c r="Z252" s="1"/>
    </row>
    <row r="253" ht="12.75" customHeight="1">
      <c r="A253" s="1"/>
      <c r="B253" s="3"/>
      <c r="C253" s="3"/>
      <c r="D253" s="3"/>
      <c r="E253" s="3"/>
      <c r="F253" s="3"/>
      <c r="G253" s="3"/>
      <c r="H253" s="3"/>
      <c r="I253" s="3"/>
      <c r="J253" s="3"/>
      <c r="K253" s="3"/>
      <c r="L253" s="3"/>
      <c r="M253" s="3"/>
      <c r="N253" s="3"/>
      <c r="O253" s="3"/>
      <c r="P253" s="3"/>
      <c r="Q253" s="3"/>
      <c r="R253" s="3"/>
      <c r="S253" s="3"/>
      <c r="T253" s="3"/>
      <c r="U253" s="3"/>
      <c r="V253" s="3"/>
      <c r="W253" s="3"/>
      <c r="X253" s="1"/>
      <c r="Y253" s="1"/>
      <c r="Z253" s="1"/>
    </row>
    <row r="254" ht="12.75" customHeight="1">
      <c r="A254" s="1"/>
      <c r="B254" s="3"/>
      <c r="C254" s="3"/>
      <c r="D254" s="3"/>
      <c r="E254" s="3"/>
      <c r="F254" s="3"/>
      <c r="G254" s="3"/>
      <c r="H254" s="3"/>
      <c r="I254" s="3"/>
      <c r="J254" s="3"/>
      <c r="K254" s="3"/>
      <c r="L254" s="3"/>
      <c r="M254" s="3"/>
      <c r="N254" s="3"/>
      <c r="O254" s="3"/>
      <c r="P254" s="3"/>
      <c r="Q254" s="3"/>
      <c r="R254" s="3"/>
      <c r="S254" s="3"/>
      <c r="T254" s="3"/>
      <c r="U254" s="3"/>
      <c r="V254" s="3"/>
      <c r="W254" s="3"/>
      <c r="X254" s="1"/>
      <c r="Y254" s="1"/>
      <c r="Z254" s="1"/>
    </row>
    <row r="255" ht="12.75" customHeight="1">
      <c r="A255" s="1"/>
      <c r="B255" s="3"/>
      <c r="C255" s="3"/>
      <c r="D255" s="3"/>
      <c r="E255" s="3"/>
      <c r="F255" s="3"/>
      <c r="G255" s="3"/>
      <c r="H255" s="3"/>
      <c r="I255" s="3"/>
      <c r="J255" s="3"/>
      <c r="K255" s="3"/>
      <c r="L255" s="3"/>
      <c r="M255" s="3"/>
      <c r="N255" s="3"/>
      <c r="O255" s="3"/>
      <c r="P255" s="3"/>
      <c r="Q255" s="3"/>
      <c r="R255" s="3"/>
      <c r="S255" s="3"/>
      <c r="T255" s="3"/>
      <c r="U255" s="3"/>
      <c r="V255" s="3"/>
      <c r="W255" s="3"/>
      <c r="X255" s="1"/>
      <c r="Y255" s="1"/>
      <c r="Z255" s="1"/>
    </row>
    <row r="256" ht="12.75" customHeight="1">
      <c r="A256" s="1"/>
      <c r="B256" s="3"/>
      <c r="C256" s="3"/>
      <c r="D256" s="3"/>
      <c r="E256" s="3"/>
      <c r="F256" s="3"/>
      <c r="G256" s="3"/>
      <c r="H256" s="3"/>
      <c r="I256" s="3"/>
      <c r="J256" s="3"/>
      <c r="K256" s="3"/>
      <c r="L256" s="3"/>
      <c r="M256" s="3"/>
      <c r="N256" s="3"/>
      <c r="O256" s="3"/>
      <c r="P256" s="3"/>
      <c r="Q256" s="3"/>
      <c r="R256" s="3"/>
      <c r="S256" s="3"/>
      <c r="T256" s="3"/>
      <c r="U256" s="3"/>
      <c r="V256" s="3"/>
      <c r="W256" s="3"/>
      <c r="X256" s="1"/>
      <c r="Y256" s="1"/>
      <c r="Z256" s="1"/>
    </row>
    <row r="257" ht="12.75" customHeight="1">
      <c r="A257" s="1"/>
      <c r="B257" s="3"/>
      <c r="C257" s="3"/>
      <c r="D257" s="3"/>
      <c r="E257" s="3"/>
      <c r="F257" s="3"/>
      <c r="G257" s="3"/>
      <c r="H257" s="3"/>
      <c r="I257" s="3"/>
      <c r="J257" s="3"/>
      <c r="K257" s="3"/>
      <c r="L257" s="3"/>
      <c r="M257" s="3"/>
      <c r="N257" s="3"/>
      <c r="O257" s="3"/>
      <c r="P257" s="3"/>
      <c r="Q257" s="3"/>
      <c r="R257" s="3"/>
      <c r="S257" s="3"/>
      <c r="T257" s="3"/>
      <c r="U257" s="3"/>
      <c r="V257" s="3"/>
      <c r="W257" s="3"/>
      <c r="X257" s="1"/>
      <c r="Y257" s="1"/>
      <c r="Z257" s="1"/>
    </row>
    <row r="258" ht="12.75" customHeight="1">
      <c r="A258" s="1"/>
      <c r="B258" s="3"/>
      <c r="C258" s="3"/>
      <c r="D258" s="3"/>
      <c r="E258" s="3"/>
      <c r="F258" s="3"/>
      <c r="G258" s="3"/>
      <c r="H258" s="3"/>
      <c r="I258" s="3"/>
      <c r="J258" s="3"/>
      <c r="K258" s="3"/>
      <c r="L258" s="3"/>
      <c r="M258" s="3"/>
      <c r="N258" s="3"/>
      <c r="O258" s="3"/>
      <c r="P258" s="3"/>
      <c r="Q258" s="3"/>
      <c r="R258" s="3"/>
      <c r="S258" s="3"/>
      <c r="T258" s="3"/>
      <c r="U258" s="3"/>
      <c r="V258" s="3"/>
      <c r="W258" s="3"/>
      <c r="X258" s="1"/>
      <c r="Y258" s="1"/>
      <c r="Z258" s="1"/>
    </row>
    <row r="259" ht="12.75" customHeight="1">
      <c r="A259" s="1"/>
      <c r="B259" s="3"/>
      <c r="C259" s="3"/>
      <c r="D259" s="3"/>
      <c r="E259" s="3"/>
      <c r="F259" s="3"/>
      <c r="G259" s="3"/>
      <c r="H259" s="3"/>
      <c r="I259" s="3"/>
      <c r="J259" s="3"/>
      <c r="K259" s="3"/>
      <c r="L259" s="3"/>
      <c r="M259" s="3"/>
      <c r="N259" s="3"/>
      <c r="O259" s="3"/>
      <c r="P259" s="3"/>
      <c r="Q259" s="3"/>
      <c r="R259" s="3"/>
      <c r="S259" s="3"/>
      <c r="T259" s="3"/>
      <c r="U259" s="3"/>
      <c r="V259" s="3"/>
      <c r="W259" s="3"/>
      <c r="X259" s="1"/>
      <c r="Y259" s="1"/>
      <c r="Z259" s="1"/>
    </row>
    <row r="260" ht="12.75" customHeight="1">
      <c r="A260" s="1"/>
      <c r="B260" s="3"/>
      <c r="C260" s="3"/>
      <c r="D260" s="3"/>
      <c r="E260" s="3"/>
      <c r="F260" s="3"/>
      <c r="G260" s="3"/>
      <c r="H260" s="3"/>
      <c r="I260" s="3"/>
      <c r="J260" s="3"/>
      <c r="K260" s="3"/>
      <c r="L260" s="3"/>
      <c r="M260" s="3"/>
      <c r="N260" s="3"/>
      <c r="O260" s="3"/>
      <c r="P260" s="3"/>
      <c r="Q260" s="3"/>
      <c r="R260" s="3"/>
      <c r="S260" s="3"/>
      <c r="T260" s="3"/>
      <c r="U260" s="3"/>
      <c r="V260" s="3"/>
      <c r="W260" s="3"/>
      <c r="X260" s="1"/>
      <c r="Y260" s="1"/>
      <c r="Z260" s="1"/>
    </row>
    <row r="261" ht="12.75" customHeight="1">
      <c r="A261" s="1"/>
      <c r="B261" s="3"/>
      <c r="C261" s="3"/>
      <c r="D261" s="3"/>
      <c r="E261" s="3"/>
      <c r="F261" s="3"/>
      <c r="G261" s="3"/>
      <c r="H261" s="3"/>
      <c r="I261" s="3"/>
      <c r="J261" s="3"/>
      <c r="K261" s="3"/>
      <c r="L261" s="3"/>
      <c r="M261" s="3"/>
      <c r="N261" s="3"/>
      <c r="O261" s="3"/>
      <c r="P261" s="3"/>
      <c r="Q261" s="3"/>
      <c r="R261" s="3"/>
      <c r="S261" s="3"/>
      <c r="T261" s="3"/>
      <c r="U261" s="3"/>
      <c r="V261" s="3"/>
      <c r="W261" s="3"/>
      <c r="X261" s="1"/>
      <c r="Y261" s="1"/>
      <c r="Z261" s="1"/>
    </row>
    <row r="262" ht="12.75" customHeight="1">
      <c r="A262" s="1"/>
      <c r="B262" s="3"/>
      <c r="C262" s="3"/>
      <c r="D262" s="3"/>
      <c r="E262" s="3"/>
      <c r="F262" s="3"/>
      <c r="G262" s="3"/>
      <c r="H262" s="3"/>
      <c r="I262" s="3"/>
      <c r="J262" s="3"/>
      <c r="K262" s="3"/>
      <c r="L262" s="3"/>
      <c r="M262" s="3"/>
      <c r="N262" s="3"/>
      <c r="O262" s="3"/>
      <c r="P262" s="3"/>
      <c r="Q262" s="3"/>
      <c r="R262" s="3"/>
      <c r="S262" s="3"/>
      <c r="T262" s="3"/>
      <c r="U262" s="3"/>
      <c r="V262" s="3"/>
      <c r="W262" s="3"/>
      <c r="X262" s="1"/>
      <c r="Y262" s="1"/>
      <c r="Z262" s="1"/>
    </row>
    <row r="263" ht="12.75" customHeight="1">
      <c r="A263" s="1"/>
      <c r="B263" s="3"/>
      <c r="C263" s="3"/>
      <c r="D263" s="3"/>
      <c r="E263" s="3"/>
      <c r="F263" s="3"/>
      <c r="G263" s="3"/>
      <c r="H263" s="3"/>
      <c r="I263" s="3"/>
      <c r="J263" s="3"/>
      <c r="K263" s="3"/>
      <c r="L263" s="3"/>
      <c r="M263" s="3"/>
      <c r="N263" s="3"/>
      <c r="O263" s="3"/>
      <c r="P263" s="3"/>
      <c r="Q263" s="3"/>
      <c r="R263" s="3"/>
      <c r="S263" s="3"/>
      <c r="T263" s="3"/>
      <c r="U263" s="3"/>
      <c r="V263" s="3"/>
      <c r="W263" s="3"/>
      <c r="X263" s="1"/>
      <c r="Y263" s="1"/>
      <c r="Z263" s="1"/>
    </row>
    <row r="264" ht="12.75" customHeight="1">
      <c r="A264" s="1"/>
      <c r="B264" s="3"/>
      <c r="C264" s="3"/>
      <c r="D264" s="3"/>
      <c r="E264" s="3"/>
      <c r="F264" s="3"/>
      <c r="G264" s="3"/>
      <c r="H264" s="3"/>
      <c r="I264" s="3"/>
      <c r="J264" s="3"/>
      <c r="K264" s="3"/>
      <c r="L264" s="3"/>
      <c r="M264" s="3"/>
      <c r="N264" s="3"/>
      <c r="O264" s="3"/>
      <c r="P264" s="3"/>
      <c r="Q264" s="3"/>
      <c r="R264" s="3"/>
      <c r="S264" s="3"/>
      <c r="T264" s="3"/>
      <c r="U264" s="3"/>
      <c r="V264" s="3"/>
      <c r="W264" s="3"/>
      <c r="X264" s="1"/>
      <c r="Y264" s="1"/>
      <c r="Z264" s="1"/>
    </row>
    <row r="265" ht="12.75" customHeight="1">
      <c r="A265" s="1"/>
      <c r="B265" s="3"/>
      <c r="C265" s="3"/>
      <c r="D265" s="3"/>
      <c r="E265" s="3"/>
      <c r="F265" s="3"/>
      <c r="G265" s="3"/>
      <c r="H265" s="3"/>
      <c r="I265" s="3"/>
      <c r="J265" s="3"/>
      <c r="K265" s="3"/>
      <c r="L265" s="3"/>
      <c r="M265" s="3"/>
      <c r="N265" s="3"/>
      <c r="O265" s="3"/>
      <c r="P265" s="3"/>
      <c r="Q265" s="3"/>
      <c r="R265" s="3"/>
      <c r="S265" s="3"/>
      <c r="T265" s="3"/>
      <c r="U265" s="3"/>
      <c r="V265" s="3"/>
      <c r="W265" s="3"/>
      <c r="X265" s="1"/>
      <c r="Y265" s="1"/>
      <c r="Z265" s="1"/>
    </row>
    <row r="266" ht="12.75" customHeight="1">
      <c r="A266" s="1"/>
      <c r="B266" s="3"/>
      <c r="C266" s="3"/>
      <c r="D266" s="3"/>
      <c r="E266" s="3"/>
      <c r="F266" s="3"/>
      <c r="G266" s="3"/>
      <c r="H266" s="3"/>
      <c r="I266" s="3"/>
      <c r="J266" s="3"/>
      <c r="K266" s="3"/>
      <c r="L266" s="3"/>
      <c r="M266" s="3"/>
      <c r="N266" s="3"/>
      <c r="O266" s="3"/>
      <c r="P266" s="3"/>
      <c r="Q266" s="3"/>
      <c r="R266" s="3"/>
      <c r="S266" s="3"/>
      <c r="T266" s="3"/>
      <c r="U266" s="3"/>
      <c r="V266" s="3"/>
      <c r="W266" s="3"/>
      <c r="X266" s="1"/>
      <c r="Y266" s="1"/>
      <c r="Z266" s="1"/>
    </row>
    <row r="267" ht="12.75" customHeight="1">
      <c r="A267" s="1"/>
      <c r="B267" s="3"/>
      <c r="C267" s="3"/>
      <c r="D267" s="3"/>
      <c r="E267" s="3"/>
      <c r="F267" s="3"/>
      <c r="G267" s="3"/>
      <c r="H267" s="3"/>
      <c r="I267" s="3"/>
      <c r="J267" s="3"/>
      <c r="K267" s="3"/>
      <c r="L267" s="3"/>
      <c r="M267" s="3"/>
      <c r="N267" s="3"/>
      <c r="O267" s="3"/>
      <c r="P267" s="3"/>
      <c r="Q267" s="3"/>
      <c r="R267" s="3"/>
      <c r="S267" s="3"/>
      <c r="T267" s="3"/>
      <c r="U267" s="3"/>
      <c r="V267" s="3"/>
      <c r="W267" s="3"/>
      <c r="X267" s="1"/>
      <c r="Y267" s="1"/>
      <c r="Z267" s="1"/>
    </row>
    <row r="268" ht="12.75" customHeight="1">
      <c r="A268" s="1"/>
      <c r="B268" s="3"/>
      <c r="C268" s="3"/>
      <c r="D268" s="3"/>
      <c r="E268" s="3"/>
      <c r="F268" s="3"/>
      <c r="G268" s="3"/>
      <c r="H268" s="3"/>
      <c r="I268" s="3"/>
      <c r="J268" s="3"/>
      <c r="K268" s="3"/>
      <c r="L268" s="3"/>
      <c r="M268" s="3"/>
      <c r="N268" s="3"/>
      <c r="O268" s="3"/>
      <c r="P268" s="3"/>
      <c r="Q268" s="3"/>
      <c r="R268" s="3"/>
      <c r="S268" s="3"/>
      <c r="T268" s="3"/>
      <c r="U268" s="3"/>
      <c r="V268" s="3"/>
      <c r="W268" s="3"/>
      <c r="X268" s="1"/>
      <c r="Y268" s="1"/>
      <c r="Z268" s="1"/>
    </row>
    <row r="269" ht="12.75" customHeight="1">
      <c r="A269" s="1"/>
      <c r="B269" s="3"/>
      <c r="C269" s="3"/>
      <c r="D269" s="3"/>
      <c r="E269" s="3"/>
      <c r="F269" s="3"/>
      <c r="G269" s="3"/>
      <c r="H269" s="3"/>
      <c r="I269" s="3"/>
      <c r="J269" s="3"/>
      <c r="K269" s="3"/>
      <c r="L269" s="3"/>
      <c r="M269" s="3"/>
      <c r="N269" s="3"/>
      <c r="O269" s="3"/>
      <c r="P269" s="3"/>
      <c r="Q269" s="3"/>
      <c r="R269" s="3"/>
      <c r="S269" s="3"/>
      <c r="T269" s="3"/>
      <c r="U269" s="3"/>
      <c r="V269" s="3"/>
      <c r="W269" s="3"/>
      <c r="X269" s="1"/>
      <c r="Y269" s="1"/>
      <c r="Z269" s="1"/>
    </row>
    <row r="270" ht="12.75" customHeight="1">
      <c r="A270" s="1"/>
      <c r="B270" s="3"/>
      <c r="C270" s="3"/>
      <c r="D270" s="3"/>
      <c r="E270" s="3"/>
      <c r="F270" s="3"/>
      <c r="G270" s="3"/>
      <c r="H270" s="3"/>
      <c r="I270" s="3"/>
      <c r="J270" s="3"/>
      <c r="K270" s="3"/>
      <c r="L270" s="3"/>
      <c r="M270" s="3"/>
      <c r="N270" s="3"/>
      <c r="O270" s="3"/>
      <c r="P270" s="3"/>
      <c r="Q270" s="3"/>
      <c r="R270" s="3"/>
      <c r="S270" s="3"/>
      <c r="T270" s="3"/>
      <c r="U270" s="3"/>
      <c r="V270" s="3"/>
      <c r="W270" s="3"/>
      <c r="X270" s="1"/>
      <c r="Y270" s="1"/>
      <c r="Z270" s="1"/>
    </row>
    <row r="271" ht="12.75" customHeight="1">
      <c r="A271" s="1"/>
      <c r="B271" s="3"/>
      <c r="C271" s="3"/>
      <c r="D271" s="3"/>
      <c r="E271" s="3"/>
      <c r="F271" s="3"/>
      <c r="G271" s="3"/>
      <c r="H271" s="3"/>
      <c r="I271" s="3"/>
      <c r="J271" s="3"/>
      <c r="K271" s="3"/>
      <c r="L271" s="3"/>
      <c r="M271" s="3"/>
      <c r="N271" s="3"/>
      <c r="O271" s="3"/>
      <c r="P271" s="3"/>
      <c r="Q271" s="3"/>
      <c r="R271" s="3"/>
      <c r="S271" s="3"/>
      <c r="T271" s="3"/>
      <c r="U271" s="3"/>
      <c r="V271" s="3"/>
      <c r="W271" s="3"/>
      <c r="X271" s="1"/>
      <c r="Y271" s="1"/>
      <c r="Z271" s="1"/>
    </row>
    <row r="272" ht="12.75" customHeight="1">
      <c r="A272" s="1"/>
      <c r="B272" s="3"/>
      <c r="C272" s="3"/>
      <c r="D272" s="3"/>
      <c r="E272" s="3"/>
      <c r="F272" s="3"/>
      <c r="G272" s="3"/>
      <c r="H272" s="3"/>
      <c r="I272" s="3"/>
      <c r="J272" s="3"/>
      <c r="K272" s="3"/>
      <c r="L272" s="3"/>
      <c r="M272" s="3"/>
      <c r="N272" s="3"/>
      <c r="O272" s="3"/>
      <c r="P272" s="3"/>
      <c r="Q272" s="3"/>
      <c r="R272" s="3"/>
      <c r="S272" s="3"/>
      <c r="T272" s="3"/>
      <c r="U272" s="3"/>
      <c r="V272" s="3"/>
      <c r="W272" s="3"/>
      <c r="X272" s="1"/>
      <c r="Y272" s="1"/>
      <c r="Z272" s="1"/>
    </row>
    <row r="273" ht="12.75" customHeight="1">
      <c r="A273" s="1"/>
      <c r="B273" s="3"/>
      <c r="C273" s="3"/>
      <c r="D273" s="3"/>
      <c r="E273" s="3"/>
      <c r="F273" s="3"/>
      <c r="G273" s="3"/>
      <c r="H273" s="3"/>
      <c r="I273" s="3"/>
      <c r="J273" s="3"/>
      <c r="K273" s="3"/>
      <c r="L273" s="3"/>
      <c r="M273" s="3"/>
      <c r="N273" s="3"/>
      <c r="O273" s="3"/>
      <c r="P273" s="3"/>
      <c r="Q273" s="3"/>
      <c r="R273" s="3"/>
      <c r="S273" s="3"/>
      <c r="T273" s="3"/>
      <c r="U273" s="3"/>
      <c r="V273" s="3"/>
      <c r="W273" s="3"/>
      <c r="X273" s="1"/>
      <c r="Y273" s="1"/>
      <c r="Z273" s="1"/>
    </row>
    <row r="274" ht="12.75" customHeight="1">
      <c r="A274" s="1"/>
      <c r="B274" s="3"/>
      <c r="C274" s="3"/>
      <c r="D274" s="3"/>
      <c r="E274" s="3"/>
      <c r="F274" s="3"/>
      <c r="G274" s="3"/>
      <c r="H274" s="3"/>
      <c r="I274" s="3"/>
      <c r="J274" s="3"/>
      <c r="K274" s="3"/>
      <c r="L274" s="3"/>
      <c r="M274" s="3"/>
      <c r="N274" s="3"/>
      <c r="O274" s="3"/>
      <c r="P274" s="3"/>
      <c r="Q274" s="3"/>
      <c r="R274" s="3"/>
      <c r="S274" s="3"/>
      <c r="T274" s="3"/>
      <c r="U274" s="3"/>
      <c r="V274" s="3"/>
      <c r="W274" s="3"/>
      <c r="X274" s="1"/>
      <c r="Y274" s="1"/>
      <c r="Z274" s="1"/>
    </row>
    <row r="275" ht="12.75" customHeight="1">
      <c r="A275" s="1"/>
      <c r="B275" s="3"/>
      <c r="C275" s="3"/>
      <c r="D275" s="3"/>
      <c r="E275" s="3"/>
      <c r="F275" s="3"/>
      <c r="G275" s="3"/>
      <c r="H275" s="3"/>
      <c r="I275" s="3"/>
      <c r="J275" s="3"/>
      <c r="K275" s="3"/>
      <c r="L275" s="3"/>
      <c r="M275" s="3"/>
      <c r="N275" s="3"/>
      <c r="O275" s="3"/>
      <c r="P275" s="3"/>
      <c r="Q275" s="3"/>
      <c r="R275" s="3"/>
      <c r="S275" s="3"/>
      <c r="T275" s="3"/>
      <c r="U275" s="3"/>
      <c r="V275" s="3"/>
      <c r="W275" s="3"/>
      <c r="X275" s="1"/>
      <c r="Y275" s="1"/>
      <c r="Z275" s="1"/>
    </row>
    <row r="276" ht="12.75" customHeight="1">
      <c r="A276" s="1"/>
      <c r="B276" s="3"/>
      <c r="C276" s="3"/>
      <c r="D276" s="3"/>
      <c r="E276" s="3"/>
      <c r="F276" s="3"/>
      <c r="G276" s="3"/>
      <c r="H276" s="3"/>
      <c r="I276" s="3"/>
      <c r="J276" s="3"/>
      <c r="K276" s="3"/>
      <c r="L276" s="3"/>
      <c r="M276" s="3"/>
      <c r="N276" s="3"/>
      <c r="O276" s="3"/>
      <c r="P276" s="3"/>
      <c r="Q276" s="3"/>
      <c r="R276" s="3"/>
      <c r="S276" s="3"/>
      <c r="T276" s="3"/>
      <c r="U276" s="3"/>
      <c r="V276" s="3"/>
      <c r="W276" s="3"/>
      <c r="X276" s="1"/>
      <c r="Y276" s="1"/>
      <c r="Z276" s="1"/>
    </row>
    <row r="277" ht="12.75" customHeight="1">
      <c r="A277" s="1"/>
      <c r="B277" s="3"/>
      <c r="C277" s="3"/>
      <c r="D277" s="3"/>
      <c r="E277" s="3"/>
      <c r="F277" s="3"/>
      <c r="G277" s="3"/>
      <c r="H277" s="3"/>
      <c r="I277" s="3"/>
      <c r="J277" s="3"/>
      <c r="K277" s="3"/>
      <c r="L277" s="3"/>
      <c r="M277" s="3"/>
      <c r="N277" s="3"/>
      <c r="O277" s="3"/>
      <c r="P277" s="3"/>
      <c r="Q277" s="3"/>
      <c r="R277" s="3"/>
      <c r="S277" s="3"/>
      <c r="T277" s="3"/>
      <c r="U277" s="3"/>
      <c r="V277" s="3"/>
      <c r="W277" s="3"/>
      <c r="X277" s="1"/>
      <c r="Y277" s="1"/>
      <c r="Z277" s="1"/>
    </row>
    <row r="278" ht="12.75" customHeight="1">
      <c r="A278" s="1"/>
      <c r="B278" s="3"/>
      <c r="C278" s="3"/>
      <c r="D278" s="3"/>
      <c r="E278" s="3"/>
      <c r="F278" s="3"/>
      <c r="G278" s="3"/>
      <c r="H278" s="3"/>
      <c r="I278" s="3"/>
      <c r="J278" s="3"/>
      <c r="K278" s="3"/>
      <c r="L278" s="3"/>
      <c r="M278" s="3"/>
      <c r="N278" s="3"/>
      <c r="O278" s="3"/>
      <c r="P278" s="3"/>
      <c r="Q278" s="3"/>
      <c r="R278" s="3"/>
      <c r="S278" s="3"/>
      <c r="T278" s="3"/>
      <c r="U278" s="3"/>
      <c r="V278" s="3"/>
      <c r="W278" s="3"/>
      <c r="X278" s="1"/>
      <c r="Y278" s="1"/>
      <c r="Z278" s="1"/>
    </row>
    <row r="279" ht="12.75" customHeight="1">
      <c r="A279" s="1"/>
      <c r="B279" s="3"/>
      <c r="C279" s="3"/>
      <c r="D279" s="3"/>
      <c r="E279" s="3"/>
      <c r="F279" s="3"/>
      <c r="G279" s="3"/>
      <c r="H279" s="3"/>
      <c r="I279" s="3"/>
      <c r="J279" s="3"/>
      <c r="K279" s="3"/>
      <c r="L279" s="3"/>
      <c r="M279" s="3"/>
      <c r="N279" s="3"/>
      <c r="O279" s="3"/>
      <c r="P279" s="3"/>
      <c r="Q279" s="3"/>
      <c r="R279" s="3"/>
      <c r="S279" s="3"/>
      <c r="T279" s="3"/>
      <c r="U279" s="3"/>
      <c r="V279" s="3"/>
      <c r="W279" s="3"/>
      <c r="X279" s="1"/>
      <c r="Y279" s="1"/>
      <c r="Z279" s="1"/>
    </row>
    <row r="280" ht="12.75" customHeight="1">
      <c r="A280" s="1"/>
      <c r="B280" s="3"/>
      <c r="C280" s="3"/>
      <c r="D280" s="3"/>
      <c r="E280" s="3"/>
      <c r="F280" s="3"/>
      <c r="G280" s="3"/>
      <c r="H280" s="3"/>
      <c r="I280" s="3"/>
      <c r="J280" s="3"/>
      <c r="K280" s="3"/>
      <c r="L280" s="3"/>
      <c r="M280" s="3"/>
      <c r="N280" s="3"/>
      <c r="O280" s="3"/>
      <c r="P280" s="3"/>
      <c r="Q280" s="3"/>
      <c r="R280" s="3"/>
      <c r="S280" s="3"/>
      <c r="T280" s="3"/>
      <c r="U280" s="3"/>
      <c r="V280" s="3"/>
      <c r="W280" s="3"/>
      <c r="X280" s="1"/>
      <c r="Y280" s="1"/>
      <c r="Z280" s="1"/>
    </row>
    <row r="281" ht="12.75" customHeight="1">
      <c r="A281" s="1"/>
      <c r="B281" s="3"/>
      <c r="C281" s="3"/>
      <c r="D281" s="3"/>
      <c r="E281" s="3"/>
      <c r="F281" s="3"/>
      <c r="G281" s="3"/>
      <c r="H281" s="3"/>
      <c r="I281" s="3"/>
      <c r="J281" s="3"/>
      <c r="K281" s="3"/>
      <c r="L281" s="3"/>
      <c r="M281" s="3"/>
      <c r="N281" s="3"/>
      <c r="O281" s="3"/>
      <c r="P281" s="3"/>
      <c r="Q281" s="3"/>
      <c r="R281" s="3"/>
      <c r="S281" s="3"/>
      <c r="T281" s="3"/>
      <c r="U281" s="3"/>
      <c r="V281" s="3"/>
      <c r="W281" s="3"/>
      <c r="X281" s="1"/>
      <c r="Y281" s="1"/>
      <c r="Z281" s="1"/>
    </row>
    <row r="282" ht="12.75" customHeight="1">
      <c r="A282" s="1"/>
      <c r="B282" s="3"/>
      <c r="C282" s="3"/>
      <c r="D282" s="3"/>
      <c r="E282" s="3"/>
      <c r="F282" s="3"/>
      <c r="G282" s="3"/>
      <c r="H282" s="3"/>
      <c r="I282" s="3"/>
      <c r="J282" s="3"/>
      <c r="K282" s="3"/>
      <c r="L282" s="3"/>
      <c r="M282" s="3"/>
      <c r="N282" s="3"/>
      <c r="O282" s="3"/>
      <c r="P282" s="3"/>
      <c r="Q282" s="3"/>
      <c r="R282" s="3"/>
      <c r="S282" s="3"/>
      <c r="T282" s="3"/>
      <c r="U282" s="3"/>
      <c r="V282" s="3"/>
      <c r="W282" s="3"/>
      <c r="X282" s="1"/>
      <c r="Y282" s="1"/>
      <c r="Z282" s="1"/>
    </row>
    <row r="283" ht="12.75" customHeight="1">
      <c r="A283" s="1"/>
      <c r="B283" s="3"/>
      <c r="C283" s="3"/>
      <c r="D283" s="3"/>
      <c r="E283" s="3"/>
      <c r="F283" s="3"/>
      <c r="G283" s="3"/>
      <c r="H283" s="3"/>
      <c r="I283" s="3"/>
      <c r="J283" s="3"/>
      <c r="K283" s="3"/>
      <c r="L283" s="3"/>
      <c r="M283" s="3"/>
      <c r="N283" s="3"/>
      <c r="O283" s="3"/>
      <c r="P283" s="3"/>
      <c r="Q283" s="3"/>
      <c r="R283" s="3"/>
      <c r="S283" s="3"/>
      <c r="T283" s="3"/>
      <c r="U283" s="3"/>
      <c r="V283" s="3"/>
      <c r="W283" s="3"/>
      <c r="X283" s="1"/>
      <c r="Y283" s="1"/>
      <c r="Z283" s="1"/>
    </row>
    <row r="284" ht="12.75" customHeight="1">
      <c r="A284" s="1"/>
      <c r="B284" s="3"/>
      <c r="C284" s="3"/>
      <c r="D284" s="3"/>
      <c r="E284" s="3"/>
      <c r="F284" s="3"/>
      <c r="G284" s="3"/>
      <c r="H284" s="3"/>
      <c r="I284" s="3"/>
      <c r="J284" s="3"/>
      <c r="K284" s="3"/>
      <c r="L284" s="3"/>
      <c r="M284" s="3"/>
      <c r="N284" s="3"/>
      <c r="O284" s="3"/>
      <c r="P284" s="3"/>
      <c r="Q284" s="3"/>
      <c r="R284" s="3"/>
      <c r="S284" s="3"/>
      <c r="T284" s="3"/>
      <c r="U284" s="3"/>
      <c r="V284" s="3"/>
      <c r="W284" s="3"/>
      <c r="X284" s="1"/>
      <c r="Y284" s="1"/>
      <c r="Z284" s="1"/>
    </row>
    <row r="285" ht="12.75" customHeight="1">
      <c r="A285" s="1"/>
      <c r="B285" s="3"/>
      <c r="C285" s="3"/>
      <c r="D285" s="3"/>
      <c r="E285" s="3"/>
      <c r="F285" s="3"/>
      <c r="G285" s="3"/>
      <c r="H285" s="3"/>
      <c r="I285" s="3"/>
      <c r="J285" s="3"/>
      <c r="K285" s="3"/>
      <c r="L285" s="3"/>
      <c r="M285" s="3"/>
      <c r="N285" s="3"/>
      <c r="O285" s="3"/>
      <c r="P285" s="3"/>
      <c r="Q285" s="3"/>
      <c r="R285" s="3"/>
      <c r="S285" s="3"/>
      <c r="T285" s="3"/>
      <c r="U285" s="3"/>
      <c r="V285" s="3"/>
      <c r="W285" s="3"/>
      <c r="X285" s="1"/>
      <c r="Y285" s="1"/>
      <c r="Z285" s="1"/>
    </row>
    <row r="286" ht="12.75" customHeight="1">
      <c r="A286" s="1"/>
      <c r="B286" s="3"/>
      <c r="C286" s="3"/>
      <c r="D286" s="3"/>
      <c r="E286" s="3"/>
      <c r="F286" s="3"/>
      <c r="G286" s="3"/>
      <c r="H286" s="3"/>
      <c r="I286" s="3"/>
      <c r="J286" s="3"/>
      <c r="K286" s="3"/>
      <c r="L286" s="3"/>
      <c r="M286" s="3"/>
      <c r="N286" s="3"/>
      <c r="O286" s="3"/>
      <c r="P286" s="3"/>
      <c r="Q286" s="3"/>
      <c r="R286" s="3"/>
      <c r="S286" s="3"/>
      <c r="T286" s="3"/>
      <c r="U286" s="3"/>
      <c r="V286" s="3"/>
      <c r="W286" s="3"/>
      <c r="X286" s="1"/>
      <c r="Y286" s="1"/>
      <c r="Z286" s="1"/>
    </row>
    <row r="287" ht="12.75" customHeight="1">
      <c r="A287" s="1"/>
      <c r="B287" s="3"/>
      <c r="C287" s="3"/>
      <c r="D287" s="3"/>
      <c r="E287" s="3"/>
      <c r="F287" s="3"/>
      <c r="G287" s="3"/>
      <c r="H287" s="3"/>
      <c r="I287" s="3"/>
      <c r="J287" s="3"/>
      <c r="K287" s="3"/>
      <c r="L287" s="3"/>
      <c r="M287" s="3"/>
      <c r="N287" s="3"/>
      <c r="O287" s="3"/>
      <c r="P287" s="3"/>
      <c r="Q287" s="3"/>
      <c r="R287" s="3"/>
      <c r="S287" s="3"/>
      <c r="T287" s="3"/>
      <c r="U287" s="3"/>
      <c r="V287" s="3"/>
      <c r="W287" s="3"/>
      <c r="X287" s="1"/>
      <c r="Y287" s="1"/>
      <c r="Z287" s="1"/>
    </row>
    <row r="288" ht="12.75" customHeight="1">
      <c r="A288" s="1"/>
      <c r="B288" s="3"/>
      <c r="C288" s="3"/>
      <c r="D288" s="3"/>
      <c r="E288" s="3"/>
      <c r="F288" s="3"/>
      <c r="G288" s="3"/>
      <c r="H288" s="3"/>
      <c r="I288" s="3"/>
      <c r="J288" s="3"/>
      <c r="K288" s="3"/>
      <c r="L288" s="3"/>
      <c r="M288" s="3"/>
      <c r="N288" s="3"/>
      <c r="O288" s="3"/>
      <c r="P288" s="3"/>
      <c r="Q288" s="3"/>
      <c r="R288" s="3"/>
      <c r="S288" s="3"/>
      <c r="T288" s="3"/>
      <c r="U288" s="3"/>
      <c r="V288" s="3"/>
      <c r="W288" s="3"/>
      <c r="X288" s="1"/>
      <c r="Y288" s="1"/>
      <c r="Z288" s="1"/>
    </row>
    <row r="289" ht="12.75" customHeight="1">
      <c r="A289" s="1"/>
      <c r="B289" s="3"/>
      <c r="C289" s="3"/>
      <c r="D289" s="3"/>
      <c r="E289" s="3"/>
      <c r="F289" s="3"/>
      <c r="G289" s="3"/>
      <c r="H289" s="3"/>
      <c r="I289" s="3"/>
      <c r="J289" s="3"/>
      <c r="K289" s="3"/>
      <c r="L289" s="3"/>
      <c r="M289" s="3"/>
      <c r="N289" s="3"/>
      <c r="O289" s="3"/>
      <c r="P289" s="3"/>
      <c r="Q289" s="3"/>
      <c r="R289" s="3"/>
      <c r="S289" s="3"/>
      <c r="T289" s="3"/>
      <c r="U289" s="3"/>
      <c r="V289" s="3"/>
      <c r="W289" s="3"/>
      <c r="X289" s="1"/>
      <c r="Y289" s="1"/>
      <c r="Z289" s="1"/>
    </row>
    <row r="290" ht="12.75" customHeight="1">
      <c r="A290" s="1"/>
      <c r="B290" s="3"/>
      <c r="C290" s="3"/>
      <c r="D290" s="3"/>
      <c r="E290" s="3"/>
      <c r="F290" s="3"/>
      <c r="G290" s="3"/>
      <c r="H290" s="3"/>
      <c r="I290" s="3"/>
      <c r="J290" s="3"/>
      <c r="K290" s="3"/>
      <c r="L290" s="3"/>
      <c r="M290" s="3"/>
      <c r="N290" s="3"/>
      <c r="O290" s="3"/>
      <c r="P290" s="3"/>
      <c r="Q290" s="3"/>
      <c r="R290" s="3"/>
      <c r="S290" s="3"/>
      <c r="T290" s="3"/>
      <c r="U290" s="3"/>
      <c r="V290" s="3"/>
      <c r="W290" s="3"/>
      <c r="X290" s="1"/>
      <c r="Y290" s="1"/>
      <c r="Z290" s="1"/>
    </row>
    <row r="291" ht="12.75" customHeight="1">
      <c r="A291" s="1"/>
      <c r="B291" s="3"/>
      <c r="C291" s="3"/>
      <c r="D291" s="3"/>
      <c r="E291" s="3"/>
      <c r="F291" s="3"/>
      <c r="G291" s="3"/>
      <c r="H291" s="3"/>
      <c r="I291" s="3"/>
      <c r="J291" s="3"/>
      <c r="K291" s="3"/>
      <c r="L291" s="3"/>
      <c r="M291" s="3"/>
      <c r="N291" s="3"/>
      <c r="O291" s="3"/>
      <c r="P291" s="3"/>
      <c r="Q291" s="3"/>
      <c r="R291" s="3"/>
      <c r="S291" s="3"/>
      <c r="T291" s="3"/>
      <c r="U291" s="3"/>
      <c r="V291" s="3"/>
      <c r="W291" s="3"/>
      <c r="X291" s="1"/>
      <c r="Y291" s="1"/>
      <c r="Z291" s="1"/>
    </row>
    <row r="292" ht="12.75" customHeight="1">
      <c r="A292" s="1"/>
      <c r="B292" s="3"/>
      <c r="C292" s="3"/>
      <c r="D292" s="3"/>
      <c r="E292" s="3"/>
      <c r="F292" s="3"/>
      <c r="G292" s="3"/>
      <c r="H292" s="3"/>
      <c r="I292" s="3"/>
      <c r="J292" s="3"/>
      <c r="K292" s="3"/>
      <c r="L292" s="3"/>
      <c r="M292" s="3"/>
      <c r="N292" s="3"/>
      <c r="O292" s="3"/>
      <c r="P292" s="3"/>
      <c r="Q292" s="3"/>
      <c r="R292" s="3"/>
      <c r="S292" s="3"/>
      <c r="T292" s="3"/>
      <c r="U292" s="3"/>
      <c r="V292" s="3"/>
      <c r="W292" s="3"/>
      <c r="X292" s="1"/>
      <c r="Y292" s="1"/>
      <c r="Z292" s="1"/>
    </row>
    <row r="293" ht="12.75" customHeight="1">
      <c r="A293" s="1"/>
      <c r="B293" s="3"/>
      <c r="C293" s="3"/>
      <c r="D293" s="3"/>
      <c r="E293" s="3"/>
      <c r="F293" s="3"/>
      <c r="G293" s="3"/>
      <c r="H293" s="3"/>
      <c r="I293" s="3"/>
      <c r="J293" s="3"/>
      <c r="K293" s="3"/>
      <c r="L293" s="3"/>
      <c r="M293" s="3"/>
      <c r="N293" s="3"/>
      <c r="O293" s="3"/>
      <c r="P293" s="3"/>
      <c r="Q293" s="3"/>
      <c r="R293" s="3"/>
      <c r="S293" s="3"/>
      <c r="T293" s="3"/>
      <c r="U293" s="3"/>
      <c r="V293" s="3"/>
      <c r="W293" s="3"/>
      <c r="X293" s="1"/>
      <c r="Y293" s="1"/>
      <c r="Z293" s="1"/>
    </row>
    <row r="294" ht="12.75" customHeight="1">
      <c r="A294" s="1"/>
      <c r="B294" s="3"/>
      <c r="C294" s="3"/>
      <c r="D294" s="3"/>
      <c r="E294" s="3"/>
      <c r="F294" s="3"/>
      <c r="G294" s="3"/>
      <c r="H294" s="3"/>
      <c r="I294" s="3"/>
      <c r="J294" s="3"/>
      <c r="K294" s="3"/>
      <c r="L294" s="3"/>
      <c r="M294" s="3"/>
      <c r="N294" s="3"/>
      <c r="O294" s="3"/>
      <c r="P294" s="3"/>
      <c r="Q294" s="3"/>
      <c r="R294" s="3"/>
      <c r="S294" s="3"/>
      <c r="T294" s="3"/>
      <c r="U294" s="3"/>
      <c r="V294" s="3"/>
      <c r="W294" s="3"/>
      <c r="X294" s="1"/>
      <c r="Y294" s="1"/>
      <c r="Z294" s="1"/>
    </row>
    <row r="295" ht="12.75" customHeight="1">
      <c r="A295" s="1"/>
      <c r="B295" s="3"/>
      <c r="C295" s="3"/>
      <c r="D295" s="3"/>
      <c r="E295" s="3"/>
      <c r="F295" s="3"/>
      <c r="G295" s="3"/>
      <c r="H295" s="3"/>
      <c r="I295" s="3"/>
      <c r="J295" s="3"/>
      <c r="K295" s="3"/>
      <c r="L295" s="3"/>
      <c r="M295" s="3"/>
      <c r="N295" s="3"/>
      <c r="O295" s="3"/>
      <c r="P295" s="3"/>
      <c r="Q295" s="3"/>
      <c r="R295" s="3"/>
      <c r="S295" s="3"/>
      <c r="T295" s="3"/>
      <c r="U295" s="3"/>
      <c r="V295" s="3"/>
      <c r="W295" s="3"/>
      <c r="X295" s="1"/>
      <c r="Y295" s="1"/>
      <c r="Z295" s="1"/>
    </row>
    <row r="296" ht="12.75" customHeight="1">
      <c r="A296" s="1"/>
      <c r="B296" s="3"/>
      <c r="C296" s="3"/>
      <c r="D296" s="3"/>
      <c r="E296" s="3"/>
      <c r="F296" s="3"/>
      <c r="G296" s="3"/>
      <c r="H296" s="3"/>
      <c r="I296" s="3"/>
      <c r="J296" s="3"/>
      <c r="K296" s="3"/>
      <c r="L296" s="3"/>
      <c r="M296" s="3"/>
      <c r="N296" s="3"/>
      <c r="O296" s="3"/>
      <c r="P296" s="3"/>
      <c r="Q296" s="3"/>
      <c r="R296" s="3"/>
      <c r="S296" s="3"/>
      <c r="T296" s="3"/>
      <c r="U296" s="3"/>
      <c r="V296" s="3"/>
      <c r="W296" s="3"/>
      <c r="X296" s="1"/>
      <c r="Y296" s="1"/>
      <c r="Z296" s="1"/>
    </row>
    <row r="297" ht="12.75" customHeight="1">
      <c r="A297" s="1"/>
      <c r="B297" s="3"/>
      <c r="C297" s="3"/>
      <c r="D297" s="3"/>
      <c r="E297" s="3"/>
      <c r="F297" s="3"/>
      <c r="G297" s="3"/>
      <c r="H297" s="3"/>
      <c r="I297" s="3"/>
      <c r="J297" s="3"/>
      <c r="K297" s="3"/>
      <c r="L297" s="3"/>
      <c r="M297" s="3"/>
      <c r="N297" s="3"/>
      <c r="O297" s="3"/>
      <c r="P297" s="3"/>
      <c r="Q297" s="3"/>
      <c r="R297" s="3"/>
      <c r="S297" s="3"/>
      <c r="T297" s="3"/>
      <c r="U297" s="3"/>
      <c r="V297" s="3"/>
      <c r="W297" s="3"/>
      <c r="X297" s="1"/>
      <c r="Y297" s="1"/>
      <c r="Z297" s="1"/>
    </row>
    <row r="298" ht="12.75" customHeight="1">
      <c r="A298" s="1"/>
      <c r="B298" s="3"/>
      <c r="C298" s="3"/>
      <c r="D298" s="3"/>
      <c r="E298" s="3"/>
      <c r="F298" s="3"/>
      <c r="G298" s="3"/>
      <c r="H298" s="3"/>
      <c r="I298" s="3"/>
      <c r="J298" s="3"/>
      <c r="K298" s="3"/>
      <c r="L298" s="3"/>
      <c r="M298" s="3"/>
      <c r="N298" s="3"/>
      <c r="O298" s="3"/>
      <c r="P298" s="3"/>
      <c r="Q298" s="3"/>
      <c r="R298" s="3"/>
      <c r="S298" s="3"/>
      <c r="T298" s="3"/>
      <c r="U298" s="3"/>
      <c r="V298" s="3"/>
      <c r="W298" s="3"/>
      <c r="X298" s="1"/>
      <c r="Y298" s="1"/>
      <c r="Z298" s="1"/>
    </row>
    <row r="299" ht="12.75" customHeight="1">
      <c r="A299" s="1"/>
      <c r="B299" s="3"/>
      <c r="C299" s="3"/>
      <c r="D299" s="3"/>
      <c r="E299" s="3"/>
      <c r="F299" s="3"/>
      <c r="G299" s="3"/>
      <c r="H299" s="3"/>
      <c r="I299" s="3"/>
      <c r="J299" s="3"/>
      <c r="K299" s="3"/>
      <c r="L299" s="3"/>
      <c r="M299" s="3"/>
      <c r="N299" s="3"/>
      <c r="O299" s="3"/>
      <c r="P299" s="3"/>
      <c r="Q299" s="3"/>
      <c r="R299" s="3"/>
      <c r="S299" s="3"/>
      <c r="T299" s="3"/>
      <c r="U299" s="3"/>
      <c r="V299" s="3"/>
      <c r="W299" s="3"/>
      <c r="X299" s="1"/>
      <c r="Y299" s="1"/>
      <c r="Z299" s="1"/>
    </row>
    <row r="300" ht="12.75" customHeight="1">
      <c r="A300" s="1"/>
      <c r="B300" s="3"/>
      <c r="C300" s="3"/>
      <c r="D300" s="3"/>
      <c r="E300" s="3"/>
      <c r="F300" s="3"/>
      <c r="G300" s="3"/>
      <c r="H300" s="3"/>
      <c r="I300" s="3"/>
      <c r="J300" s="3"/>
      <c r="K300" s="3"/>
      <c r="L300" s="3"/>
      <c r="M300" s="3"/>
      <c r="N300" s="3"/>
      <c r="O300" s="3"/>
      <c r="P300" s="3"/>
      <c r="Q300" s="3"/>
      <c r="R300" s="3"/>
      <c r="S300" s="3"/>
      <c r="T300" s="3"/>
      <c r="U300" s="3"/>
      <c r="V300" s="3"/>
      <c r="W300" s="3"/>
      <c r="X300" s="1"/>
      <c r="Y300" s="1"/>
      <c r="Z300" s="1"/>
    </row>
    <row r="301" ht="12.75" customHeight="1">
      <c r="A301" s="1"/>
      <c r="B301" s="3"/>
      <c r="C301" s="3"/>
      <c r="D301" s="3"/>
      <c r="E301" s="3"/>
      <c r="F301" s="3"/>
      <c r="G301" s="3"/>
      <c r="H301" s="3"/>
      <c r="I301" s="3"/>
      <c r="J301" s="3"/>
      <c r="K301" s="3"/>
      <c r="L301" s="3"/>
      <c r="M301" s="3"/>
      <c r="N301" s="3"/>
      <c r="O301" s="3"/>
      <c r="P301" s="3"/>
      <c r="Q301" s="3"/>
      <c r="R301" s="3"/>
      <c r="S301" s="3"/>
      <c r="T301" s="3"/>
      <c r="U301" s="3"/>
      <c r="V301" s="3"/>
      <c r="W301" s="3"/>
      <c r="X301" s="1"/>
      <c r="Y301" s="1"/>
      <c r="Z301" s="1"/>
    </row>
    <row r="302" ht="12.75" customHeight="1">
      <c r="A302" s="1"/>
      <c r="B302" s="3"/>
      <c r="C302" s="3"/>
      <c r="D302" s="3"/>
      <c r="E302" s="3"/>
      <c r="F302" s="3"/>
      <c r="G302" s="3"/>
      <c r="H302" s="3"/>
      <c r="I302" s="3"/>
      <c r="J302" s="3"/>
      <c r="K302" s="3"/>
      <c r="L302" s="3"/>
      <c r="M302" s="3"/>
      <c r="N302" s="3"/>
      <c r="O302" s="3"/>
      <c r="P302" s="3"/>
      <c r="Q302" s="3"/>
      <c r="R302" s="3"/>
      <c r="S302" s="3"/>
      <c r="T302" s="3"/>
      <c r="U302" s="3"/>
      <c r="V302" s="3"/>
      <c r="W302" s="3"/>
      <c r="X302" s="1"/>
      <c r="Y302" s="1"/>
      <c r="Z302" s="1"/>
    </row>
    <row r="303" ht="12.75" customHeight="1">
      <c r="A303" s="1"/>
      <c r="B303" s="3"/>
      <c r="C303" s="3"/>
      <c r="D303" s="3"/>
      <c r="E303" s="3"/>
      <c r="F303" s="3"/>
      <c r="G303" s="3"/>
      <c r="H303" s="3"/>
      <c r="I303" s="3"/>
      <c r="J303" s="3"/>
      <c r="K303" s="3"/>
      <c r="L303" s="3"/>
      <c r="M303" s="3"/>
      <c r="N303" s="3"/>
      <c r="O303" s="3"/>
      <c r="P303" s="3"/>
      <c r="Q303" s="3"/>
      <c r="R303" s="3"/>
      <c r="S303" s="3"/>
      <c r="T303" s="3"/>
      <c r="U303" s="3"/>
      <c r="V303" s="3"/>
      <c r="W303" s="3"/>
      <c r="X303" s="1"/>
      <c r="Y303" s="1"/>
      <c r="Z303" s="1"/>
    </row>
    <row r="304" ht="12.75" customHeight="1">
      <c r="A304" s="1"/>
      <c r="B304" s="3"/>
      <c r="C304" s="3"/>
      <c r="D304" s="3"/>
      <c r="E304" s="3"/>
      <c r="F304" s="3"/>
      <c r="G304" s="3"/>
      <c r="H304" s="3"/>
      <c r="I304" s="3"/>
      <c r="J304" s="3"/>
      <c r="K304" s="3"/>
      <c r="L304" s="3"/>
      <c r="M304" s="3"/>
      <c r="N304" s="3"/>
      <c r="O304" s="3"/>
      <c r="P304" s="3"/>
      <c r="Q304" s="3"/>
      <c r="R304" s="3"/>
      <c r="S304" s="3"/>
      <c r="T304" s="3"/>
      <c r="U304" s="3"/>
      <c r="V304" s="3"/>
      <c r="W304" s="3"/>
      <c r="X304" s="1"/>
      <c r="Y304" s="1"/>
      <c r="Z304" s="1"/>
    </row>
    <row r="305" ht="12.75" customHeight="1">
      <c r="A305" s="1"/>
      <c r="B305" s="3"/>
      <c r="C305" s="3"/>
      <c r="D305" s="3"/>
      <c r="E305" s="3"/>
      <c r="F305" s="3"/>
      <c r="G305" s="3"/>
      <c r="H305" s="3"/>
      <c r="I305" s="3"/>
      <c r="J305" s="3"/>
      <c r="K305" s="3"/>
      <c r="L305" s="3"/>
      <c r="M305" s="3"/>
      <c r="N305" s="3"/>
      <c r="O305" s="3"/>
      <c r="P305" s="3"/>
      <c r="Q305" s="3"/>
      <c r="R305" s="3"/>
      <c r="S305" s="3"/>
      <c r="T305" s="3"/>
      <c r="U305" s="3"/>
      <c r="V305" s="3"/>
      <c r="W305" s="3"/>
      <c r="X305" s="1"/>
      <c r="Y305" s="1"/>
      <c r="Z305" s="1"/>
    </row>
    <row r="306" ht="12.75" customHeight="1">
      <c r="A306" s="1"/>
      <c r="B306" s="3"/>
      <c r="C306" s="3"/>
      <c r="D306" s="3"/>
      <c r="E306" s="3"/>
      <c r="F306" s="3"/>
      <c r="G306" s="3"/>
      <c r="H306" s="3"/>
      <c r="I306" s="3"/>
      <c r="J306" s="3"/>
      <c r="K306" s="3"/>
      <c r="L306" s="3"/>
      <c r="M306" s="3"/>
      <c r="N306" s="3"/>
      <c r="O306" s="3"/>
      <c r="P306" s="3"/>
      <c r="Q306" s="3"/>
      <c r="R306" s="3"/>
      <c r="S306" s="3"/>
      <c r="T306" s="3"/>
      <c r="U306" s="3"/>
      <c r="V306" s="3"/>
      <c r="W306" s="3"/>
      <c r="X306" s="1"/>
      <c r="Y306" s="1"/>
      <c r="Z306" s="1"/>
    </row>
    <row r="307" ht="12.75" customHeight="1">
      <c r="A307" s="1"/>
      <c r="B307" s="3"/>
      <c r="C307" s="3"/>
      <c r="D307" s="3"/>
      <c r="E307" s="3"/>
      <c r="F307" s="3"/>
      <c r="G307" s="3"/>
      <c r="H307" s="3"/>
      <c r="I307" s="3"/>
      <c r="J307" s="3"/>
      <c r="K307" s="3"/>
      <c r="L307" s="3"/>
      <c r="M307" s="3"/>
      <c r="N307" s="3"/>
      <c r="O307" s="3"/>
      <c r="P307" s="3"/>
      <c r="Q307" s="3"/>
      <c r="R307" s="3"/>
      <c r="S307" s="3"/>
      <c r="T307" s="3"/>
      <c r="U307" s="3"/>
      <c r="V307" s="3"/>
      <c r="W307" s="3"/>
      <c r="X307" s="1"/>
      <c r="Y307" s="1"/>
      <c r="Z307" s="1"/>
    </row>
    <row r="308" ht="12.75" customHeight="1">
      <c r="A308" s="1"/>
      <c r="B308" s="3"/>
      <c r="C308" s="3"/>
      <c r="D308" s="3"/>
      <c r="E308" s="3"/>
      <c r="F308" s="3"/>
      <c r="G308" s="3"/>
      <c r="H308" s="3"/>
      <c r="I308" s="3"/>
      <c r="J308" s="3"/>
      <c r="K308" s="3"/>
      <c r="L308" s="3"/>
      <c r="M308" s="3"/>
      <c r="N308" s="3"/>
      <c r="O308" s="3"/>
      <c r="P308" s="3"/>
      <c r="Q308" s="3"/>
      <c r="R308" s="3"/>
      <c r="S308" s="3"/>
      <c r="T308" s="3"/>
      <c r="U308" s="3"/>
      <c r="V308" s="3"/>
      <c r="W308" s="3"/>
      <c r="X308" s="1"/>
      <c r="Y308" s="1"/>
      <c r="Z308" s="1"/>
    </row>
    <row r="309" ht="12.75" customHeight="1">
      <c r="A309" s="1"/>
      <c r="B309" s="3"/>
      <c r="C309" s="3"/>
      <c r="D309" s="3"/>
      <c r="E309" s="3"/>
      <c r="F309" s="3"/>
      <c r="G309" s="3"/>
      <c r="H309" s="3"/>
      <c r="I309" s="3"/>
      <c r="J309" s="3"/>
      <c r="K309" s="3"/>
      <c r="L309" s="3"/>
      <c r="M309" s="3"/>
      <c r="N309" s="3"/>
      <c r="O309" s="3"/>
      <c r="P309" s="3"/>
      <c r="Q309" s="3"/>
      <c r="R309" s="3"/>
      <c r="S309" s="3"/>
      <c r="T309" s="3"/>
      <c r="U309" s="3"/>
      <c r="V309" s="3"/>
      <c r="W309" s="3"/>
      <c r="X309" s="1"/>
      <c r="Y309" s="1"/>
      <c r="Z309" s="1"/>
    </row>
    <row r="310" ht="12.75" customHeight="1">
      <c r="A310" s="1"/>
      <c r="B310" s="3"/>
      <c r="C310" s="3"/>
      <c r="D310" s="3"/>
      <c r="E310" s="3"/>
      <c r="F310" s="3"/>
      <c r="G310" s="3"/>
      <c r="H310" s="3"/>
      <c r="I310" s="3"/>
      <c r="J310" s="3"/>
      <c r="K310" s="3"/>
      <c r="L310" s="3"/>
      <c r="M310" s="3"/>
      <c r="N310" s="3"/>
      <c r="O310" s="3"/>
      <c r="P310" s="3"/>
      <c r="Q310" s="3"/>
      <c r="R310" s="3"/>
      <c r="S310" s="3"/>
      <c r="T310" s="3"/>
      <c r="U310" s="3"/>
      <c r="V310" s="3"/>
      <c r="W310" s="3"/>
      <c r="X310" s="1"/>
      <c r="Y310" s="1"/>
      <c r="Z310" s="1"/>
    </row>
    <row r="311" ht="12.75" customHeight="1">
      <c r="A311" s="1"/>
      <c r="B311" s="3"/>
      <c r="C311" s="3"/>
      <c r="D311" s="3"/>
      <c r="E311" s="3"/>
      <c r="F311" s="3"/>
      <c r="G311" s="3"/>
      <c r="H311" s="3"/>
      <c r="I311" s="3"/>
      <c r="J311" s="3"/>
      <c r="K311" s="3"/>
      <c r="L311" s="3"/>
      <c r="M311" s="3"/>
      <c r="N311" s="3"/>
      <c r="O311" s="3"/>
      <c r="P311" s="3"/>
      <c r="Q311" s="3"/>
      <c r="R311" s="3"/>
      <c r="S311" s="3"/>
      <c r="T311" s="3"/>
      <c r="U311" s="3"/>
      <c r="V311" s="3"/>
      <c r="W311" s="3"/>
      <c r="X311" s="1"/>
      <c r="Y311" s="1"/>
      <c r="Z311" s="1"/>
    </row>
    <row r="312" ht="12.75" customHeight="1">
      <c r="A312" s="1"/>
      <c r="B312" s="3"/>
      <c r="C312" s="3"/>
      <c r="D312" s="3"/>
      <c r="E312" s="3"/>
      <c r="F312" s="3"/>
      <c r="G312" s="3"/>
      <c r="H312" s="3"/>
      <c r="I312" s="3"/>
      <c r="J312" s="3"/>
      <c r="K312" s="3"/>
      <c r="L312" s="3"/>
      <c r="M312" s="3"/>
      <c r="N312" s="3"/>
      <c r="O312" s="3"/>
      <c r="P312" s="3"/>
      <c r="Q312" s="3"/>
      <c r="R312" s="3"/>
      <c r="S312" s="3"/>
      <c r="T312" s="3"/>
      <c r="U312" s="3"/>
      <c r="V312" s="3"/>
      <c r="W312" s="3"/>
      <c r="X312" s="1"/>
      <c r="Y312" s="1"/>
      <c r="Z312" s="1"/>
    </row>
    <row r="313" ht="12.75" customHeight="1">
      <c r="A313" s="1"/>
      <c r="B313" s="3"/>
      <c r="C313" s="3"/>
      <c r="D313" s="3"/>
      <c r="E313" s="3"/>
      <c r="F313" s="3"/>
      <c r="G313" s="3"/>
      <c r="H313" s="3"/>
      <c r="I313" s="3"/>
      <c r="J313" s="3"/>
      <c r="K313" s="3"/>
      <c r="L313" s="3"/>
      <c r="M313" s="3"/>
      <c r="N313" s="3"/>
      <c r="O313" s="3"/>
      <c r="P313" s="3"/>
      <c r="Q313" s="3"/>
      <c r="R313" s="3"/>
      <c r="S313" s="3"/>
      <c r="T313" s="3"/>
      <c r="U313" s="3"/>
      <c r="V313" s="3"/>
      <c r="W313" s="3"/>
      <c r="X313" s="1"/>
      <c r="Y313" s="1"/>
      <c r="Z313" s="1"/>
    </row>
    <row r="314" ht="12.75" customHeight="1">
      <c r="A314" s="1"/>
      <c r="B314" s="3"/>
      <c r="C314" s="3"/>
      <c r="D314" s="3"/>
      <c r="E314" s="3"/>
      <c r="F314" s="3"/>
      <c r="G314" s="3"/>
      <c r="H314" s="3"/>
      <c r="I314" s="3"/>
      <c r="J314" s="3"/>
      <c r="K314" s="3"/>
      <c r="L314" s="3"/>
      <c r="M314" s="3"/>
      <c r="N314" s="3"/>
      <c r="O314" s="3"/>
      <c r="P314" s="3"/>
      <c r="Q314" s="3"/>
      <c r="R314" s="3"/>
      <c r="S314" s="3"/>
      <c r="T314" s="3"/>
      <c r="U314" s="3"/>
      <c r="V314" s="3"/>
      <c r="W314" s="3"/>
      <c r="X314" s="1"/>
      <c r="Y314" s="1"/>
      <c r="Z314" s="1"/>
    </row>
    <row r="315" ht="12.75" customHeight="1">
      <c r="A315" s="1"/>
      <c r="B315" s="3"/>
      <c r="C315" s="3"/>
      <c r="D315" s="3"/>
      <c r="E315" s="3"/>
      <c r="F315" s="3"/>
      <c r="G315" s="3"/>
      <c r="H315" s="3"/>
      <c r="I315" s="3"/>
      <c r="J315" s="3"/>
      <c r="K315" s="3"/>
      <c r="L315" s="3"/>
      <c r="M315" s="3"/>
      <c r="N315" s="3"/>
      <c r="O315" s="3"/>
      <c r="P315" s="3"/>
      <c r="Q315" s="3"/>
      <c r="R315" s="3"/>
      <c r="S315" s="3"/>
      <c r="T315" s="3"/>
      <c r="U315" s="3"/>
      <c r="V315" s="3"/>
      <c r="W315" s="3"/>
      <c r="X315" s="1"/>
      <c r="Y315" s="1"/>
      <c r="Z315" s="1"/>
    </row>
    <row r="316" ht="12.75" customHeight="1">
      <c r="A316" s="1"/>
      <c r="B316" s="3"/>
      <c r="C316" s="3"/>
      <c r="D316" s="3"/>
      <c r="E316" s="3"/>
      <c r="F316" s="3"/>
      <c r="G316" s="3"/>
      <c r="H316" s="3"/>
      <c r="I316" s="3"/>
      <c r="J316" s="3"/>
      <c r="K316" s="3"/>
      <c r="L316" s="3"/>
      <c r="M316" s="3"/>
      <c r="N316" s="3"/>
      <c r="O316" s="3"/>
      <c r="P316" s="3"/>
      <c r="Q316" s="3"/>
      <c r="R316" s="3"/>
      <c r="S316" s="3"/>
      <c r="T316" s="3"/>
      <c r="U316" s="3"/>
      <c r="V316" s="3"/>
      <c r="W316" s="3"/>
      <c r="X316" s="1"/>
      <c r="Y316" s="1"/>
      <c r="Z316" s="1"/>
    </row>
    <row r="317" ht="12.75" customHeight="1">
      <c r="A317" s="1"/>
      <c r="B317" s="3"/>
      <c r="C317" s="3"/>
      <c r="D317" s="3"/>
      <c r="E317" s="3"/>
      <c r="F317" s="3"/>
      <c r="G317" s="3"/>
      <c r="H317" s="3"/>
      <c r="I317" s="3"/>
      <c r="J317" s="3"/>
      <c r="K317" s="3"/>
      <c r="L317" s="3"/>
      <c r="M317" s="3"/>
      <c r="N317" s="3"/>
      <c r="O317" s="3"/>
      <c r="P317" s="3"/>
      <c r="Q317" s="3"/>
      <c r="R317" s="3"/>
      <c r="S317" s="3"/>
      <c r="T317" s="3"/>
      <c r="U317" s="3"/>
      <c r="V317" s="3"/>
      <c r="W317" s="3"/>
      <c r="X317" s="1"/>
      <c r="Y317" s="1"/>
      <c r="Z317" s="1"/>
    </row>
    <row r="318" ht="12.75" customHeight="1">
      <c r="A318" s="1"/>
      <c r="B318" s="3"/>
      <c r="C318" s="3"/>
      <c r="D318" s="3"/>
      <c r="E318" s="3"/>
      <c r="F318" s="3"/>
      <c r="G318" s="3"/>
      <c r="H318" s="3"/>
      <c r="I318" s="3"/>
      <c r="J318" s="3"/>
      <c r="K318" s="3"/>
      <c r="L318" s="3"/>
      <c r="M318" s="3"/>
      <c r="N318" s="3"/>
      <c r="O318" s="3"/>
      <c r="P318" s="3"/>
      <c r="Q318" s="3"/>
      <c r="R318" s="3"/>
      <c r="S318" s="3"/>
      <c r="T318" s="3"/>
      <c r="U318" s="3"/>
      <c r="V318" s="3"/>
      <c r="W318" s="3"/>
      <c r="X318" s="1"/>
      <c r="Y318" s="1"/>
      <c r="Z318" s="1"/>
    </row>
    <row r="319" ht="12.75" customHeight="1">
      <c r="A319" s="1"/>
      <c r="B319" s="3"/>
      <c r="C319" s="3"/>
      <c r="D319" s="3"/>
      <c r="E319" s="3"/>
      <c r="F319" s="3"/>
      <c r="G319" s="3"/>
      <c r="H319" s="3"/>
      <c r="I319" s="3"/>
      <c r="J319" s="3"/>
      <c r="K319" s="3"/>
      <c r="L319" s="3"/>
      <c r="M319" s="3"/>
      <c r="N319" s="3"/>
      <c r="O319" s="3"/>
      <c r="P319" s="3"/>
      <c r="Q319" s="3"/>
      <c r="R319" s="3"/>
      <c r="S319" s="3"/>
      <c r="T319" s="3"/>
      <c r="U319" s="3"/>
      <c r="V319" s="3"/>
      <c r="W319" s="3"/>
      <c r="X319" s="1"/>
      <c r="Y319" s="1"/>
      <c r="Z319" s="1"/>
    </row>
    <row r="320" ht="12.75" customHeight="1">
      <c r="A320" s="1"/>
      <c r="B320" s="3"/>
      <c r="C320" s="3"/>
      <c r="D320" s="3"/>
      <c r="E320" s="3"/>
      <c r="F320" s="3"/>
      <c r="G320" s="3"/>
      <c r="H320" s="3"/>
      <c r="I320" s="3"/>
      <c r="J320" s="3"/>
      <c r="K320" s="3"/>
      <c r="L320" s="3"/>
      <c r="M320" s="3"/>
      <c r="N320" s="3"/>
      <c r="O320" s="3"/>
      <c r="P320" s="3"/>
      <c r="Q320" s="3"/>
      <c r="R320" s="3"/>
      <c r="S320" s="3"/>
      <c r="T320" s="3"/>
      <c r="U320" s="3"/>
      <c r="V320" s="3"/>
      <c r="W320" s="3"/>
      <c r="X320" s="1"/>
      <c r="Y320" s="1"/>
      <c r="Z320" s="1"/>
    </row>
    <row r="321" ht="12.75" customHeight="1">
      <c r="A321" s="1"/>
      <c r="B321" s="3"/>
      <c r="C321" s="3"/>
      <c r="D321" s="3"/>
      <c r="E321" s="3"/>
      <c r="F321" s="3"/>
      <c r="G321" s="3"/>
      <c r="H321" s="3"/>
      <c r="I321" s="3"/>
      <c r="J321" s="3"/>
      <c r="K321" s="3"/>
      <c r="L321" s="3"/>
      <c r="M321" s="3"/>
      <c r="N321" s="3"/>
      <c r="O321" s="3"/>
      <c r="P321" s="3"/>
      <c r="Q321" s="3"/>
      <c r="R321" s="3"/>
      <c r="S321" s="3"/>
      <c r="T321" s="3"/>
      <c r="U321" s="3"/>
      <c r="V321" s="3"/>
      <c r="W321" s="3"/>
      <c r="X321" s="1"/>
      <c r="Y321" s="1"/>
      <c r="Z321" s="1"/>
    </row>
    <row r="322" ht="12.75" customHeight="1">
      <c r="A322" s="1"/>
      <c r="B322" s="3"/>
      <c r="C322" s="3"/>
      <c r="D322" s="3"/>
      <c r="E322" s="3"/>
      <c r="F322" s="3"/>
      <c r="G322" s="3"/>
      <c r="H322" s="3"/>
      <c r="I322" s="3"/>
      <c r="J322" s="3"/>
      <c r="K322" s="3"/>
      <c r="L322" s="3"/>
      <c r="M322" s="3"/>
      <c r="N322" s="3"/>
      <c r="O322" s="3"/>
      <c r="P322" s="3"/>
      <c r="Q322" s="3"/>
      <c r="R322" s="3"/>
      <c r="S322" s="3"/>
      <c r="T322" s="3"/>
      <c r="U322" s="3"/>
      <c r="V322" s="3"/>
      <c r="W322" s="3"/>
      <c r="X322" s="1"/>
      <c r="Y322" s="1"/>
      <c r="Z322" s="1"/>
    </row>
    <row r="323" ht="12.75" customHeight="1">
      <c r="A323" s="1"/>
      <c r="B323" s="3"/>
      <c r="C323" s="3"/>
      <c r="D323" s="3"/>
      <c r="E323" s="3"/>
      <c r="F323" s="3"/>
      <c r="G323" s="3"/>
      <c r="H323" s="3"/>
      <c r="I323" s="3"/>
      <c r="J323" s="3"/>
      <c r="K323" s="3"/>
      <c r="L323" s="3"/>
      <c r="M323" s="3"/>
      <c r="N323" s="3"/>
      <c r="O323" s="3"/>
      <c r="P323" s="3"/>
      <c r="Q323" s="3"/>
      <c r="R323" s="3"/>
      <c r="S323" s="3"/>
      <c r="T323" s="3"/>
      <c r="U323" s="3"/>
      <c r="V323" s="3"/>
      <c r="W323" s="3"/>
      <c r="X323" s="1"/>
      <c r="Y323" s="1"/>
      <c r="Z323" s="1"/>
    </row>
    <row r="324" ht="12.75" customHeight="1">
      <c r="A324" s="1"/>
      <c r="B324" s="3"/>
      <c r="C324" s="3"/>
      <c r="D324" s="3"/>
      <c r="E324" s="3"/>
      <c r="F324" s="3"/>
      <c r="G324" s="3"/>
      <c r="H324" s="3"/>
      <c r="I324" s="3"/>
      <c r="J324" s="3"/>
      <c r="K324" s="3"/>
      <c r="L324" s="3"/>
      <c r="M324" s="3"/>
      <c r="N324" s="3"/>
      <c r="O324" s="3"/>
      <c r="P324" s="3"/>
      <c r="Q324" s="3"/>
      <c r="R324" s="3"/>
      <c r="S324" s="3"/>
      <c r="T324" s="3"/>
      <c r="U324" s="3"/>
      <c r="V324" s="3"/>
      <c r="W324" s="3"/>
      <c r="X324" s="1"/>
      <c r="Y324" s="1"/>
      <c r="Z324" s="1"/>
    </row>
    <row r="325" ht="12.75" customHeight="1">
      <c r="A325" s="1"/>
      <c r="B325" s="3"/>
      <c r="C325" s="3"/>
      <c r="D325" s="3"/>
      <c r="E325" s="3"/>
      <c r="F325" s="3"/>
      <c r="G325" s="3"/>
      <c r="H325" s="3"/>
      <c r="I325" s="3"/>
      <c r="J325" s="3"/>
      <c r="K325" s="3"/>
      <c r="L325" s="3"/>
      <c r="M325" s="3"/>
      <c r="N325" s="3"/>
      <c r="O325" s="3"/>
      <c r="P325" s="3"/>
      <c r="Q325" s="3"/>
      <c r="R325" s="3"/>
      <c r="S325" s="3"/>
      <c r="T325" s="3"/>
      <c r="U325" s="3"/>
      <c r="V325" s="3"/>
      <c r="W325" s="3"/>
      <c r="X325" s="1"/>
      <c r="Y325" s="1"/>
      <c r="Z325" s="1"/>
    </row>
    <row r="326" ht="12.75" customHeight="1">
      <c r="A326" s="1"/>
      <c r="B326" s="3"/>
      <c r="C326" s="3"/>
      <c r="D326" s="3"/>
      <c r="E326" s="3"/>
      <c r="F326" s="3"/>
      <c r="G326" s="3"/>
      <c r="H326" s="3"/>
      <c r="I326" s="3"/>
      <c r="J326" s="3"/>
      <c r="K326" s="3"/>
      <c r="L326" s="3"/>
      <c r="M326" s="3"/>
      <c r="N326" s="3"/>
      <c r="O326" s="3"/>
      <c r="P326" s="3"/>
      <c r="Q326" s="3"/>
      <c r="R326" s="3"/>
      <c r="S326" s="3"/>
      <c r="T326" s="3"/>
      <c r="U326" s="3"/>
      <c r="V326" s="3"/>
      <c r="W326" s="3"/>
      <c r="X326" s="1"/>
      <c r="Y326" s="1"/>
      <c r="Z326" s="1"/>
    </row>
    <row r="327" ht="12.75" customHeight="1">
      <c r="A327" s="1"/>
      <c r="B327" s="3"/>
      <c r="C327" s="3"/>
      <c r="D327" s="3"/>
      <c r="E327" s="3"/>
      <c r="F327" s="3"/>
      <c r="G327" s="3"/>
      <c r="H327" s="3"/>
      <c r="I327" s="3"/>
      <c r="J327" s="3"/>
      <c r="K327" s="3"/>
      <c r="L327" s="3"/>
      <c r="M327" s="3"/>
      <c r="N327" s="3"/>
      <c r="O327" s="3"/>
      <c r="P327" s="3"/>
      <c r="Q327" s="3"/>
      <c r="R327" s="3"/>
      <c r="S327" s="3"/>
      <c r="T327" s="3"/>
      <c r="U327" s="3"/>
      <c r="V327" s="3"/>
      <c r="W327" s="3"/>
      <c r="X327" s="1"/>
      <c r="Y327" s="1"/>
      <c r="Z327" s="1"/>
    </row>
    <row r="328" ht="12.75" customHeight="1">
      <c r="A328" s="1"/>
      <c r="B328" s="3"/>
      <c r="C328" s="3"/>
      <c r="D328" s="3"/>
      <c r="E328" s="3"/>
      <c r="F328" s="3"/>
      <c r="G328" s="3"/>
      <c r="H328" s="3"/>
      <c r="I328" s="3"/>
      <c r="J328" s="3"/>
      <c r="K328" s="3"/>
      <c r="L328" s="3"/>
      <c r="M328" s="3"/>
      <c r="N328" s="3"/>
      <c r="O328" s="3"/>
      <c r="P328" s="3"/>
      <c r="Q328" s="3"/>
      <c r="R328" s="3"/>
      <c r="S328" s="3"/>
      <c r="T328" s="3"/>
      <c r="U328" s="3"/>
      <c r="V328" s="3"/>
      <c r="W328" s="3"/>
      <c r="X328" s="1"/>
      <c r="Y328" s="1"/>
      <c r="Z328" s="1"/>
    </row>
    <row r="329" ht="12.75" customHeight="1">
      <c r="A329" s="1"/>
      <c r="B329" s="3"/>
      <c r="C329" s="3"/>
      <c r="D329" s="3"/>
      <c r="E329" s="3"/>
      <c r="F329" s="3"/>
      <c r="G329" s="3"/>
      <c r="H329" s="3"/>
      <c r="I329" s="3"/>
      <c r="J329" s="3"/>
      <c r="K329" s="3"/>
      <c r="L329" s="3"/>
      <c r="M329" s="3"/>
      <c r="N329" s="3"/>
      <c r="O329" s="3"/>
      <c r="P329" s="3"/>
      <c r="Q329" s="3"/>
      <c r="R329" s="3"/>
      <c r="S329" s="3"/>
      <c r="T329" s="3"/>
      <c r="U329" s="3"/>
      <c r="V329" s="3"/>
      <c r="W329" s="3"/>
      <c r="X329" s="1"/>
      <c r="Y329" s="1"/>
      <c r="Z329" s="1"/>
    </row>
    <row r="330" ht="12.75" customHeight="1">
      <c r="A330" s="1"/>
      <c r="B330" s="3"/>
      <c r="C330" s="3"/>
      <c r="D330" s="3"/>
      <c r="E330" s="3"/>
      <c r="F330" s="3"/>
      <c r="G330" s="3"/>
      <c r="H330" s="3"/>
      <c r="I330" s="3"/>
      <c r="J330" s="3"/>
      <c r="K330" s="3"/>
      <c r="L330" s="3"/>
      <c r="M330" s="3"/>
      <c r="N330" s="3"/>
      <c r="O330" s="3"/>
      <c r="P330" s="3"/>
      <c r="Q330" s="3"/>
      <c r="R330" s="3"/>
      <c r="S330" s="3"/>
      <c r="T330" s="3"/>
      <c r="U330" s="3"/>
      <c r="V330" s="3"/>
      <c r="W330" s="3"/>
      <c r="X330" s="1"/>
      <c r="Y330" s="1"/>
      <c r="Z330" s="1"/>
    </row>
    <row r="331" ht="12.75" customHeight="1">
      <c r="A331" s="1"/>
      <c r="B331" s="3"/>
      <c r="C331" s="3"/>
      <c r="D331" s="3"/>
      <c r="E331" s="3"/>
      <c r="F331" s="3"/>
      <c r="G331" s="3"/>
      <c r="H331" s="3"/>
      <c r="I331" s="3"/>
      <c r="J331" s="3"/>
      <c r="K331" s="3"/>
      <c r="L331" s="3"/>
      <c r="M331" s="3"/>
      <c r="N331" s="3"/>
      <c r="O331" s="3"/>
      <c r="P331" s="3"/>
      <c r="Q331" s="3"/>
      <c r="R331" s="3"/>
      <c r="S331" s="3"/>
      <c r="T331" s="3"/>
      <c r="U331" s="3"/>
      <c r="V331" s="3"/>
      <c r="W331" s="3"/>
      <c r="X331" s="1"/>
      <c r="Y331" s="1"/>
      <c r="Z331" s="1"/>
    </row>
    <row r="332" ht="12.75" customHeight="1">
      <c r="A332" s="1"/>
      <c r="B332" s="3"/>
      <c r="C332" s="3"/>
      <c r="D332" s="3"/>
      <c r="E332" s="3"/>
      <c r="F332" s="3"/>
      <c r="G332" s="3"/>
      <c r="H332" s="3"/>
      <c r="I332" s="3"/>
      <c r="J332" s="3"/>
      <c r="K332" s="3"/>
      <c r="L332" s="3"/>
      <c r="M332" s="3"/>
      <c r="N332" s="3"/>
      <c r="O332" s="3"/>
      <c r="P332" s="3"/>
      <c r="Q332" s="3"/>
      <c r="R332" s="3"/>
      <c r="S332" s="3"/>
      <c r="T332" s="3"/>
      <c r="U332" s="3"/>
      <c r="V332" s="3"/>
      <c r="W332" s="3"/>
      <c r="X332" s="1"/>
      <c r="Y332" s="1"/>
      <c r="Z332" s="1"/>
    </row>
    <row r="333" ht="12.75" customHeight="1">
      <c r="A333" s="1"/>
      <c r="B333" s="3"/>
      <c r="C333" s="3"/>
      <c r="D333" s="3"/>
      <c r="E333" s="3"/>
      <c r="F333" s="3"/>
      <c r="G333" s="3"/>
      <c r="H333" s="3"/>
      <c r="I333" s="3"/>
      <c r="J333" s="3"/>
      <c r="K333" s="3"/>
      <c r="L333" s="3"/>
      <c r="M333" s="3"/>
      <c r="N333" s="3"/>
      <c r="O333" s="3"/>
      <c r="P333" s="3"/>
      <c r="Q333" s="3"/>
      <c r="R333" s="3"/>
      <c r="S333" s="3"/>
      <c r="T333" s="3"/>
      <c r="U333" s="3"/>
      <c r="V333" s="3"/>
      <c r="W333" s="3"/>
      <c r="X333" s="1"/>
      <c r="Y333" s="1"/>
      <c r="Z333" s="1"/>
    </row>
    <row r="334" ht="12.75" customHeight="1">
      <c r="A334" s="1"/>
      <c r="B334" s="3"/>
      <c r="C334" s="3"/>
      <c r="D334" s="3"/>
      <c r="E334" s="3"/>
      <c r="F334" s="3"/>
      <c r="G334" s="3"/>
      <c r="H334" s="3"/>
      <c r="I334" s="3"/>
      <c r="J334" s="3"/>
      <c r="K334" s="3"/>
      <c r="L334" s="3"/>
      <c r="M334" s="3"/>
      <c r="N334" s="3"/>
      <c r="O334" s="3"/>
      <c r="P334" s="3"/>
      <c r="Q334" s="3"/>
      <c r="R334" s="3"/>
      <c r="S334" s="3"/>
      <c r="T334" s="3"/>
      <c r="U334" s="3"/>
      <c r="V334" s="3"/>
      <c r="W334" s="3"/>
      <c r="X334" s="1"/>
      <c r="Y334" s="1"/>
      <c r="Z334" s="1"/>
    </row>
    <row r="335" ht="12.75" customHeight="1">
      <c r="A335" s="1"/>
      <c r="B335" s="3"/>
      <c r="C335" s="3"/>
      <c r="D335" s="3"/>
      <c r="E335" s="3"/>
      <c r="F335" s="3"/>
      <c r="G335" s="3"/>
      <c r="H335" s="3"/>
      <c r="I335" s="3"/>
      <c r="J335" s="3"/>
      <c r="K335" s="3"/>
      <c r="L335" s="3"/>
      <c r="M335" s="3"/>
      <c r="N335" s="3"/>
      <c r="O335" s="3"/>
      <c r="P335" s="3"/>
      <c r="Q335" s="3"/>
      <c r="R335" s="3"/>
      <c r="S335" s="3"/>
      <c r="T335" s="3"/>
      <c r="U335" s="3"/>
      <c r="V335" s="3"/>
      <c r="W335" s="3"/>
      <c r="X335" s="1"/>
      <c r="Y335" s="1"/>
      <c r="Z335" s="1"/>
    </row>
    <row r="336" ht="12.75" customHeight="1">
      <c r="A336" s="1"/>
      <c r="B336" s="3"/>
      <c r="C336" s="3"/>
      <c r="D336" s="3"/>
      <c r="E336" s="3"/>
      <c r="F336" s="3"/>
      <c r="G336" s="3"/>
      <c r="H336" s="3"/>
      <c r="I336" s="3"/>
      <c r="J336" s="3"/>
      <c r="K336" s="3"/>
      <c r="L336" s="3"/>
      <c r="M336" s="3"/>
      <c r="N336" s="3"/>
      <c r="O336" s="3"/>
      <c r="P336" s="3"/>
      <c r="Q336" s="3"/>
      <c r="R336" s="3"/>
      <c r="S336" s="3"/>
      <c r="T336" s="3"/>
      <c r="U336" s="3"/>
      <c r="V336" s="3"/>
      <c r="W336" s="3"/>
      <c r="X336" s="1"/>
      <c r="Y336" s="1"/>
      <c r="Z336" s="1"/>
    </row>
    <row r="337" ht="12.75" customHeight="1">
      <c r="A337" s="1"/>
      <c r="B337" s="3"/>
      <c r="C337" s="3"/>
      <c r="D337" s="3"/>
      <c r="E337" s="3"/>
      <c r="F337" s="3"/>
      <c r="G337" s="3"/>
      <c r="H337" s="3"/>
      <c r="I337" s="3"/>
      <c r="J337" s="3"/>
      <c r="K337" s="3"/>
      <c r="L337" s="3"/>
      <c r="M337" s="3"/>
      <c r="N337" s="3"/>
      <c r="O337" s="3"/>
      <c r="P337" s="3"/>
      <c r="Q337" s="3"/>
      <c r="R337" s="3"/>
      <c r="S337" s="3"/>
      <c r="T337" s="3"/>
      <c r="U337" s="3"/>
      <c r="V337" s="3"/>
      <c r="W337" s="3"/>
      <c r="X337" s="1"/>
      <c r="Y337" s="1"/>
      <c r="Z337" s="1"/>
    </row>
    <row r="338" ht="12.75" customHeight="1">
      <c r="A338" s="1"/>
      <c r="B338" s="3"/>
      <c r="C338" s="3"/>
      <c r="D338" s="3"/>
      <c r="E338" s="3"/>
      <c r="F338" s="3"/>
      <c r="G338" s="3"/>
      <c r="H338" s="3"/>
      <c r="I338" s="3"/>
      <c r="J338" s="3"/>
      <c r="K338" s="3"/>
      <c r="L338" s="3"/>
      <c r="M338" s="3"/>
      <c r="N338" s="3"/>
      <c r="O338" s="3"/>
      <c r="P338" s="3"/>
      <c r="Q338" s="3"/>
      <c r="R338" s="3"/>
      <c r="S338" s="3"/>
      <c r="T338" s="3"/>
      <c r="U338" s="3"/>
      <c r="V338" s="3"/>
      <c r="W338" s="3"/>
      <c r="X338" s="1"/>
      <c r="Y338" s="1"/>
      <c r="Z338" s="1"/>
    </row>
    <row r="339" ht="12.75" customHeight="1">
      <c r="A339" s="1"/>
      <c r="B339" s="3"/>
      <c r="C339" s="3"/>
      <c r="D339" s="3"/>
      <c r="E339" s="3"/>
      <c r="F339" s="3"/>
      <c r="G339" s="3"/>
      <c r="H339" s="3"/>
      <c r="I339" s="3"/>
      <c r="J339" s="3"/>
      <c r="K339" s="3"/>
      <c r="L339" s="3"/>
      <c r="M339" s="3"/>
      <c r="N339" s="3"/>
      <c r="O339" s="3"/>
      <c r="P339" s="3"/>
      <c r="Q339" s="3"/>
      <c r="R339" s="3"/>
      <c r="S339" s="3"/>
      <c r="T339" s="3"/>
      <c r="U339" s="3"/>
      <c r="V339" s="3"/>
      <c r="W339" s="3"/>
      <c r="X339" s="1"/>
      <c r="Y339" s="1"/>
      <c r="Z339" s="1"/>
    </row>
    <row r="340" ht="12.75" customHeight="1">
      <c r="A340" s="1"/>
      <c r="B340" s="3"/>
      <c r="C340" s="3"/>
      <c r="D340" s="3"/>
      <c r="E340" s="3"/>
      <c r="F340" s="3"/>
      <c r="G340" s="3"/>
      <c r="H340" s="3"/>
      <c r="I340" s="3"/>
      <c r="J340" s="3"/>
      <c r="K340" s="3"/>
      <c r="L340" s="3"/>
      <c r="M340" s="3"/>
      <c r="N340" s="3"/>
      <c r="O340" s="3"/>
      <c r="P340" s="3"/>
      <c r="Q340" s="3"/>
      <c r="R340" s="3"/>
      <c r="S340" s="3"/>
      <c r="T340" s="3"/>
      <c r="U340" s="3"/>
      <c r="V340" s="3"/>
      <c r="W340" s="3"/>
      <c r="X340" s="1"/>
      <c r="Y340" s="1"/>
      <c r="Z340" s="1"/>
    </row>
    <row r="341" ht="12.75" customHeight="1">
      <c r="A341" s="1"/>
      <c r="B341" s="3"/>
      <c r="C341" s="3"/>
      <c r="D341" s="3"/>
      <c r="E341" s="3"/>
      <c r="F341" s="3"/>
      <c r="G341" s="3"/>
      <c r="H341" s="3"/>
      <c r="I341" s="3"/>
      <c r="J341" s="3"/>
      <c r="K341" s="3"/>
      <c r="L341" s="3"/>
      <c r="M341" s="3"/>
      <c r="N341" s="3"/>
      <c r="O341" s="3"/>
      <c r="P341" s="3"/>
      <c r="Q341" s="3"/>
      <c r="R341" s="3"/>
      <c r="S341" s="3"/>
      <c r="T341" s="3"/>
      <c r="U341" s="3"/>
      <c r="V341" s="3"/>
      <c r="W341" s="3"/>
      <c r="X341" s="1"/>
      <c r="Y341" s="1"/>
      <c r="Z341" s="1"/>
    </row>
    <row r="342" ht="12.75" customHeight="1">
      <c r="A342" s="1"/>
      <c r="B342" s="3"/>
      <c r="C342" s="3"/>
      <c r="D342" s="3"/>
      <c r="E342" s="3"/>
      <c r="F342" s="3"/>
      <c r="G342" s="3"/>
      <c r="H342" s="3"/>
      <c r="I342" s="3"/>
      <c r="J342" s="3"/>
      <c r="K342" s="3"/>
      <c r="L342" s="3"/>
      <c r="M342" s="3"/>
      <c r="N342" s="3"/>
      <c r="O342" s="3"/>
      <c r="P342" s="3"/>
      <c r="Q342" s="3"/>
      <c r="R342" s="3"/>
      <c r="S342" s="3"/>
      <c r="T342" s="3"/>
      <c r="U342" s="3"/>
      <c r="V342" s="3"/>
      <c r="W342" s="3"/>
      <c r="X342" s="1"/>
      <c r="Y342" s="1"/>
      <c r="Z342" s="1"/>
    </row>
    <row r="343" ht="12.75" customHeight="1">
      <c r="A343" s="1"/>
      <c r="B343" s="3"/>
      <c r="C343" s="3"/>
      <c r="D343" s="3"/>
      <c r="E343" s="3"/>
      <c r="F343" s="3"/>
      <c r="G343" s="3"/>
      <c r="H343" s="3"/>
      <c r="I343" s="3"/>
      <c r="J343" s="3"/>
      <c r="K343" s="3"/>
      <c r="L343" s="3"/>
      <c r="M343" s="3"/>
      <c r="N343" s="3"/>
      <c r="O343" s="3"/>
      <c r="P343" s="3"/>
      <c r="Q343" s="3"/>
      <c r="R343" s="3"/>
      <c r="S343" s="3"/>
      <c r="T343" s="3"/>
      <c r="U343" s="3"/>
      <c r="V343" s="3"/>
      <c r="W343" s="3"/>
      <c r="X343" s="1"/>
      <c r="Y343" s="1"/>
      <c r="Z343" s="1"/>
    </row>
    <row r="344" ht="12.75" customHeight="1">
      <c r="A344" s="1"/>
      <c r="B344" s="3"/>
      <c r="C344" s="3"/>
      <c r="D344" s="3"/>
      <c r="E344" s="3"/>
      <c r="F344" s="3"/>
      <c r="G344" s="3"/>
      <c r="H344" s="3"/>
      <c r="I344" s="3"/>
      <c r="J344" s="3"/>
      <c r="K344" s="3"/>
      <c r="L344" s="3"/>
      <c r="M344" s="3"/>
      <c r="N344" s="3"/>
      <c r="O344" s="3"/>
      <c r="P344" s="3"/>
      <c r="Q344" s="3"/>
      <c r="R344" s="3"/>
      <c r="S344" s="3"/>
      <c r="T344" s="3"/>
      <c r="U344" s="3"/>
      <c r="V344" s="3"/>
      <c r="W344" s="3"/>
      <c r="X344" s="1"/>
      <c r="Y344" s="1"/>
      <c r="Z344" s="1"/>
    </row>
    <row r="345" ht="12.75" customHeight="1">
      <c r="A345" s="1"/>
      <c r="B345" s="3"/>
      <c r="C345" s="3"/>
      <c r="D345" s="3"/>
      <c r="E345" s="3"/>
      <c r="F345" s="3"/>
      <c r="G345" s="3"/>
      <c r="H345" s="3"/>
      <c r="I345" s="3"/>
      <c r="J345" s="3"/>
      <c r="K345" s="3"/>
      <c r="L345" s="3"/>
      <c r="M345" s="3"/>
      <c r="N345" s="3"/>
      <c r="O345" s="3"/>
      <c r="P345" s="3"/>
      <c r="Q345" s="3"/>
      <c r="R345" s="3"/>
      <c r="S345" s="3"/>
      <c r="T345" s="3"/>
      <c r="U345" s="3"/>
      <c r="V345" s="3"/>
      <c r="W345" s="3"/>
      <c r="X345" s="1"/>
      <c r="Y345" s="1"/>
      <c r="Z345" s="1"/>
    </row>
    <row r="346" ht="12.75" customHeight="1">
      <c r="A346" s="1"/>
      <c r="B346" s="3"/>
      <c r="C346" s="3"/>
      <c r="D346" s="3"/>
      <c r="E346" s="3"/>
      <c r="F346" s="3"/>
      <c r="G346" s="3"/>
      <c r="H346" s="3"/>
      <c r="I346" s="3"/>
      <c r="J346" s="3"/>
      <c r="K346" s="3"/>
      <c r="L346" s="3"/>
      <c r="M346" s="3"/>
      <c r="N346" s="3"/>
      <c r="O346" s="3"/>
      <c r="P346" s="3"/>
      <c r="Q346" s="3"/>
      <c r="R346" s="3"/>
      <c r="S346" s="3"/>
      <c r="T346" s="3"/>
      <c r="U346" s="3"/>
      <c r="V346" s="3"/>
      <c r="W346" s="3"/>
      <c r="X346" s="1"/>
      <c r="Y346" s="1"/>
      <c r="Z346" s="1"/>
    </row>
    <row r="347" ht="12.75" customHeight="1">
      <c r="A347" s="1"/>
      <c r="B347" s="3"/>
      <c r="C347" s="3"/>
      <c r="D347" s="3"/>
      <c r="E347" s="3"/>
      <c r="F347" s="3"/>
      <c r="G347" s="3"/>
      <c r="H347" s="3"/>
      <c r="I347" s="3"/>
      <c r="J347" s="3"/>
      <c r="K347" s="3"/>
      <c r="L347" s="3"/>
      <c r="M347" s="3"/>
      <c r="N347" s="3"/>
      <c r="O347" s="3"/>
      <c r="P347" s="3"/>
      <c r="Q347" s="3"/>
      <c r="R347" s="3"/>
      <c r="S347" s="3"/>
      <c r="T347" s="3"/>
      <c r="U347" s="3"/>
      <c r="V347" s="3"/>
      <c r="W347" s="3"/>
      <c r="X347" s="1"/>
      <c r="Y347" s="1"/>
      <c r="Z347" s="1"/>
    </row>
    <row r="348" ht="12.75" customHeight="1">
      <c r="A348" s="1"/>
      <c r="B348" s="3"/>
      <c r="C348" s="3"/>
      <c r="D348" s="3"/>
      <c r="E348" s="3"/>
      <c r="F348" s="3"/>
      <c r="G348" s="3"/>
      <c r="H348" s="3"/>
      <c r="I348" s="3"/>
      <c r="J348" s="3"/>
      <c r="K348" s="3"/>
      <c r="L348" s="3"/>
      <c r="M348" s="3"/>
      <c r="N348" s="3"/>
      <c r="O348" s="3"/>
      <c r="P348" s="3"/>
      <c r="Q348" s="3"/>
      <c r="R348" s="3"/>
      <c r="S348" s="3"/>
      <c r="T348" s="3"/>
      <c r="U348" s="3"/>
      <c r="V348" s="3"/>
      <c r="W348" s="3"/>
      <c r="X348" s="1"/>
      <c r="Y348" s="1"/>
      <c r="Z348" s="1"/>
    </row>
    <row r="349" ht="12.75" customHeight="1">
      <c r="A349" s="1"/>
      <c r="B349" s="3"/>
      <c r="C349" s="3"/>
      <c r="D349" s="3"/>
      <c r="E349" s="3"/>
      <c r="F349" s="3"/>
      <c r="G349" s="3"/>
      <c r="H349" s="3"/>
      <c r="I349" s="3"/>
      <c r="J349" s="3"/>
      <c r="K349" s="3"/>
      <c r="L349" s="3"/>
      <c r="M349" s="3"/>
      <c r="N349" s="3"/>
      <c r="O349" s="3"/>
      <c r="P349" s="3"/>
      <c r="Q349" s="3"/>
      <c r="R349" s="3"/>
      <c r="S349" s="3"/>
      <c r="T349" s="3"/>
      <c r="U349" s="3"/>
      <c r="V349" s="3"/>
      <c r="W349" s="3"/>
      <c r="X349" s="1"/>
      <c r="Y349" s="1"/>
      <c r="Z349" s="1"/>
    </row>
    <row r="350" ht="12.75" customHeight="1">
      <c r="A350" s="1"/>
      <c r="B350" s="3"/>
      <c r="C350" s="3"/>
      <c r="D350" s="3"/>
      <c r="E350" s="3"/>
      <c r="F350" s="3"/>
      <c r="G350" s="3"/>
      <c r="H350" s="3"/>
      <c r="I350" s="3"/>
      <c r="J350" s="3"/>
      <c r="K350" s="3"/>
      <c r="L350" s="3"/>
      <c r="M350" s="3"/>
      <c r="N350" s="3"/>
      <c r="O350" s="3"/>
      <c r="P350" s="3"/>
      <c r="Q350" s="3"/>
      <c r="R350" s="3"/>
      <c r="S350" s="3"/>
      <c r="T350" s="3"/>
      <c r="U350" s="3"/>
      <c r="V350" s="3"/>
      <c r="W350" s="3"/>
      <c r="X350" s="1"/>
      <c r="Y350" s="1"/>
      <c r="Z350" s="1"/>
    </row>
    <row r="351" ht="12.75" customHeight="1">
      <c r="A351" s="1"/>
      <c r="B351" s="3"/>
      <c r="C351" s="3"/>
      <c r="D351" s="3"/>
      <c r="E351" s="3"/>
      <c r="F351" s="3"/>
      <c r="G351" s="3"/>
      <c r="H351" s="3"/>
      <c r="I351" s="3"/>
      <c r="J351" s="3"/>
      <c r="K351" s="3"/>
      <c r="L351" s="3"/>
      <c r="M351" s="3"/>
      <c r="N351" s="3"/>
      <c r="O351" s="3"/>
      <c r="P351" s="3"/>
      <c r="Q351" s="3"/>
      <c r="R351" s="3"/>
      <c r="S351" s="3"/>
      <c r="T351" s="3"/>
      <c r="U351" s="3"/>
      <c r="V351" s="3"/>
      <c r="W351" s="3"/>
      <c r="X351" s="1"/>
      <c r="Y351" s="1"/>
      <c r="Z351" s="1"/>
    </row>
    <row r="352" ht="12.75" customHeight="1">
      <c r="A352" s="1"/>
      <c r="B352" s="3"/>
      <c r="C352" s="3"/>
      <c r="D352" s="3"/>
      <c r="E352" s="3"/>
      <c r="F352" s="3"/>
      <c r="G352" s="3"/>
      <c r="H352" s="3"/>
      <c r="I352" s="3"/>
      <c r="J352" s="3"/>
      <c r="K352" s="3"/>
      <c r="L352" s="3"/>
      <c r="M352" s="3"/>
      <c r="N352" s="3"/>
      <c r="O352" s="3"/>
      <c r="P352" s="3"/>
      <c r="Q352" s="3"/>
      <c r="R352" s="3"/>
      <c r="S352" s="3"/>
      <c r="T352" s="3"/>
      <c r="U352" s="3"/>
      <c r="V352" s="3"/>
      <c r="W352" s="3"/>
      <c r="X352" s="1"/>
      <c r="Y352" s="1"/>
      <c r="Z352" s="1"/>
    </row>
    <row r="353" ht="12.75" customHeight="1">
      <c r="A353" s="1"/>
      <c r="B353" s="3"/>
      <c r="C353" s="3"/>
      <c r="D353" s="3"/>
      <c r="E353" s="3"/>
      <c r="F353" s="3"/>
      <c r="G353" s="3"/>
      <c r="H353" s="3"/>
      <c r="I353" s="3"/>
      <c r="J353" s="3"/>
      <c r="K353" s="3"/>
      <c r="L353" s="3"/>
      <c r="M353" s="3"/>
      <c r="N353" s="3"/>
      <c r="O353" s="3"/>
      <c r="P353" s="3"/>
      <c r="Q353" s="3"/>
      <c r="R353" s="3"/>
      <c r="S353" s="3"/>
      <c r="T353" s="3"/>
      <c r="U353" s="3"/>
      <c r="V353" s="3"/>
      <c r="W353" s="3"/>
      <c r="X353" s="1"/>
      <c r="Y353" s="1"/>
      <c r="Z353" s="1"/>
    </row>
    <row r="354" ht="12.75" customHeight="1">
      <c r="A354" s="1"/>
      <c r="B354" s="3"/>
      <c r="C354" s="3"/>
      <c r="D354" s="3"/>
      <c r="E354" s="3"/>
      <c r="F354" s="3"/>
      <c r="G354" s="3"/>
      <c r="H354" s="3"/>
      <c r="I354" s="3"/>
      <c r="J354" s="3"/>
      <c r="K354" s="3"/>
      <c r="L354" s="3"/>
      <c r="M354" s="3"/>
      <c r="N354" s="3"/>
      <c r="O354" s="3"/>
      <c r="P354" s="3"/>
      <c r="Q354" s="3"/>
      <c r="R354" s="3"/>
      <c r="S354" s="3"/>
      <c r="T354" s="3"/>
      <c r="U354" s="3"/>
      <c r="V354" s="3"/>
      <c r="W354" s="3"/>
      <c r="X354" s="1"/>
      <c r="Y354" s="1"/>
      <c r="Z354" s="1"/>
    </row>
    <row r="355" ht="12.75" customHeight="1">
      <c r="A355" s="1"/>
      <c r="B355" s="3"/>
      <c r="C355" s="3"/>
      <c r="D355" s="3"/>
      <c r="E355" s="3"/>
      <c r="F355" s="3"/>
      <c r="G355" s="3"/>
      <c r="H355" s="3"/>
      <c r="I355" s="3"/>
      <c r="J355" s="3"/>
      <c r="K355" s="3"/>
      <c r="L355" s="3"/>
      <c r="M355" s="3"/>
      <c r="N355" s="3"/>
      <c r="O355" s="3"/>
      <c r="P355" s="3"/>
      <c r="Q355" s="3"/>
      <c r="R355" s="3"/>
      <c r="S355" s="3"/>
      <c r="T355" s="3"/>
      <c r="U355" s="3"/>
      <c r="V355" s="3"/>
      <c r="W355" s="3"/>
      <c r="X355" s="1"/>
      <c r="Y355" s="1"/>
      <c r="Z355" s="1"/>
    </row>
    <row r="356" ht="12.75" customHeight="1">
      <c r="A356" s="1"/>
      <c r="B356" s="3"/>
      <c r="C356" s="3"/>
      <c r="D356" s="3"/>
      <c r="E356" s="3"/>
      <c r="F356" s="3"/>
      <c r="G356" s="3"/>
      <c r="H356" s="3"/>
      <c r="I356" s="3"/>
      <c r="J356" s="3"/>
      <c r="K356" s="3"/>
      <c r="L356" s="3"/>
      <c r="M356" s="3"/>
      <c r="N356" s="3"/>
      <c r="O356" s="3"/>
      <c r="P356" s="3"/>
      <c r="Q356" s="3"/>
      <c r="R356" s="3"/>
      <c r="S356" s="3"/>
      <c r="T356" s="3"/>
      <c r="U356" s="3"/>
      <c r="V356" s="3"/>
      <c r="W356" s="3"/>
      <c r="X356" s="1"/>
      <c r="Y356" s="1"/>
      <c r="Z356" s="1"/>
    </row>
    <row r="357" ht="12.75" customHeight="1">
      <c r="A357" s="1"/>
      <c r="B357" s="3"/>
      <c r="C357" s="3"/>
      <c r="D357" s="3"/>
      <c r="E357" s="3"/>
      <c r="F357" s="3"/>
      <c r="G357" s="3"/>
      <c r="H357" s="3"/>
      <c r="I357" s="3"/>
      <c r="J357" s="3"/>
      <c r="K357" s="3"/>
      <c r="L357" s="3"/>
      <c r="M357" s="3"/>
      <c r="N357" s="3"/>
      <c r="O357" s="3"/>
      <c r="P357" s="3"/>
      <c r="Q357" s="3"/>
      <c r="R357" s="3"/>
      <c r="S357" s="3"/>
      <c r="T357" s="3"/>
      <c r="U357" s="3"/>
      <c r="V357" s="3"/>
      <c r="W357" s="3"/>
      <c r="X357" s="1"/>
      <c r="Y357" s="1"/>
      <c r="Z357" s="1"/>
    </row>
    <row r="358" ht="12.75" customHeight="1">
      <c r="A358" s="1"/>
      <c r="B358" s="3"/>
      <c r="C358" s="3"/>
      <c r="D358" s="3"/>
      <c r="E358" s="3"/>
      <c r="F358" s="3"/>
      <c r="G358" s="3"/>
      <c r="H358" s="3"/>
      <c r="I358" s="3"/>
      <c r="J358" s="3"/>
      <c r="K358" s="3"/>
      <c r="L358" s="3"/>
      <c r="M358" s="3"/>
      <c r="N358" s="3"/>
      <c r="O358" s="3"/>
      <c r="P358" s="3"/>
      <c r="Q358" s="3"/>
      <c r="R358" s="3"/>
      <c r="S358" s="3"/>
      <c r="T358" s="3"/>
      <c r="U358" s="3"/>
      <c r="V358" s="3"/>
      <c r="W358" s="3"/>
      <c r="X358" s="1"/>
      <c r="Y358" s="1"/>
      <c r="Z358" s="1"/>
    </row>
    <row r="359" ht="12.75" customHeight="1">
      <c r="A359" s="1"/>
      <c r="B359" s="3"/>
      <c r="C359" s="3"/>
      <c r="D359" s="3"/>
      <c r="E359" s="3"/>
      <c r="F359" s="3"/>
      <c r="G359" s="3"/>
      <c r="H359" s="3"/>
      <c r="I359" s="3"/>
      <c r="J359" s="3"/>
      <c r="K359" s="3"/>
      <c r="L359" s="3"/>
      <c r="M359" s="3"/>
      <c r="N359" s="3"/>
      <c r="O359" s="3"/>
      <c r="P359" s="3"/>
      <c r="Q359" s="3"/>
      <c r="R359" s="3"/>
      <c r="S359" s="3"/>
      <c r="T359" s="3"/>
      <c r="U359" s="3"/>
      <c r="V359" s="3"/>
      <c r="W359" s="3"/>
      <c r="X359" s="1"/>
      <c r="Y359" s="1"/>
      <c r="Z359" s="1"/>
    </row>
    <row r="360" ht="12.75" customHeight="1">
      <c r="A360" s="1"/>
      <c r="B360" s="3"/>
      <c r="C360" s="3"/>
      <c r="D360" s="3"/>
      <c r="E360" s="3"/>
      <c r="F360" s="3"/>
      <c r="G360" s="3"/>
      <c r="H360" s="3"/>
      <c r="I360" s="3"/>
      <c r="J360" s="3"/>
      <c r="K360" s="3"/>
      <c r="L360" s="3"/>
      <c r="M360" s="3"/>
      <c r="N360" s="3"/>
      <c r="O360" s="3"/>
      <c r="P360" s="3"/>
      <c r="Q360" s="3"/>
      <c r="R360" s="3"/>
      <c r="S360" s="3"/>
      <c r="T360" s="3"/>
      <c r="U360" s="3"/>
      <c r="V360" s="3"/>
      <c r="W360" s="3"/>
      <c r="X360" s="1"/>
      <c r="Y360" s="1"/>
      <c r="Z360" s="1"/>
    </row>
    <row r="361" ht="12.75" customHeight="1">
      <c r="A361" s="1"/>
      <c r="B361" s="3"/>
      <c r="C361" s="3"/>
      <c r="D361" s="3"/>
      <c r="E361" s="3"/>
      <c r="F361" s="3"/>
      <c r="G361" s="3"/>
      <c r="H361" s="3"/>
      <c r="I361" s="3"/>
      <c r="J361" s="3"/>
      <c r="K361" s="3"/>
      <c r="L361" s="3"/>
      <c r="M361" s="3"/>
      <c r="N361" s="3"/>
      <c r="O361" s="3"/>
      <c r="P361" s="3"/>
      <c r="Q361" s="3"/>
      <c r="R361" s="3"/>
      <c r="S361" s="3"/>
      <c r="T361" s="3"/>
      <c r="U361" s="3"/>
      <c r="V361" s="3"/>
      <c r="W361" s="3"/>
      <c r="X361" s="1"/>
      <c r="Y361" s="1"/>
      <c r="Z361" s="1"/>
    </row>
    <row r="362" ht="12.75" customHeight="1">
      <c r="A362" s="1"/>
      <c r="B362" s="3"/>
      <c r="C362" s="3"/>
      <c r="D362" s="3"/>
      <c r="E362" s="3"/>
      <c r="F362" s="3"/>
      <c r="G362" s="3"/>
      <c r="H362" s="3"/>
      <c r="I362" s="3"/>
      <c r="J362" s="3"/>
      <c r="K362" s="3"/>
      <c r="L362" s="3"/>
      <c r="M362" s="3"/>
      <c r="N362" s="3"/>
      <c r="O362" s="3"/>
      <c r="P362" s="3"/>
      <c r="Q362" s="3"/>
      <c r="R362" s="3"/>
      <c r="S362" s="3"/>
      <c r="T362" s="3"/>
      <c r="U362" s="3"/>
      <c r="V362" s="3"/>
      <c r="W362" s="3"/>
      <c r="X362" s="1"/>
      <c r="Y362" s="1"/>
      <c r="Z362" s="1"/>
    </row>
    <row r="363" ht="12.75" customHeight="1">
      <c r="A363" s="1"/>
      <c r="B363" s="3"/>
      <c r="C363" s="3"/>
      <c r="D363" s="3"/>
      <c r="E363" s="3"/>
      <c r="F363" s="3"/>
      <c r="G363" s="3"/>
      <c r="H363" s="3"/>
      <c r="I363" s="3"/>
      <c r="J363" s="3"/>
      <c r="K363" s="3"/>
      <c r="L363" s="3"/>
      <c r="M363" s="3"/>
      <c r="N363" s="3"/>
      <c r="O363" s="3"/>
      <c r="P363" s="3"/>
      <c r="Q363" s="3"/>
      <c r="R363" s="3"/>
      <c r="S363" s="3"/>
      <c r="T363" s="3"/>
      <c r="U363" s="3"/>
      <c r="V363" s="3"/>
      <c r="W363" s="3"/>
      <c r="X363" s="1"/>
      <c r="Y363" s="1"/>
      <c r="Z363" s="1"/>
    </row>
    <row r="364" ht="12.75" customHeight="1">
      <c r="A364" s="1"/>
      <c r="B364" s="3"/>
      <c r="C364" s="3"/>
      <c r="D364" s="3"/>
      <c r="E364" s="3"/>
      <c r="F364" s="3"/>
      <c r="G364" s="3"/>
      <c r="H364" s="3"/>
      <c r="I364" s="3"/>
      <c r="J364" s="3"/>
      <c r="K364" s="3"/>
      <c r="L364" s="3"/>
      <c r="M364" s="3"/>
      <c r="N364" s="3"/>
      <c r="O364" s="3"/>
      <c r="P364" s="3"/>
      <c r="Q364" s="3"/>
      <c r="R364" s="3"/>
      <c r="S364" s="3"/>
      <c r="T364" s="3"/>
      <c r="U364" s="3"/>
      <c r="V364" s="3"/>
      <c r="W364" s="3"/>
      <c r="X364" s="1"/>
      <c r="Y364" s="1"/>
      <c r="Z364" s="1"/>
    </row>
    <row r="365" ht="12.75" customHeight="1">
      <c r="A365" s="1"/>
      <c r="B365" s="3"/>
      <c r="C365" s="3"/>
      <c r="D365" s="3"/>
      <c r="E365" s="3"/>
      <c r="F365" s="3"/>
      <c r="G365" s="3"/>
      <c r="H365" s="3"/>
      <c r="I365" s="3"/>
      <c r="J365" s="3"/>
      <c r="K365" s="3"/>
      <c r="L365" s="3"/>
      <c r="M365" s="3"/>
      <c r="N365" s="3"/>
      <c r="O365" s="3"/>
      <c r="P365" s="3"/>
      <c r="Q365" s="3"/>
      <c r="R365" s="3"/>
      <c r="S365" s="3"/>
      <c r="T365" s="3"/>
      <c r="U365" s="3"/>
      <c r="V365" s="3"/>
      <c r="W365" s="3"/>
      <c r="X365" s="1"/>
      <c r="Y365" s="1"/>
      <c r="Z365" s="1"/>
    </row>
    <row r="366" ht="12.75" customHeight="1">
      <c r="A366" s="1"/>
      <c r="B366" s="3"/>
      <c r="C366" s="3"/>
      <c r="D366" s="3"/>
      <c r="E366" s="3"/>
      <c r="F366" s="3"/>
      <c r="G366" s="3"/>
      <c r="H366" s="3"/>
      <c r="I366" s="3"/>
      <c r="J366" s="3"/>
      <c r="K366" s="3"/>
      <c r="L366" s="3"/>
      <c r="M366" s="3"/>
      <c r="N366" s="3"/>
      <c r="O366" s="3"/>
      <c r="P366" s="3"/>
      <c r="Q366" s="3"/>
      <c r="R366" s="3"/>
      <c r="S366" s="3"/>
      <c r="T366" s="3"/>
      <c r="U366" s="3"/>
      <c r="V366" s="3"/>
      <c r="W366" s="3"/>
      <c r="X366" s="1"/>
      <c r="Y366" s="1"/>
      <c r="Z366" s="1"/>
    </row>
    <row r="367" ht="12.75" customHeight="1">
      <c r="A367" s="1"/>
      <c r="B367" s="3"/>
      <c r="C367" s="3"/>
      <c r="D367" s="3"/>
      <c r="E367" s="3"/>
      <c r="F367" s="3"/>
      <c r="G367" s="3"/>
      <c r="H367" s="3"/>
      <c r="I367" s="3"/>
      <c r="J367" s="3"/>
      <c r="K367" s="3"/>
      <c r="L367" s="3"/>
      <c r="M367" s="3"/>
      <c r="N367" s="3"/>
      <c r="O367" s="3"/>
      <c r="P367" s="3"/>
      <c r="Q367" s="3"/>
      <c r="R367" s="3"/>
      <c r="S367" s="3"/>
      <c r="T367" s="3"/>
      <c r="U367" s="3"/>
      <c r="V367" s="3"/>
      <c r="W367" s="3"/>
      <c r="X367" s="1"/>
      <c r="Y367" s="1"/>
      <c r="Z367" s="1"/>
    </row>
    <row r="368" ht="12.75" customHeight="1">
      <c r="A368" s="1"/>
      <c r="B368" s="3"/>
      <c r="C368" s="3"/>
      <c r="D368" s="3"/>
      <c r="E368" s="3"/>
      <c r="F368" s="3"/>
      <c r="G368" s="3"/>
      <c r="H368" s="3"/>
      <c r="I368" s="3"/>
      <c r="J368" s="3"/>
      <c r="K368" s="3"/>
      <c r="L368" s="3"/>
      <c r="M368" s="3"/>
      <c r="N368" s="3"/>
      <c r="O368" s="3"/>
      <c r="P368" s="3"/>
      <c r="Q368" s="3"/>
      <c r="R368" s="3"/>
      <c r="S368" s="3"/>
      <c r="T368" s="3"/>
      <c r="U368" s="3"/>
      <c r="V368" s="3"/>
      <c r="W368" s="3"/>
      <c r="X368" s="1"/>
      <c r="Y368" s="1"/>
      <c r="Z368" s="1"/>
    </row>
    <row r="369" ht="12.75" customHeight="1">
      <c r="A369" s="1"/>
      <c r="B369" s="3"/>
      <c r="C369" s="3"/>
      <c r="D369" s="3"/>
      <c r="E369" s="3"/>
      <c r="F369" s="3"/>
      <c r="G369" s="3"/>
      <c r="H369" s="3"/>
      <c r="I369" s="3"/>
      <c r="J369" s="3"/>
      <c r="K369" s="3"/>
      <c r="L369" s="3"/>
      <c r="M369" s="3"/>
      <c r="N369" s="3"/>
      <c r="O369" s="3"/>
      <c r="P369" s="3"/>
      <c r="Q369" s="3"/>
      <c r="R369" s="3"/>
      <c r="S369" s="3"/>
      <c r="T369" s="3"/>
      <c r="U369" s="3"/>
      <c r="V369" s="3"/>
      <c r="W369" s="3"/>
      <c r="X369" s="1"/>
      <c r="Y369" s="1"/>
      <c r="Z369" s="1"/>
    </row>
    <row r="370" ht="12.75" customHeight="1">
      <c r="A370" s="1"/>
      <c r="B370" s="3"/>
      <c r="C370" s="3"/>
      <c r="D370" s="3"/>
      <c r="E370" s="3"/>
      <c r="F370" s="3"/>
      <c r="G370" s="3"/>
      <c r="H370" s="3"/>
      <c r="I370" s="3"/>
      <c r="J370" s="3"/>
      <c r="K370" s="3"/>
      <c r="L370" s="3"/>
      <c r="M370" s="3"/>
      <c r="N370" s="3"/>
      <c r="O370" s="3"/>
      <c r="P370" s="3"/>
      <c r="Q370" s="3"/>
      <c r="R370" s="3"/>
      <c r="S370" s="3"/>
      <c r="T370" s="3"/>
      <c r="U370" s="3"/>
      <c r="V370" s="3"/>
      <c r="W370" s="3"/>
      <c r="X370" s="1"/>
      <c r="Y370" s="1"/>
      <c r="Z370" s="1"/>
    </row>
    <row r="371" ht="12.75" customHeight="1">
      <c r="A371" s="1"/>
      <c r="B371" s="3"/>
      <c r="C371" s="3"/>
      <c r="D371" s="3"/>
      <c r="E371" s="3"/>
      <c r="F371" s="3"/>
      <c r="G371" s="3"/>
      <c r="H371" s="3"/>
      <c r="I371" s="3"/>
      <c r="J371" s="3"/>
      <c r="K371" s="3"/>
      <c r="L371" s="3"/>
      <c r="M371" s="3"/>
      <c r="N371" s="3"/>
      <c r="O371" s="3"/>
      <c r="P371" s="3"/>
      <c r="Q371" s="3"/>
      <c r="R371" s="3"/>
      <c r="S371" s="3"/>
      <c r="T371" s="3"/>
      <c r="U371" s="3"/>
      <c r="V371" s="3"/>
      <c r="W371" s="3"/>
      <c r="X371" s="1"/>
      <c r="Y371" s="1"/>
      <c r="Z371" s="1"/>
    </row>
    <row r="372" ht="12.75" customHeight="1">
      <c r="A372" s="1"/>
      <c r="B372" s="3"/>
      <c r="C372" s="3"/>
      <c r="D372" s="3"/>
      <c r="E372" s="3"/>
      <c r="F372" s="3"/>
      <c r="G372" s="3"/>
      <c r="H372" s="3"/>
      <c r="I372" s="3"/>
      <c r="J372" s="3"/>
      <c r="K372" s="3"/>
      <c r="L372" s="3"/>
      <c r="M372" s="3"/>
      <c r="N372" s="3"/>
      <c r="O372" s="3"/>
      <c r="P372" s="3"/>
      <c r="Q372" s="3"/>
      <c r="R372" s="3"/>
      <c r="S372" s="3"/>
      <c r="T372" s="3"/>
      <c r="U372" s="3"/>
      <c r="V372" s="3"/>
      <c r="W372" s="3"/>
      <c r="X372" s="1"/>
      <c r="Y372" s="1"/>
      <c r="Z372" s="1"/>
    </row>
    <row r="373" ht="12.75" customHeight="1">
      <c r="A373" s="1"/>
      <c r="B373" s="3"/>
      <c r="C373" s="3"/>
      <c r="D373" s="3"/>
      <c r="E373" s="3"/>
      <c r="F373" s="3"/>
      <c r="G373" s="3"/>
      <c r="H373" s="3"/>
      <c r="I373" s="3"/>
      <c r="J373" s="3"/>
      <c r="K373" s="3"/>
      <c r="L373" s="3"/>
      <c r="M373" s="3"/>
      <c r="N373" s="3"/>
      <c r="O373" s="3"/>
      <c r="P373" s="3"/>
      <c r="Q373" s="3"/>
      <c r="R373" s="3"/>
      <c r="S373" s="3"/>
      <c r="T373" s="3"/>
      <c r="U373" s="3"/>
      <c r="V373" s="3"/>
      <c r="W373" s="3"/>
      <c r="X373" s="1"/>
      <c r="Y373" s="1"/>
      <c r="Z373" s="1"/>
    </row>
    <row r="374" ht="12.75" customHeight="1">
      <c r="A374" s="1"/>
      <c r="B374" s="3"/>
      <c r="C374" s="3"/>
      <c r="D374" s="3"/>
      <c r="E374" s="3"/>
      <c r="F374" s="3"/>
      <c r="G374" s="3"/>
      <c r="H374" s="3"/>
      <c r="I374" s="3"/>
      <c r="J374" s="3"/>
      <c r="K374" s="3"/>
      <c r="L374" s="3"/>
      <c r="M374" s="3"/>
      <c r="N374" s="3"/>
      <c r="O374" s="3"/>
      <c r="P374" s="3"/>
      <c r="Q374" s="3"/>
      <c r="R374" s="3"/>
      <c r="S374" s="3"/>
      <c r="T374" s="3"/>
      <c r="U374" s="3"/>
      <c r="V374" s="3"/>
      <c r="W374" s="3"/>
      <c r="X374" s="1"/>
      <c r="Y374" s="1"/>
      <c r="Z374" s="1"/>
    </row>
    <row r="375" ht="12.75" customHeight="1">
      <c r="A375" s="1"/>
      <c r="B375" s="3"/>
      <c r="C375" s="3"/>
      <c r="D375" s="3"/>
      <c r="E375" s="3"/>
      <c r="F375" s="3"/>
      <c r="G375" s="3"/>
      <c r="H375" s="3"/>
      <c r="I375" s="3"/>
      <c r="J375" s="3"/>
      <c r="K375" s="3"/>
      <c r="L375" s="3"/>
      <c r="M375" s="3"/>
      <c r="N375" s="3"/>
      <c r="O375" s="3"/>
      <c r="P375" s="3"/>
      <c r="Q375" s="3"/>
      <c r="R375" s="3"/>
      <c r="S375" s="3"/>
      <c r="T375" s="3"/>
      <c r="U375" s="3"/>
      <c r="V375" s="3"/>
      <c r="W375" s="3"/>
      <c r="X375" s="1"/>
      <c r="Y375" s="1"/>
      <c r="Z375" s="1"/>
    </row>
    <row r="376" ht="12.75" customHeight="1">
      <c r="A376" s="1"/>
      <c r="B376" s="3"/>
      <c r="C376" s="3"/>
      <c r="D376" s="3"/>
      <c r="E376" s="3"/>
      <c r="F376" s="3"/>
      <c r="G376" s="3"/>
      <c r="H376" s="3"/>
      <c r="I376" s="3"/>
      <c r="J376" s="3"/>
      <c r="K376" s="3"/>
      <c r="L376" s="3"/>
      <c r="M376" s="3"/>
      <c r="N376" s="3"/>
      <c r="O376" s="3"/>
      <c r="P376" s="3"/>
      <c r="Q376" s="3"/>
      <c r="R376" s="3"/>
      <c r="S376" s="3"/>
      <c r="T376" s="3"/>
      <c r="U376" s="3"/>
      <c r="V376" s="3"/>
      <c r="W376" s="3"/>
      <c r="X376" s="1"/>
      <c r="Y376" s="1"/>
      <c r="Z376" s="1"/>
    </row>
    <row r="377" ht="12.75" customHeight="1">
      <c r="A377" s="1"/>
      <c r="B377" s="3"/>
      <c r="C377" s="3"/>
      <c r="D377" s="3"/>
      <c r="E377" s="3"/>
      <c r="F377" s="3"/>
      <c r="G377" s="3"/>
      <c r="H377" s="3"/>
      <c r="I377" s="3"/>
      <c r="J377" s="3"/>
      <c r="K377" s="3"/>
      <c r="L377" s="3"/>
      <c r="M377" s="3"/>
      <c r="N377" s="3"/>
      <c r="O377" s="3"/>
      <c r="P377" s="3"/>
      <c r="Q377" s="3"/>
      <c r="R377" s="3"/>
      <c r="S377" s="3"/>
      <c r="T377" s="3"/>
      <c r="U377" s="3"/>
      <c r="V377" s="3"/>
      <c r="W377" s="3"/>
      <c r="X377" s="1"/>
      <c r="Y377" s="1"/>
      <c r="Z377" s="1"/>
    </row>
    <row r="378" ht="12.75" customHeight="1">
      <c r="A378" s="1"/>
      <c r="B378" s="3"/>
      <c r="C378" s="3"/>
      <c r="D378" s="3"/>
      <c r="E378" s="3"/>
      <c r="F378" s="3"/>
      <c r="G378" s="3"/>
      <c r="H378" s="3"/>
      <c r="I378" s="3"/>
      <c r="J378" s="3"/>
      <c r="K378" s="3"/>
      <c r="L378" s="3"/>
      <c r="M378" s="3"/>
      <c r="N378" s="3"/>
      <c r="O378" s="3"/>
      <c r="P378" s="3"/>
      <c r="Q378" s="3"/>
      <c r="R378" s="3"/>
      <c r="S378" s="3"/>
      <c r="T378" s="3"/>
      <c r="U378" s="3"/>
      <c r="V378" s="3"/>
      <c r="W378" s="3"/>
      <c r="X378" s="1"/>
      <c r="Y378" s="1"/>
      <c r="Z378" s="1"/>
    </row>
    <row r="379" ht="12.75" customHeight="1">
      <c r="A379" s="1"/>
      <c r="B379" s="3"/>
      <c r="C379" s="3"/>
      <c r="D379" s="3"/>
      <c r="E379" s="3"/>
      <c r="F379" s="3"/>
      <c r="G379" s="3"/>
      <c r="H379" s="3"/>
      <c r="I379" s="3"/>
      <c r="J379" s="3"/>
      <c r="K379" s="3"/>
      <c r="L379" s="3"/>
      <c r="M379" s="3"/>
      <c r="N379" s="3"/>
      <c r="O379" s="3"/>
      <c r="P379" s="3"/>
      <c r="Q379" s="3"/>
      <c r="R379" s="3"/>
      <c r="S379" s="3"/>
      <c r="T379" s="3"/>
      <c r="U379" s="3"/>
      <c r="V379" s="3"/>
      <c r="W379" s="3"/>
      <c r="X379" s="1"/>
      <c r="Y379" s="1"/>
      <c r="Z379" s="1"/>
    </row>
    <row r="380" ht="12.75" customHeight="1">
      <c r="A380" s="1"/>
      <c r="B380" s="3"/>
      <c r="C380" s="3"/>
      <c r="D380" s="3"/>
      <c r="E380" s="3"/>
      <c r="F380" s="3"/>
      <c r="G380" s="3"/>
      <c r="H380" s="3"/>
      <c r="I380" s="3"/>
      <c r="J380" s="3"/>
      <c r="K380" s="3"/>
      <c r="L380" s="3"/>
      <c r="M380" s="3"/>
      <c r="N380" s="3"/>
      <c r="O380" s="3"/>
      <c r="P380" s="3"/>
      <c r="Q380" s="3"/>
      <c r="R380" s="3"/>
      <c r="S380" s="3"/>
      <c r="T380" s="3"/>
      <c r="U380" s="3"/>
      <c r="V380" s="3"/>
      <c r="W380" s="3"/>
      <c r="X380" s="1"/>
      <c r="Y380" s="1"/>
      <c r="Z380" s="1"/>
    </row>
    <row r="381" ht="12.75" customHeight="1">
      <c r="A381" s="1"/>
      <c r="B381" s="3"/>
      <c r="C381" s="3"/>
      <c r="D381" s="3"/>
      <c r="E381" s="3"/>
      <c r="F381" s="3"/>
      <c r="G381" s="3"/>
      <c r="H381" s="3"/>
      <c r="I381" s="3"/>
      <c r="J381" s="3"/>
      <c r="K381" s="3"/>
      <c r="L381" s="3"/>
      <c r="M381" s="3"/>
      <c r="N381" s="3"/>
      <c r="O381" s="3"/>
      <c r="P381" s="3"/>
      <c r="Q381" s="3"/>
      <c r="R381" s="3"/>
      <c r="S381" s="3"/>
      <c r="T381" s="3"/>
      <c r="U381" s="3"/>
      <c r="V381" s="3"/>
      <c r="W381" s="3"/>
      <c r="X381" s="1"/>
      <c r="Y381" s="1"/>
      <c r="Z381" s="1"/>
    </row>
    <row r="382" ht="12.75" customHeight="1">
      <c r="A382" s="1"/>
      <c r="B382" s="3"/>
      <c r="C382" s="3"/>
      <c r="D382" s="3"/>
      <c r="E382" s="3"/>
      <c r="F382" s="3"/>
      <c r="G382" s="3"/>
      <c r="H382" s="3"/>
      <c r="I382" s="3"/>
      <c r="J382" s="3"/>
      <c r="K382" s="3"/>
      <c r="L382" s="3"/>
      <c r="M382" s="3"/>
      <c r="N382" s="3"/>
      <c r="O382" s="3"/>
      <c r="P382" s="3"/>
      <c r="Q382" s="3"/>
      <c r="R382" s="3"/>
      <c r="S382" s="3"/>
      <c r="T382" s="3"/>
      <c r="U382" s="3"/>
      <c r="V382" s="3"/>
      <c r="W382" s="3"/>
      <c r="X382" s="1"/>
      <c r="Y382" s="1"/>
      <c r="Z382" s="1"/>
    </row>
    <row r="383" ht="12.75" customHeight="1">
      <c r="A383" s="1"/>
      <c r="B383" s="3"/>
      <c r="C383" s="3"/>
      <c r="D383" s="3"/>
      <c r="E383" s="3"/>
      <c r="F383" s="3"/>
      <c r="G383" s="3"/>
      <c r="H383" s="3"/>
      <c r="I383" s="3"/>
      <c r="J383" s="3"/>
      <c r="K383" s="3"/>
      <c r="L383" s="3"/>
      <c r="M383" s="3"/>
      <c r="N383" s="3"/>
      <c r="O383" s="3"/>
      <c r="P383" s="3"/>
      <c r="Q383" s="3"/>
      <c r="R383" s="3"/>
      <c r="S383" s="3"/>
      <c r="T383" s="3"/>
      <c r="U383" s="3"/>
      <c r="V383" s="3"/>
      <c r="W383" s="3"/>
      <c r="X383" s="1"/>
      <c r="Y383" s="1"/>
      <c r="Z383" s="1"/>
    </row>
    <row r="384" ht="12.75" customHeight="1">
      <c r="A384" s="1"/>
      <c r="B384" s="3"/>
      <c r="C384" s="3"/>
      <c r="D384" s="3"/>
      <c r="E384" s="3"/>
      <c r="F384" s="3"/>
      <c r="G384" s="3"/>
      <c r="H384" s="3"/>
      <c r="I384" s="3"/>
      <c r="J384" s="3"/>
      <c r="K384" s="3"/>
      <c r="L384" s="3"/>
      <c r="M384" s="3"/>
      <c r="N384" s="3"/>
      <c r="O384" s="3"/>
      <c r="P384" s="3"/>
      <c r="Q384" s="3"/>
      <c r="R384" s="3"/>
      <c r="S384" s="3"/>
      <c r="T384" s="3"/>
      <c r="U384" s="3"/>
      <c r="V384" s="3"/>
      <c r="W384" s="3"/>
      <c r="X384" s="1"/>
      <c r="Y384" s="1"/>
      <c r="Z384" s="1"/>
    </row>
    <row r="385" ht="12.75" customHeight="1">
      <c r="A385" s="1"/>
      <c r="B385" s="3"/>
      <c r="C385" s="3"/>
      <c r="D385" s="3"/>
      <c r="E385" s="3"/>
      <c r="F385" s="3"/>
      <c r="G385" s="3"/>
      <c r="H385" s="3"/>
      <c r="I385" s="3"/>
      <c r="J385" s="3"/>
      <c r="K385" s="3"/>
      <c r="L385" s="3"/>
      <c r="M385" s="3"/>
      <c r="N385" s="3"/>
      <c r="O385" s="3"/>
      <c r="P385" s="3"/>
      <c r="Q385" s="3"/>
      <c r="R385" s="3"/>
      <c r="S385" s="3"/>
      <c r="T385" s="3"/>
      <c r="U385" s="3"/>
      <c r="V385" s="3"/>
      <c r="W385" s="3"/>
      <c r="X385" s="1"/>
      <c r="Y385" s="1"/>
      <c r="Z385" s="1"/>
    </row>
    <row r="386" ht="12.75" customHeight="1">
      <c r="A386" s="1"/>
      <c r="B386" s="3"/>
      <c r="C386" s="3"/>
      <c r="D386" s="3"/>
      <c r="E386" s="3"/>
      <c r="F386" s="3"/>
      <c r="G386" s="3"/>
      <c r="H386" s="3"/>
      <c r="I386" s="3"/>
      <c r="J386" s="3"/>
      <c r="K386" s="3"/>
      <c r="L386" s="3"/>
      <c r="M386" s="3"/>
      <c r="N386" s="3"/>
      <c r="O386" s="3"/>
      <c r="P386" s="3"/>
      <c r="Q386" s="3"/>
      <c r="R386" s="3"/>
      <c r="S386" s="3"/>
      <c r="T386" s="3"/>
      <c r="U386" s="3"/>
      <c r="V386" s="3"/>
      <c r="W386" s="3"/>
      <c r="X386" s="1"/>
      <c r="Y386" s="1"/>
      <c r="Z386" s="1"/>
    </row>
    <row r="387" ht="12.75" customHeight="1">
      <c r="A387" s="1"/>
      <c r="B387" s="3"/>
      <c r="C387" s="3"/>
      <c r="D387" s="3"/>
      <c r="E387" s="3"/>
      <c r="F387" s="3"/>
      <c r="G387" s="3"/>
      <c r="H387" s="3"/>
      <c r="I387" s="3"/>
      <c r="J387" s="3"/>
      <c r="K387" s="3"/>
      <c r="L387" s="3"/>
      <c r="M387" s="3"/>
      <c r="N387" s="3"/>
      <c r="O387" s="3"/>
      <c r="P387" s="3"/>
      <c r="Q387" s="3"/>
      <c r="R387" s="3"/>
      <c r="S387" s="3"/>
      <c r="T387" s="3"/>
      <c r="U387" s="3"/>
      <c r="V387" s="3"/>
      <c r="W387" s="3"/>
      <c r="X387" s="1"/>
      <c r="Y387" s="1"/>
      <c r="Z387" s="1"/>
    </row>
    <row r="388" ht="12.75" customHeight="1">
      <c r="A388" s="1"/>
      <c r="B388" s="3"/>
      <c r="C388" s="3"/>
      <c r="D388" s="3"/>
      <c r="E388" s="3"/>
      <c r="F388" s="3"/>
      <c r="G388" s="3"/>
      <c r="H388" s="3"/>
      <c r="I388" s="3"/>
      <c r="J388" s="3"/>
      <c r="K388" s="3"/>
      <c r="L388" s="3"/>
      <c r="M388" s="3"/>
      <c r="N388" s="3"/>
      <c r="O388" s="3"/>
      <c r="P388" s="3"/>
      <c r="Q388" s="3"/>
      <c r="R388" s="3"/>
      <c r="S388" s="3"/>
      <c r="T388" s="3"/>
      <c r="U388" s="3"/>
      <c r="V388" s="3"/>
      <c r="W388" s="3"/>
      <c r="X388" s="1"/>
      <c r="Y388" s="1"/>
      <c r="Z388" s="1"/>
    </row>
    <row r="389" ht="12.75" customHeight="1">
      <c r="A389" s="1"/>
      <c r="B389" s="3"/>
      <c r="C389" s="3"/>
      <c r="D389" s="3"/>
      <c r="E389" s="3"/>
      <c r="F389" s="3"/>
      <c r="G389" s="3"/>
      <c r="H389" s="3"/>
      <c r="I389" s="3"/>
      <c r="J389" s="3"/>
      <c r="K389" s="3"/>
      <c r="L389" s="3"/>
      <c r="M389" s="3"/>
      <c r="N389" s="3"/>
      <c r="O389" s="3"/>
      <c r="P389" s="3"/>
      <c r="Q389" s="3"/>
      <c r="R389" s="3"/>
      <c r="S389" s="3"/>
      <c r="T389" s="3"/>
      <c r="U389" s="3"/>
      <c r="V389" s="3"/>
      <c r="W389" s="3"/>
      <c r="X389" s="1"/>
      <c r="Y389" s="1"/>
      <c r="Z389" s="1"/>
    </row>
    <row r="390" ht="12.75" customHeight="1">
      <c r="A390" s="1"/>
      <c r="B390" s="3"/>
      <c r="C390" s="3"/>
      <c r="D390" s="3"/>
      <c r="E390" s="3"/>
      <c r="F390" s="3"/>
      <c r="G390" s="3"/>
      <c r="H390" s="3"/>
      <c r="I390" s="3"/>
      <c r="J390" s="3"/>
      <c r="K390" s="3"/>
      <c r="L390" s="3"/>
      <c r="M390" s="3"/>
      <c r="N390" s="3"/>
      <c r="O390" s="3"/>
      <c r="P390" s="3"/>
      <c r="Q390" s="3"/>
      <c r="R390" s="3"/>
      <c r="S390" s="3"/>
      <c r="T390" s="3"/>
      <c r="U390" s="3"/>
      <c r="V390" s="3"/>
      <c r="W390" s="3"/>
      <c r="X390" s="1"/>
      <c r="Y390" s="1"/>
      <c r="Z390" s="1"/>
    </row>
    <row r="391" ht="12.75" customHeight="1">
      <c r="A391" s="1"/>
      <c r="B391" s="3"/>
      <c r="C391" s="3"/>
      <c r="D391" s="3"/>
      <c r="E391" s="3"/>
      <c r="F391" s="3"/>
      <c r="G391" s="3"/>
      <c r="H391" s="3"/>
      <c r="I391" s="3"/>
      <c r="J391" s="3"/>
      <c r="K391" s="3"/>
      <c r="L391" s="3"/>
      <c r="M391" s="3"/>
      <c r="N391" s="3"/>
      <c r="O391" s="3"/>
      <c r="P391" s="3"/>
      <c r="Q391" s="3"/>
      <c r="R391" s="3"/>
      <c r="S391" s="3"/>
      <c r="T391" s="3"/>
      <c r="U391" s="3"/>
      <c r="V391" s="3"/>
      <c r="W391" s="3"/>
      <c r="X391" s="1"/>
      <c r="Y391" s="1"/>
      <c r="Z391" s="1"/>
    </row>
    <row r="392" ht="12.75" customHeight="1">
      <c r="A392" s="1"/>
      <c r="B392" s="3"/>
      <c r="C392" s="3"/>
      <c r="D392" s="3"/>
      <c r="E392" s="3"/>
      <c r="F392" s="3"/>
      <c r="G392" s="3"/>
      <c r="H392" s="3"/>
      <c r="I392" s="3"/>
      <c r="J392" s="3"/>
      <c r="K392" s="3"/>
      <c r="L392" s="3"/>
      <c r="M392" s="3"/>
      <c r="N392" s="3"/>
      <c r="O392" s="3"/>
      <c r="P392" s="3"/>
      <c r="Q392" s="3"/>
      <c r="R392" s="3"/>
      <c r="S392" s="3"/>
      <c r="T392" s="3"/>
      <c r="U392" s="3"/>
      <c r="V392" s="3"/>
      <c r="W392" s="3"/>
      <c r="X392" s="1"/>
      <c r="Y392" s="1"/>
      <c r="Z392" s="1"/>
    </row>
    <row r="393" ht="12.75" customHeight="1">
      <c r="A393" s="1"/>
      <c r="B393" s="3"/>
      <c r="C393" s="3"/>
      <c r="D393" s="3"/>
      <c r="E393" s="3"/>
      <c r="F393" s="3"/>
      <c r="G393" s="3"/>
      <c r="H393" s="3"/>
      <c r="I393" s="3"/>
      <c r="J393" s="3"/>
      <c r="K393" s="3"/>
      <c r="L393" s="3"/>
      <c r="M393" s="3"/>
      <c r="N393" s="3"/>
      <c r="O393" s="3"/>
      <c r="P393" s="3"/>
      <c r="Q393" s="3"/>
      <c r="R393" s="3"/>
      <c r="S393" s="3"/>
      <c r="T393" s="3"/>
      <c r="U393" s="3"/>
      <c r="V393" s="3"/>
      <c r="W393" s="3"/>
      <c r="X393" s="1"/>
      <c r="Y393" s="1"/>
      <c r="Z393" s="1"/>
    </row>
    <row r="394" ht="12.75" customHeight="1">
      <c r="A394" s="1"/>
      <c r="B394" s="3"/>
      <c r="C394" s="3"/>
      <c r="D394" s="3"/>
      <c r="E394" s="3"/>
      <c r="F394" s="3"/>
      <c r="G394" s="3"/>
      <c r="H394" s="3"/>
      <c r="I394" s="3"/>
      <c r="J394" s="3"/>
      <c r="K394" s="3"/>
      <c r="L394" s="3"/>
      <c r="M394" s="3"/>
      <c r="N394" s="3"/>
      <c r="O394" s="3"/>
      <c r="P394" s="3"/>
      <c r="Q394" s="3"/>
      <c r="R394" s="3"/>
      <c r="S394" s="3"/>
      <c r="T394" s="3"/>
      <c r="U394" s="3"/>
      <c r="V394" s="3"/>
      <c r="W394" s="3"/>
      <c r="X394" s="1"/>
      <c r="Y394" s="1"/>
      <c r="Z394" s="1"/>
    </row>
    <row r="395" ht="12.75" customHeight="1">
      <c r="A395" s="1"/>
      <c r="B395" s="3"/>
      <c r="C395" s="3"/>
      <c r="D395" s="3"/>
      <c r="E395" s="3"/>
      <c r="F395" s="3"/>
      <c r="G395" s="3"/>
      <c r="H395" s="3"/>
      <c r="I395" s="3"/>
      <c r="J395" s="3"/>
      <c r="K395" s="3"/>
      <c r="L395" s="3"/>
      <c r="M395" s="3"/>
      <c r="N395" s="3"/>
      <c r="O395" s="3"/>
      <c r="P395" s="3"/>
      <c r="Q395" s="3"/>
      <c r="R395" s="3"/>
      <c r="S395" s="3"/>
      <c r="T395" s="3"/>
      <c r="U395" s="3"/>
      <c r="V395" s="3"/>
      <c r="W395" s="3"/>
      <c r="X395" s="1"/>
      <c r="Y395" s="1"/>
      <c r="Z395" s="1"/>
    </row>
    <row r="396" ht="12.75" customHeight="1">
      <c r="A396" s="1"/>
      <c r="B396" s="3"/>
      <c r="C396" s="3"/>
      <c r="D396" s="3"/>
      <c r="E396" s="3"/>
      <c r="F396" s="3"/>
      <c r="G396" s="3"/>
      <c r="H396" s="3"/>
      <c r="I396" s="3"/>
      <c r="J396" s="3"/>
      <c r="K396" s="3"/>
      <c r="L396" s="3"/>
      <c r="M396" s="3"/>
      <c r="N396" s="3"/>
      <c r="O396" s="3"/>
      <c r="P396" s="3"/>
      <c r="Q396" s="3"/>
      <c r="R396" s="3"/>
      <c r="S396" s="3"/>
      <c r="T396" s="3"/>
      <c r="U396" s="3"/>
      <c r="V396" s="3"/>
      <c r="W396" s="3"/>
      <c r="X396" s="1"/>
      <c r="Y396" s="1"/>
      <c r="Z396" s="1"/>
    </row>
    <row r="397" ht="12.75" customHeight="1">
      <c r="A397" s="1"/>
      <c r="B397" s="3"/>
      <c r="C397" s="3"/>
      <c r="D397" s="3"/>
      <c r="E397" s="3"/>
      <c r="F397" s="3"/>
      <c r="G397" s="3"/>
      <c r="H397" s="3"/>
      <c r="I397" s="3"/>
      <c r="J397" s="3"/>
      <c r="K397" s="3"/>
      <c r="L397" s="3"/>
      <c r="M397" s="3"/>
      <c r="N397" s="3"/>
      <c r="O397" s="3"/>
      <c r="P397" s="3"/>
      <c r="Q397" s="3"/>
      <c r="R397" s="3"/>
      <c r="S397" s="3"/>
      <c r="T397" s="3"/>
      <c r="U397" s="3"/>
      <c r="V397" s="3"/>
      <c r="W397" s="3"/>
      <c r="X397" s="1"/>
      <c r="Y397" s="1"/>
      <c r="Z397" s="1"/>
    </row>
    <row r="398" ht="12.75" customHeight="1">
      <c r="A398" s="1"/>
      <c r="B398" s="3"/>
      <c r="C398" s="3"/>
      <c r="D398" s="3"/>
      <c r="E398" s="3"/>
      <c r="F398" s="3"/>
      <c r="G398" s="3"/>
      <c r="H398" s="3"/>
      <c r="I398" s="3"/>
      <c r="J398" s="3"/>
      <c r="K398" s="3"/>
      <c r="L398" s="3"/>
      <c r="M398" s="3"/>
      <c r="N398" s="3"/>
      <c r="O398" s="3"/>
      <c r="P398" s="3"/>
      <c r="Q398" s="3"/>
      <c r="R398" s="3"/>
      <c r="S398" s="3"/>
      <c r="T398" s="3"/>
      <c r="U398" s="3"/>
      <c r="V398" s="3"/>
      <c r="W398" s="3"/>
      <c r="X398" s="1"/>
      <c r="Y398" s="1"/>
      <c r="Z398" s="1"/>
    </row>
    <row r="399" ht="12.75" customHeight="1">
      <c r="A399" s="1"/>
      <c r="B399" s="3"/>
      <c r="C399" s="3"/>
      <c r="D399" s="3"/>
      <c r="E399" s="3"/>
      <c r="F399" s="3"/>
      <c r="G399" s="3"/>
      <c r="H399" s="3"/>
      <c r="I399" s="3"/>
      <c r="J399" s="3"/>
      <c r="K399" s="3"/>
      <c r="L399" s="3"/>
      <c r="M399" s="3"/>
      <c r="N399" s="3"/>
      <c r="O399" s="3"/>
      <c r="P399" s="3"/>
      <c r="Q399" s="3"/>
      <c r="R399" s="3"/>
      <c r="S399" s="3"/>
      <c r="T399" s="3"/>
      <c r="U399" s="3"/>
      <c r="V399" s="3"/>
      <c r="W399" s="3"/>
      <c r="X399" s="1"/>
      <c r="Y399" s="1"/>
      <c r="Z399" s="1"/>
    </row>
    <row r="400" ht="12.75" customHeight="1">
      <c r="A400" s="1"/>
      <c r="B400" s="3"/>
      <c r="C400" s="3"/>
      <c r="D400" s="3"/>
      <c r="E400" s="3"/>
      <c r="F400" s="3"/>
      <c r="G400" s="3"/>
      <c r="H400" s="3"/>
      <c r="I400" s="3"/>
      <c r="J400" s="3"/>
      <c r="K400" s="3"/>
      <c r="L400" s="3"/>
      <c r="M400" s="3"/>
      <c r="N400" s="3"/>
      <c r="O400" s="3"/>
      <c r="P400" s="3"/>
      <c r="Q400" s="3"/>
      <c r="R400" s="3"/>
      <c r="S400" s="3"/>
      <c r="T400" s="3"/>
      <c r="U400" s="3"/>
      <c r="V400" s="3"/>
      <c r="W400" s="3"/>
      <c r="X400" s="1"/>
      <c r="Y400" s="1"/>
      <c r="Z400" s="1"/>
    </row>
    <row r="401" ht="12.75" customHeight="1">
      <c r="A401" s="1"/>
      <c r="B401" s="3"/>
      <c r="C401" s="3"/>
      <c r="D401" s="3"/>
      <c r="E401" s="3"/>
      <c r="F401" s="3"/>
      <c r="G401" s="3"/>
      <c r="H401" s="3"/>
      <c r="I401" s="3"/>
      <c r="J401" s="3"/>
      <c r="K401" s="3"/>
      <c r="L401" s="3"/>
      <c r="M401" s="3"/>
      <c r="N401" s="3"/>
      <c r="O401" s="3"/>
      <c r="P401" s="3"/>
      <c r="Q401" s="3"/>
      <c r="R401" s="3"/>
      <c r="S401" s="3"/>
      <c r="T401" s="3"/>
      <c r="U401" s="3"/>
      <c r="V401" s="3"/>
      <c r="W401" s="3"/>
      <c r="X401" s="1"/>
      <c r="Y401" s="1"/>
      <c r="Z401" s="1"/>
    </row>
    <row r="402" ht="12.75" customHeight="1">
      <c r="A402" s="1"/>
      <c r="B402" s="3"/>
      <c r="C402" s="3"/>
      <c r="D402" s="3"/>
      <c r="E402" s="3"/>
      <c r="F402" s="3"/>
      <c r="G402" s="3"/>
      <c r="H402" s="3"/>
      <c r="I402" s="3"/>
      <c r="J402" s="3"/>
      <c r="K402" s="3"/>
      <c r="L402" s="3"/>
      <c r="M402" s="3"/>
      <c r="N402" s="3"/>
      <c r="O402" s="3"/>
      <c r="P402" s="3"/>
      <c r="Q402" s="3"/>
      <c r="R402" s="3"/>
      <c r="S402" s="3"/>
      <c r="T402" s="3"/>
      <c r="U402" s="3"/>
      <c r="V402" s="3"/>
      <c r="W402" s="3"/>
      <c r="X402" s="1"/>
      <c r="Y402" s="1"/>
      <c r="Z402" s="1"/>
    </row>
    <row r="403" ht="12.75" customHeight="1">
      <c r="A403" s="1"/>
      <c r="B403" s="3"/>
      <c r="C403" s="3"/>
      <c r="D403" s="3"/>
      <c r="E403" s="3"/>
      <c r="F403" s="3"/>
      <c r="G403" s="3"/>
      <c r="H403" s="3"/>
      <c r="I403" s="3"/>
      <c r="J403" s="3"/>
      <c r="K403" s="3"/>
      <c r="L403" s="3"/>
      <c r="M403" s="3"/>
      <c r="N403" s="3"/>
      <c r="O403" s="3"/>
      <c r="P403" s="3"/>
      <c r="Q403" s="3"/>
      <c r="R403" s="3"/>
      <c r="S403" s="3"/>
      <c r="T403" s="3"/>
      <c r="U403" s="3"/>
      <c r="V403" s="3"/>
      <c r="W403" s="3"/>
      <c r="X403" s="1"/>
      <c r="Y403" s="1"/>
      <c r="Z403" s="1"/>
    </row>
    <row r="404" ht="12.75" customHeight="1">
      <c r="A404" s="1"/>
      <c r="B404" s="3"/>
      <c r="C404" s="3"/>
      <c r="D404" s="3"/>
      <c r="E404" s="3"/>
      <c r="F404" s="3"/>
      <c r="G404" s="3"/>
      <c r="H404" s="3"/>
      <c r="I404" s="3"/>
      <c r="J404" s="3"/>
      <c r="K404" s="3"/>
      <c r="L404" s="3"/>
      <c r="M404" s="3"/>
      <c r="N404" s="3"/>
      <c r="O404" s="3"/>
      <c r="P404" s="3"/>
      <c r="Q404" s="3"/>
      <c r="R404" s="3"/>
      <c r="S404" s="3"/>
      <c r="T404" s="3"/>
      <c r="U404" s="3"/>
      <c r="V404" s="3"/>
      <c r="W404" s="3"/>
      <c r="X404" s="1"/>
      <c r="Y404" s="1"/>
      <c r="Z404" s="1"/>
    </row>
    <row r="405" ht="12.75" customHeight="1">
      <c r="A405" s="1"/>
      <c r="B405" s="3"/>
      <c r="C405" s="3"/>
      <c r="D405" s="3"/>
      <c r="E405" s="3"/>
      <c r="F405" s="3"/>
      <c r="G405" s="3"/>
      <c r="H405" s="3"/>
      <c r="I405" s="3"/>
      <c r="J405" s="3"/>
      <c r="K405" s="3"/>
      <c r="L405" s="3"/>
      <c r="M405" s="3"/>
      <c r="N405" s="3"/>
      <c r="O405" s="3"/>
      <c r="P405" s="3"/>
      <c r="Q405" s="3"/>
      <c r="R405" s="3"/>
      <c r="S405" s="3"/>
      <c r="T405" s="3"/>
      <c r="U405" s="3"/>
      <c r="V405" s="3"/>
      <c r="W405" s="3"/>
      <c r="X405" s="1"/>
      <c r="Y405" s="1"/>
      <c r="Z405" s="1"/>
    </row>
    <row r="406" ht="12.75" customHeight="1">
      <c r="A406" s="1"/>
      <c r="B406" s="3"/>
      <c r="C406" s="3"/>
      <c r="D406" s="3"/>
      <c r="E406" s="3"/>
      <c r="F406" s="3"/>
      <c r="G406" s="3"/>
      <c r="H406" s="3"/>
      <c r="I406" s="3"/>
      <c r="J406" s="3"/>
      <c r="K406" s="3"/>
      <c r="L406" s="3"/>
      <c r="M406" s="3"/>
      <c r="N406" s="3"/>
      <c r="O406" s="3"/>
      <c r="P406" s="3"/>
      <c r="Q406" s="3"/>
      <c r="R406" s="3"/>
      <c r="S406" s="3"/>
      <c r="T406" s="3"/>
      <c r="U406" s="3"/>
      <c r="V406" s="3"/>
      <c r="W406" s="3"/>
      <c r="X406" s="1"/>
      <c r="Y406" s="1"/>
      <c r="Z406" s="1"/>
    </row>
    <row r="407" ht="12.75" customHeight="1">
      <c r="A407" s="1"/>
      <c r="B407" s="3"/>
      <c r="C407" s="3"/>
      <c r="D407" s="3"/>
      <c r="E407" s="3"/>
      <c r="F407" s="3"/>
      <c r="G407" s="3"/>
      <c r="H407" s="3"/>
      <c r="I407" s="3"/>
      <c r="J407" s="3"/>
      <c r="K407" s="3"/>
      <c r="L407" s="3"/>
      <c r="M407" s="3"/>
      <c r="N407" s="3"/>
      <c r="O407" s="3"/>
      <c r="P407" s="3"/>
      <c r="Q407" s="3"/>
      <c r="R407" s="3"/>
      <c r="S407" s="3"/>
      <c r="T407" s="3"/>
      <c r="U407" s="3"/>
      <c r="V407" s="3"/>
      <c r="W407" s="3"/>
      <c r="X407" s="1"/>
      <c r="Y407" s="1"/>
      <c r="Z407" s="1"/>
    </row>
    <row r="408" ht="12.75" customHeight="1">
      <c r="A408" s="1"/>
      <c r="B408" s="3"/>
      <c r="C408" s="3"/>
      <c r="D408" s="3"/>
      <c r="E408" s="3"/>
      <c r="F408" s="3"/>
      <c r="G408" s="3"/>
      <c r="H408" s="3"/>
      <c r="I408" s="3"/>
      <c r="J408" s="3"/>
      <c r="K408" s="3"/>
      <c r="L408" s="3"/>
      <c r="M408" s="3"/>
      <c r="N408" s="3"/>
      <c r="O408" s="3"/>
      <c r="P408" s="3"/>
      <c r="Q408" s="3"/>
      <c r="R408" s="3"/>
      <c r="S408" s="3"/>
      <c r="T408" s="3"/>
      <c r="U408" s="3"/>
      <c r="V408" s="3"/>
      <c r="W408" s="3"/>
      <c r="X408" s="1"/>
      <c r="Y408" s="1"/>
      <c r="Z408" s="1"/>
    </row>
    <row r="409" ht="12.75" customHeight="1">
      <c r="A409" s="1"/>
      <c r="B409" s="3"/>
      <c r="C409" s="3"/>
      <c r="D409" s="3"/>
      <c r="E409" s="3"/>
      <c r="F409" s="3"/>
      <c r="G409" s="3"/>
      <c r="H409" s="3"/>
      <c r="I409" s="3"/>
      <c r="J409" s="3"/>
      <c r="K409" s="3"/>
      <c r="L409" s="3"/>
      <c r="M409" s="3"/>
      <c r="N409" s="3"/>
      <c r="O409" s="3"/>
      <c r="P409" s="3"/>
      <c r="Q409" s="3"/>
      <c r="R409" s="3"/>
      <c r="S409" s="3"/>
      <c r="T409" s="3"/>
      <c r="U409" s="3"/>
      <c r="V409" s="3"/>
      <c r="W409" s="3"/>
      <c r="X409" s="1"/>
      <c r="Y409" s="1"/>
      <c r="Z409" s="1"/>
    </row>
    <row r="410" ht="12.75" customHeight="1">
      <c r="A410" s="1"/>
      <c r="B410" s="3"/>
      <c r="C410" s="3"/>
      <c r="D410" s="3"/>
      <c r="E410" s="3"/>
      <c r="F410" s="3"/>
      <c r="G410" s="3"/>
      <c r="H410" s="3"/>
      <c r="I410" s="3"/>
      <c r="J410" s="3"/>
      <c r="K410" s="3"/>
      <c r="L410" s="3"/>
      <c r="M410" s="3"/>
      <c r="N410" s="3"/>
      <c r="O410" s="3"/>
      <c r="P410" s="3"/>
      <c r="Q410" s="3"/>
      <c r="R410" s="3"/>
      <c r="S410" s="3"/>
      <c r="T410" s="3"/>
      <c r="U410" s="3"/>
      <c r="V410" s="3"/>
      <c r="W410" s="3"/>
      <c r="X410" s="1"/>
      <c r="Y410" s="1"/>
      <c r="Z410" s="1"/>
    </row>
    <row r="411" ht="12.75" customHeight="1">
      <c r="A411" s="1"/>
      <c r="B411" s="3"/>
      <c r="C411" s="3"/>
      <c r="D411" s="3"/>
      <c r="E411" s="3"/>
      <c r="F411" s="3"/>
      <c r="G411" s="3"/>
      <c r="H411" s="3"/>
      <c r="I411" s="3"/>
      <c r="J411" s="3"/>
      <c r="K411" s="3"/>
      <c r="L411" s="3"/>
      <c r="M411" s="3"/>
      <c r="N411" s="3"/>
      <c r="O411" s="3"/>
      <c r="P411" s="3"/>
      <c r="Q411" s="3"/>
      <c r="R411" s="3"/>
      <c r="S411" s="3"/>
      <c r="T411" s="3"/>
      <c r="U411" s="3"/>
      <c r="V411" s="3"/>
      <c r="W411" s="3"/>
      <c r="X411" s="1"/>
      <c r="Y411" s="1"/>
      <c r="Z411" s="1"/>
    </row>
    <row r="412" ht="12.75" customHeight="1">
      <c r="A412" s="1"/>
      <c r="B412" s="3"/>
      <c r="C412" s="3"/>
      <c r="D412" s="3"/>
      <c r="E412" s="3"/>
      <c r="F412" s="3"/>
      <c r="G412" s="3"/>
      <c r="H412" s="3"/>
      <c r="I412" s="3"/>
      <c r="J412" s="3"/>
      <c r="K412" s="3"/>
      <c r="L412" s="3"/>
      <c r="M412" s="3"/>
      <c r="N412" s="3"/>
      <c r="O412" s="3"/>
      <c r="P412" s="3"/>
      <c r="Q412" s="3"/>
      <c r="R412" s="3"/>
      <c r="S412" s="3"/>
      <c r="T412" s="3"/>
      <c r="U412" s="3"/>
      <c r="V412" s="3"/>
      <c r="W412" s="3"/>
      <c r="X412" s="1"/>
      <c r="Y412" s="1"/>
      <c r="Z412" s="1"/>
    </row>
    <row r="413" ht="12.75" customHeight="1">
      <c r="A413" s="1"/>
      <c r="B413" s="3"/>
      <c r="C413" s="3"/>
      <c r="D413" s="3"/>
      <c r="E413" s="3"/>
      <c r="F413" s="3"/>
      <c r="G413" s="3"/>
      <c r="H413" s="3"/>
      <c r="I413" s="3"/>
      <c r="J413" s="3"/>
      <c r="K413" s="3"/>
      <c r="L413" s="3"/>
      <c r="M413" s="3"/>
      <c r="N413" s="3"/>
      <c r="O413" s="3"/>
      <c r="P413" s="3"/>
      <c r="Q413" s="3"/>
      <c r="R413" s="3"/>
      <c r="S413" s="3"/>
      <c r="T413" s="3"/>
      <c r="U413" s="3"/>
      <c r="V413" s="3"/>
      <c r="W413" s="3"/>
      <c r="X413" s="1"/>
      <c r="Y413" s="1"/>
      <c r="Z413" s="1"/>
    </row>
    <row r="414" ht="12.75" customHeight="1">
      <c r="A414" s="1"/>
      <c r="B414" s="3"/>
      <c r="C414" s="3"/>
      <c r="D414" s="3"/>
      <c r="E414" s="3"/>
      <c r="F414" s="3"/>
      <c r="G414" s="3"/>
      <c r="H414" s="3"/>
      <c r="I414" s="3"/>
      <c r="J414" s="3"/>
      <c r="K414" s="3"/>
      <c r="L414" s="3"/>
      <c r="M414" s="3"/>
      <c r="N414" s="3"/>
      <c r="O414" s="3"/>
      <c r="P414" s="3"/>
      <c r="Q414" s="3"/>
      <c r="R414" s="3"/>
      <c r="S414" s="3"/>
      <c r="T414" s="3"/>
      <c r="U414" s="3"/>
      <c r="V414" s="3"/>
      <c r="W414" s="3"/>
      <c r="X414" s="1"/>
      <c r="Y414" s="1"/>
      <c r="Z414" s="1"/>
    </row>
    <row r="415" ht="12.75" customHeight="1">
      <c r="A415" s="1"/>
      <c r="B415" s="3"/>
      <c r="C415" s="3"/>
      <c r="D415" s="3"/>
      <c r="E415" s="3"/>
      <c r="F415" s="3"/>
      <c r="G415" s="3"/>
      <c r="H415" s="3"/>
      <c r="I415" s="3"/>
      <c r="J415" s="3"/>
      <c r="K415" s="3"/>
      <c r="L415" s="3"/>
      <c r="M415" s="3"/>
      <c r="N415" s="3"/>
      <c r="O415" s="3"/>
      <c r="P415" s="3"/>
      <c r="Q415" s="3"/>
      <c r="R415" s="3"/>
      <c r="S415" s="3"/>
      <c r="T415" s="3"/>
      <c r="U415" s="3"/>
      <c r="V415" s="3"/>
      <c r="W415" s="3"/>
      <c r="X415" s="1"/>
      <c r="Y415" s="1"/>
      <c r="Z415" s="1"/>
    </row>
    <row r="416" ht="12.75" customHeight="1">
      <c r="A416" s="1"/>
      <c r="B416" s="3"/>
      <c r="C416" s="3"/>
      <c r="D416" s="3"/>
      <c r="E416" s="3"/>
      <c r="F416" s="3"/>
      <c r="G416" s="3"/>
      <c r="H416" s="3"/>
      <c r="I416" s="3"/>
      <c r="J416" s="3"/>
      <c r="K416" s="3"/>
      <c r="L416" s="3"/>
      <c r="M416" s="3"/>
      <c r="N416" s="3"/>
      <c r="O416" s="3"/>
      <c r="P416" s="3"/>
      <c r="Q416" s="3"/>
      <c r="R416" s="3"/>
      <c r="S416" s="3"/>
      <c r="T416" s="3"/>
      <c r="U416" s="3"/>
      <c r="V416" s="3"/>
      <c r="W416" s="3"/>
      <c r="X416" s="1"/>
      <c r="Y416" s="1"/>
      <c r="Z416" s="1"/>
    </row>
    <row r="417" ht="12.75" customHeight="1">
      <c r="A417" s="1"/>
      <c r="B417" s="3"/>
      <c r="C417" s="3"/>
      <c r="D417" s="3"/>
      <c r="E417" s="3"/>
      <c r="F417" s="3"/>
      <c r="G417" s="3"/>
      <c r="H417" s="3"/>
      <c r="I417" s="3"/>
      <c r="J417" s="3"/>
      <c r="K417" s="3"/>
      <c r="L417" s="3"/>
      <c r="M417" s="3"/>
      <c r="N417" s="3"/>
      <c r="O417" s="3"/>
      <c r="P417" s="3"/>
      <c r="Q417" s="3"/>
      <c r="R417" s="3"/>
      <c r="S417" s="3"/>
      <c r="T417" s="3"/>
      <c r="U417" s="3"/>
      <c r="V417" s="3"/>
      <c r="W417" s="3"/>
      <c r="X417" s="1"/>
      <c r="Y417" s="1"/>
      <c r="Z417" s="1"/>
    </row>
    <row r="418" ht="12.75" customHeight="1">
      <c r="A418" s="1"/>
      <c r="B418" s="3"/>
      <c r="C418" s="3"/>
      <c r="D418" s="3"/>
      <c r="E418" s="3"/>
      <c r="F418" s="3"/>
      <c r="G418" s="3"/>
      <c r="H418" s="3"/>
      <c r="I418" s="3"/>
      <c r="J418" s="3"/>
      <c r="K418" s="3"/>
      <c r="L418" s="3"/>
      <c r="M418" s="3"/>
      <c r="N418" s="3"/>
      <c r="O418" s="3"/>
      <c r="P418" s="3"/>
      <c r="Q418" s="3"/>
      <c r="R418" s="3"/>
      <c r="S418" s="3"/>
      <c r="T418" s="3"/>
      <c r="U418" s="3"/>
      <c r="V418" s="3"/>
      <c r="W418" s="3"/>
      <c r="X418" s="1"/>
      <c r="Y418" s="1"/>
      <c r="Z418" s="1"/>
    </row>
    <row r="419" ht="12.75" customHeight="1">
      <c r="A419" s="1"/>
      <c r="B419" s="3"/>
      <c r="C419" s="3"/>
      <c r="D419" s="3"/>
      <c r="E419" s="3"/>
      <c r="F419" s="3"/>
      <c r="G419" s="3"/>
      <c r="H419" s="3"/>
      <c r="I419" s="3"/>
      <c r="J419" s="3"/>
      <c r="K419" s="3"/>
      <c r="L419" s="3"/>
      <c r="M419" s="3"/>
      <c r="N419" s="3"/>
      <c r="O419" s="3"/>
      <c r="P419" s="3"/>
      <c r="Q419" s="3"/>
      <c r="R419" s="3"/>
      <c r="S419" s="3"/>
      <c r="T419" s="3"/>
      <c r="U419" s="3"/>
      <c r="V419" s="3"/>
      <c r="W419" s="3"/>
      <c r="X419" s="1"/>
      <c r="Y419" s="1"/>
      <c r="Z419" s="1"/>
    </row>
    <row r="420" ht="12.75" customHeight="1">
      <c r="A420" s="1"/>
      <c r="B420" s="3"/>
      <c r="C420" s="3"/>
      <c r="D420" s="3"/>
      <c r="E420" s="3"/>
      <c r="F420" s="3"/>
      <c r="G420" s="3"/>
      <c r="H420" s="3"/>
      <c r="I420" s="3"/>
      <c r="J420" s="3"/>
      <c r="K420" s="3"/>
      <c r="L420" s="3"/>
      <c r="M420" s="3"/>
      <c r="N420" s="3"/>
      <c r="O420" s="3"/>
      <c r="P420" s="3"/>
      <c r="Q420" s="3"/>
      <c r="R420" s="3"/>
      <c r="S420" s="3"/>
      <c r="T420" s="3"/>
      <c r="U420" s="3"/>
      <c r="V420" s="3"/>
      <c r="W420" s="3"/>
      <c r="X420" s="1"/>
      <c r="Y420" s="1"/>
      <c r="Z420" s="1"/>
    </row>
    <row r="421" ht="12.75" customHeight="1">
      <c r="A421" s="1"/>
      <c r="B421" s="3"/>
      <c r="C421" s="3"/>
      <c r="D421" s="3"/>
      <c r="E421" s="3"/>
      <c r="F421" s="3"/>
      <c r="G421" s="3"/>
      <c r="H421" s="3"/>
      <c r="I421" s="3"/>
      <c r="J421" s="3"/>
      <c r="K421" s="3"/>
      <c r="L421" s="3"/>
      <c r="M421" s="3"/>
      <c r="N421" s="3"/>
      <c r="O421" s="3"/>
      <c r="P421" s="3"/>
      <c r="Q421" s="3"/>
      <c r="R421" s="3"/>
      <c r="S421" s="3"/>
      <c r="T421" s="3"/>
      <c r="U421" s="3"/>
      <c r="V421" s="3"/>
      <c r="W421" s="3"/>
      <c r="X421" s="1"/>
      <c r="Y421" s="1"/>
      <c r="Z421" s="1"/>
    </row>
    <row r="422" ht="12.75" customHeight="1">
      <c r="A422" s="1"/>
      <c r="B422" s="3"/>
      <c r="C422" s="3"/>
      <c r="D422" s="3"/>
      <c r="E422" s="3"/>
      <c r="F422" s="3"/>
      <c r="G422" s="3"/>
      <c r="H422" s="3"/>
      <c r="I422" s="3"/>
      <c r="J422" s="3"/>
      <c r="K422" s="3"/>
      <c r="L422" s="3"/>
      <c r="M422" s="3"/>
      <c r="N422" s="3"/>
      <c r="O422" s="3"/>
      <c r="P422" s="3"/>
      <c r="Q422" s="3"/>
      <c r="R422" s="3"/>
      <c r="S422" s="3"/>
      <c r="T422" s="3"/>
      <c r="U422" s="3"/>
      <c r="V422" s="3"/>
      <c r="W422" s="3"/>
      <c r="X422" s="1"/>
      <c r="Y422" s="1"/>
      <c r="Z422" s="1"/>
    </row>
    <row r="423" ht="12.75" customHeight="1">
      <c r="A423" s="1"/>
      <c r="B423" s="3"/>
      <c r="C423" s="3"/>
      <c r="D423" s="3"/>
      <c r="E423" s="3"/>
      <c r="F423" s="3"/>
      <c r="G423" s="3"/>
      <c r="H423" s="3"/>
      <c r="I423" s="3"/>
      <c r="J423" s="3"/>
      <c r="K423" s="3"/>
      <c r="L423" s="3"/>
      <c r="M423" s="3"/>
      <c r="N423" s="3"/>
      <c r="O423" s="3"/>
      <c r="P423" s="3"/>
      <c r="Q423" s="3"/>
      <c r="R423" s="3"/>
      <c r="S423" s="3"/>
      <c r="T423" s="3"/>
      <c r="U423" s="3"/>
      <c r="V423" s="3"/>
      <c r="W423" s="3"/>
      <c r="X423" s="1"/>
      <c r="Y423" s="1"/>
      <c r="Z423" s="1"/>
    </row>
    <row r="424" ht="12.75" customHeight="1">
      <c r="A424" s="1"/>
      <c r="B424" s="3"/>
      <c r="C424" s="3"/>
      <c r="D424" s="3"/>
      <c r="E424" s="3"/>
      <c r="F424" s="3"/>
      <c r="G424" s="3"/>
      <c r="H424" s="3"/>
      <c r="I424" s="3"/>
      <c r="J424" s="3"/>
      <c r="K424" s="3"/>
      <c r="L424" s="3"/>
      <c r="M424" s="3"/>
      <c r="N424" s="3"/>
      <c r="O424" s="3"/>
      <c r="P424" s="3"/>
      <c r="Q424" s="3"/>
      <c r="R424" s="3"/>
      <c r="S424" s="3"/>
      <c r="T424" s="3"/>
      <c r="U424" s="3"/>
      <c r="V424" s="3"/>
      <c r="W424" s="3"/>
      <c r="X424" s="1"/>
      <c r="Y424" s="1"/>
      <c r="Z424" s="1"/>
    </row>
    <row r="425" ht="12.75" customHeight="1">
      <c r="A425" s="1"/>
      <c r="B425" s="3"/>
      <c r="C425" s="3"/>
      <c r="D425" s="3"/>
      <c r="E425" s="3"/>
      <c r="F425" s="3"/>
      <c r="G425" s="3"/>
      <c r="H425" s="3"/>
      <c r="I425" s="3"/>
      <c r="J425" s="3"/>
      <c r="K425" s="3"/>
      <c r="L425" s="3"/>
      <c r="M425" s="3"/>
      <c r="N425" s="3"/>
      <c r="O425" s="3"/>
      <c r="P425" s="3"/>
      <c r="Q425" s="3"/>
      <c r="R425" s="3"/>
      <c r="S425" s="3"/>
      <c r="T425" s="3"/>
      <c r="U425" s="3"/>
      <c r="V425" s="3"/>
      <c r="W425" s="3"/>
      <c r="X425" s="1"/>
      <c r="Y425" s="1"/>
      <c r="Z425" s="1"/>
    </row>
    <row r="426" ht="12.75" customHeight="1">
      <c r="A426" s="1"/>
      <c r="B426" s="3"/>
      <c r="C426" s="3"/>
      <c r="D426" s="3"/>
      <c r="E426" s="3"/>
      <c r="F426" s="3"/>
      <c r="G426" s="3"/>
      <c r="H426" s="3"/>
      <c r="I426" s="3"/>
      <c r="J426" s="3"/>
      <c r="K426" s="3"/>
      <c r="L426" s="3"/>
      <c r="M426" s="3"/>
      <c r="N426" s="3"/>
      <c r="O426" s="3"/>
      <c r="P426" s="3"/>
      <c r="Q426" s="3"/>
      <c r="R426" s="3"/>
      <c r="S426" s="3"/>
      <c r="T426" s="3"/>
      <c r="U426" s="3"/>
      <c r="V426" s="3"/>
      <c r="W426" s="3"/>
      <c r="X426" s="1"/>
      <c r="Y426" s="1"/>
      <c r="Z426" s="1"/>
    </row>
    <row r="427" ht="12.75" customHeight="1">
      <c r="A427" s="1"/>
      <c r="B427" s="3"/>
      <c r="C427" s="3"/>
      <c r="D427" s="3"/>
      <c r="E427" s="3"/>
      <c r="F427" s="3"/>
      <c r="G427" s="3"/>
      <c r="H427" s="3"/>
      <c r="I427" s="3"/>
      <c r="J427" s="3"/>
      <c r="K427" s="3"/>
      <c r="L427" s="3"/>
      <c r="M427" s="3"/>
      <c r="N427" s="3"/>
      <c r="O427" s="3"/>
      <c r="P427" s="3"/>
      <c r="Q427" s="3"/>
      <c r="R427" s="3"/>
      <c r="S427" s="3"/>
      <c r="T427" s="3"/>
      <c r="U427" s="3"/>
      <c r="V427" s="3"/>
      <c r="W427" s="3"/>
      <c r="X427" s="1"/>
      <c r="Y427" s="1"/>
      <c r="Z427" s="1"/>
    </row>
    <row r="428" ht="12.75" customHeight="1">
      <c r="A428" s="1"/>
      <c r="B428" s="3"/>
      <c r="C428" s="3"/>
      <c r="D428" s="3"/>
      <c r="E428" s="3"/>
      <c r="F428" s="3"/>
      <c r="G428" s="3"/>
      <c r="H428" s="3"/>
      <c r="I428" s="3"/>
      <c r="J428" s="3"/>
      <c r="K428" s="3"/>
      <c r="L428" s="3"/>
      <c r="M428" s="3"/>
      <c r="N428" s="3"/>
      <c r="O428" s="3"/>
      <c r="P428" s="3"/>
      <c r="Q428" s="3"/>
      <c r="R428" s="3"/>
      <c r="S428" s="3"/>
      <c r="T428" s="3"/>
      <c r="U428" s="3"/>
      <c r="V428" s="3"/>
      <c r="W428" s="3"/>
      <c r="X428" s="1"/>
      <c r="Y428" s="1"/>
      <c r="Z428" s="1"/>
    </row>
    <row r="429" ht="12.75" customHeight="1">
      <c r="A429" s="1"/>
      <c r="B429" s="3"/>
      <c r="C429" s="3"/>
      <c r="D429" s="3"/>
      <c r="E429" s="3"/>
      <c r="F429" s="3"/>
      <c r="G429" s="3"/>
      <c r="H429" s="3"/>
      <c r="I429" s="3"/>
      <c r="J429" s="3"/>
      <c r="K429" s="3"/>
      <c r="L429" s="3"/>
      <c r="M429" s="3"/>
      <c r="N429" s="3"/>
      <c r="O429" s="3"/>
      <c r="P429" s="3"/>
      <c r="Q429" s="3"/>
      <c r="R429" s="3"/>
      <c r="S429" s="3"/>
      <c r="T429" s="3"/>
      <c r="U429" s="3"/>
      <c r="V429" s="3"/>
      <c r="W429" s="3"/>
      <c r="X429" s="1"/>
      <c r="Y429" s="1"/>
      <c r="Z429" s="1"/>
    </row>
    <row r="430" ht="12.75" customHeight="1">
      <c r="A430" s="1"/>
      <c r="B430" s="3"/>
      <c r="C430" s="3"/>
      <c r="D430" s="3"/>
      <c r="E430" s="3"/>
      <c r="F430" s="3"/>
      <c r="G430" s="3"/>
      <c r="H430" s="3"/>
      <c r="I430" s="3"/>
      <c r="J430" s="3"/>
      <c r="K430" s="3"/>
      <c r="L430" s="3"/>
      <c r="M430" s="3"/>
      <c r="N430" s="3"/>
      <c r="O430" s="3"/>
      <c r="P430" s="3"/>
      <c r="Q430" s="3"/>
      <c r="R430" s="3"/>
      <c r="S430" s="3"/>
      <c r="T430" s="3"/>
      <c r="U430" s="3"/>
      <c r="V430" s="3"/>
      <c r="W430" s="3"/>
      <c r="X430" s="1"/>
      <c r="Y430" s="1"/>
      <c r="Z430" s="1"/>
    </row>
    <row r="431" ht="12.75" customHeight="1">
      <c r="A431" s="1"/>
      <c r="B431" s="3"/>
      <c r="C431" s="3"/>
      <c r="D431" s="3"/>
      <c r="E431" s="3"/>
      <c r="F431" s="3"/>
      <c r="G431" s="3"/>
      <c r="H431" s="3"/>
      <c r="I431" s="3"/>
      <c r="J431" s="3"/>
      <c r="K431" s="3"/>
      <c r="L431" s="3"/>
      <c r="M431" s="3"/>
      <c r="N431" s="3"/>
      <c r="O431" s="3"/>
      <c r="P431" s="3"/>
      <c r="Q431" s="3"/>
      <c r="R431" s="3"/>
      <c r="S431" s="3"/>
      <c r="T431" s="3"/>
      <c r="U431" s="3"/>
      <c r="V431" s="3"/>
      <c r="W431" s="3"/>
      <c r="X431" s="1"/>
      <c r="Y431" s="1"/>
      <c r="Z431" s="1"/>
    </row>
    <row r="432" ht="12.75" customHeight="1">
      <c r="A432" s="1"/>
      <c r="B432" s="3"/>
      <c r="C432" s="3"/>
      <c r="D432" s="3"/>
      <c r="E432" s="3"/>
      <c r="F432" s="3"/>
      <c r="G432" s="3"/>
      <c r="H432" s="3"/>
      <c r="I432" s="3"/>
      <c r="J432" s="3"/>
      <c r="K432" s="3"/>
      <c r="L432" s="3"/>
      <c r="M432" s="3"/>
      <c r="N432" s="3"/>
      <c r="O432" s="3"/>
      <c r="P432" s="3"/>
      <c r="Q432" s="3"/>
      <c r="R432" s="3"/>
      <c r="S432" s="3"/>
      <c r="T432" s="3"/>
      <c r="U432" s="3"/>
      <c r="V432" s="3"/>
      <c r="W432" s="3"/>
      <c r="X432" s="1"/>
      <c r="Y432" s="1"/>
      <c r="Z432" s="1"/>
    </row>
    <row r="433" ht="12.75" customHeight="1">
      <c r="A433" s="1"/>
      <c r="B433" s="3"/>
      <c r="C433" s="3"/>
      <c r="D433" s="3"/>
      <c r="E433" s="3"/>
      <c r="F433" s="3"/>
      <c r="G433" s="3"/>
      <c r="H433" s="3"/>
      <c r="I433" s="3"/>
      <c r="J433" s="3"/>
      <c r="K433" s="3"/>
      <c r="L433" s="3"/>
      <c r="M433" s="3"/>
      <c r="N433" s="3"/>
      <c r="O433" s="3"/>
      <c r="P433" s="3"/>
      <c r="Q433" s="3"/>
      <c r="R433" s="3"/>
      <c r="S433" s="3"/>
      <c r="T433" s="3"/>
      <c r="U433" s="3"/>
      <c r="V433" s="3"/>
      <c r="W433" s="3"/>
      <c r="X433" s="1"/>
      <c r="Y433" s="1"/>
      <c r="Z433" s="1"/>
    </row>
    <row r="434" ht="12.75" customHeight="1">
      <c r="A434" s="1"/>
      <c r="B434" s="3"/>
      <c r="C434" s="3"/>
      <c r="D434" s="3"/>
      <c r="E434" s="3"/>
      <c r="F434" s="3"/>
      <c r="G434" s="3"/>
      <c r="H434" s="3"/>
      <c r="I434" s="3"/>
      <c r="J434" s="3"/>
      <c r="K434" s="3"/>
      <c r="L434" s="3"/>
      <c r="M434" s="3"/>
      <c r="N434" s="3"/>
      <c r="O434" s="3"/>
      <c r="P434" s="3"/>
      <c r="Q434" s="3"/>
      <c r="R434" s="3"/>
      <c r="S434" s="3"/>
      <c r="T434" s="3"/>
      <c r="U434" s="3"/>
      <c r="V434" s="3"/>
      <c r="W434" s="3"/>
      <c r="X434" s="1"/>
      <c r="Y434" s="1"/>
      <c r="Z434" s="1"/>
    </row>
    <row r="435" ht="12.75" customHeight="1">
      <c r="A435" s="1"/>
      <c r="B435" s="3"/>
      <c r="C435" s="3"/>
      <c r="D435" s="3"/>
      <c r="E435" s="3"/>
      <c r="F435" s="3"/>
      <c r="G435" s="3"/>
      <c r="H435" s="3"/>
      <c r="I435" s="3"/>
      <c r="J435" s="3"/>
      <c r="K435" s="3"/>
      <c r="L435" s="3"/>
      <c r="M435" s="3"/>
      <c r="N435" s="3"/>
      <c r="O435" s="3"/>
      <c r="P435" s="3"/>
      <c r="Q435" s="3"/>
      <c r="R435" s="3"/>
      <c r="S435" s="3"/>
      <c r="T435" s="3"/>
      <c r="U435" s="3"/>
      <c r="V435" s="3"/>
      <c r="W435" s="3"/>
      <c r="X435" s="1"/>
      <c r="Y435" s="1"/>
      <c r="Z435" s="1"/>
    </row>
    <row r="436" ht="12.75" customHeight="1">
      <c r="A436" s="1"/>
      <c r="B436" s="3"/>
      <c r="C436" s="3"/>
      <c r="D436" s="3"/>
      <c r="E436" s="3"/>
      <c r="F436" s="3"/>
      <c r="G436" s="3"/>
      <c r="H436" s="3"/>
      <c r="I436" s="3"/>
      <c r="J436" s="3"/>
      <c r="K436" s="3"/>
      <c r="L436" s="3"/>
      <c r="M436" s="3"/>
      <c r="N436" s="3"/>
      <c r="O436" s="3"/>
      <c r="P436" s="3"/>
      <c r="Q436" s="3"/>
      <c r="R436" s="3"/>
      <c r="S436" s="3"/>
      <c r="T436" s="3"/>
      <c r="U436" s="3"/>
      <c r="V436" s="3"/>
      <c r="W436" s="3"/>
      <c r="X436" s="1"/>
      <c r="Y436" s="1"/>
      <c r="Z436" s="1"/>
    </row>
    <row r="437" ht="12.75" customHeight="1">
      <c r="A437" s="1"/>
      <c r="B437" s="3"/>
      <c r="C437" s="3"/>
      <c r="D437" s="3"/>
      <c r="E437" s="3"/>
      <c r="F437" s="3"/>
      <c r="G437" s="3"/>
      <c r="H437" s="3"/>
      <c r="I437" s="3"/>
      <c r="J437" s="3"/>
      <c r="K437" s="3"/>
      <c r="L437" s="3"/>
      <c r="M437" s="3"/>
      <c r="N437" s="3"/>
      <c r="O437" s="3"/>
      <c r="P437" s="3"/>
      <c r="Q437" s="3"/>
      <c r="R437" s="3"/>
      <c r="S437" s="3"/>
      <c r="T437" s="3"/>
      <c r="U437" s="3"/>
      <c r="V437" s="3"/>
      <c r="W437" s="3"/>
      <c r="X437" s="1"/>
      <c r="Y437" s="1"/>
      <c r="Z437" s="1"/>
    </row>
    <row r="438" ht="12.75" customHeight="1">
      <c r="A438" s="1"/>
      <c r="B438" s="3"/>
      <c r="C438" s="3"/>
      <c r="D438" s="3"/>
      <c r="E438" s="3"/>
      <c r="F438" s="3"/>
      <c r="G438" s="3"/>
      <c r="H438" s="3"/>
      <c r="I438" s="3"/>
      <c r="J438" s="3"/>
      <c r="K438" s="3"/>
      <c r="L438" s="3"/>
      <c r="M438" s="3"/>
      <c r="N438" s="3"/>
      <c r="O438" s="3"/>
      <c r="P438" s="3"/>
      <c r="Q438" s="3"/>
      <c r="R438" s="3"/>
      <c r="S438" s="3"/>
      <c r="T438" s="3"/>
      <c r="U438" s="3"/>
      <c r="V438" s="3"/>
      <c r="W438" s="3"/>
      <c r="X438" s="1"/>
      <c r="Y438" s="1"/>
      <c r="Z438" s="1"/>
    </row>
    <row r="439" ht="12.75" customHeight="1">
      <c r="A439" s="1"/>
      <c r="B439" s="3"/>
      <c r="C439" s="3"/>
      <c r="D439" s="3"/>
      <c r="E439" s="3"/>
      <c r="F439" s="3"/>
      <c r="G439" s="3"/>
      <c r="H439" s="3"/>
      <c r="I439" s="3"/>
      <c r="J439" s="3"/>
      <c r="K439" s="3"/>
      <c r="L439" s="3"/>
      <c r="M439" s="3"/>
      <c r="N439" s="3"/>
      <c r="O439" s="3"/>
      <c r="P439" s="3"/>
      <c r="Q439" s="3"/>
      <c r="R439" s="3"/>
      <c r="S439" s="3"/>
      <c r="T439" s="3"/>
      <c r="U439" s="3"/>
      <c r="V439" s="3"/>
      <c r="W439" s="3"/>
      <c r="X439" s="1"/>
      <c r="Y439" s="1"/>
      <c r="Z439" s="1"/>
    </row>
    <row r="440" ht="12.75" customHeight="1">
      <c r="A440" s="1"/>
      <c r="B440" s="3"/>
      <c r="C440" s="3"/>
      <c r="D440" s="3"/>
      <c r="E440" s="3"/>
      <c r="F440" s="3"/>
      <c r="G440" s="3"/>
      <c r="H440" s="3"/>
      <c r="I440" s="3"/>
      <c r="J440" s="3"/>
      <c r="K440" s="3"/>
      <c r="L440" s="3"/>
      <c r="M440" s="3"/>
      <c r="N440" s="3"/>
      <c r="O440" s="3"/>
      <c r="P440" s="3"/>
      <c r="Q440" s="3"/>
      <c r="R440" s="3"/>
      <c r="S440" s="3"/>
      <c r="T440" s="3"/>
      <c r="U440" s="3"/>
      <c r="V440" s="3"/>
      <c r="W440" s="3"/>
      <c r="X440" s="1"/>
      <c r="Y440" s="1"/>
      <c r="Z440" s="1"/>
    </row>
    <row r="441" ht="12.75" customHeight="1">
      <c r="A441" s="1"/>
      <c r="B441" s="3"/>
      <c r="C441" s="3"/>
      <c r="D441" s="3"/>
      <c r="E441" s="3"/>
      <c r="F441" s="3"/>
      <c r="G441" s="3"/>
      <c r="H441" s="3"/>
      <c r="I441" s="3"/>
      <c r="J441" s="3"/>
      <c r="K441" s="3"/>
      <c r="L441" s="3"/>
      <c r="M441" s="3"/>
      <c r="N441" s="3"/>
      <c r="O441" s="3"/>
      <c r="P441" s="3"/>
      <c r="Q441" s="3"/>
      <c r="R441" s="3"/>
      <c r="S441" s="3"/>
      <c r="T441" s="3"/>
      <c r="U441" s="3"/>
      <c r="V441" s="3"/>
      <c r="W441" s="3"/>
      <c r="X441" s="1"/>
      <c r="Y441" s="1"/>
      <c r="Z441" s="1"/>
    </row>
    <row r="442" ht="12.75" customHeight="1">
      <c r="A442" s="1"/>
      <c r="B442" s="3"/>
      <c r="C442" s="3"/>
      <c r="D442" s="3"/>
      <c r="E442" s="3"/>
      <c r="F442" s="3"/>
      <c r="G442" s="3"/>
      <c r="H442" s="3"/>
      <c r="I442" s="3"/>
      <c r="J442" s="3"/>
      <c r="K442" s="3"/>
      <c r="L442" s="3"/>
      <c r="M442" s="3"/>
      <c r="N442" s="3"/>
      <c r="O442" s="3"/>
      <c r="P442" s="3"/>
      <c r="Q442" s="3"/>
      <c r="R442" s="3"/>
      <c r="S442" s="3"/>
      <c r="T442" s="3"/>
      <c r="U442" s="3"/>
      <c r="V442" s="3"/>
      <c r="W442" s="3"/>
      <c r="X442" s="1"/>
      <c r="Y442" s="1"/>
      <c r="Z442" s="1"/>
    </row>
    <row r="443" ht="12.75" customHeight="1">
      <c r="A443" s="1"/>
      <c r="B443" s="3"/>
      <c r="C443" s="3"/>
      <c r="D443" s="3"/>
      <c r="E443" s="3"/>
      <c r="F443" s="3"/>
      <c r="G443" s="3"/>
      <c r="H443" s="3"/>
      <c r="I443" s="3"/>
      <c r="J443" s="3"/>
      <c r="K443" s="3"/>
      <c r="L443" s="3"/>
      <c r="M443" s="3"/>
      <c r="N443" s="3"/>
      <c r="O443" s="3"/>
      <c r="P443" s="3"/>
      <c r="Q443" s="3"/>
      <c r="R443" s="3"/>
      <c r="S443" s="3"/>
      <c r="T443" s="3"/>
      <c r="U443" s="3"/>
      <c r="V443" s="3"/>
      <c r="W443" s="3"/>
      <c r="X443" s="1"/>
      <c r="Y443" s="1"/>
      <c r="Z443" s="1"/>
    </row>
    <row r="444" ht="12.75" customHeight="1">
      <c r="A444" s="1"/>
      <c r="B444" s="3"/>
      <c r="C444" s="3"/>
      <c r="D444" s="3"/>
      <c r="E444" s="3"/>
      <c r="F444" s="3"/>
      <c r="G444" s="3"/>
      <c r="H444" s="3"/>
      <c r="I444" s="3"/>
      <c r="J444" s="3"/>
      <c r="K444" s="3"/>
      <c r="L444" s="3"/>
      <c r="M444" s="3"/>
      <c r="N444" s="3"/>
      <c r="O444" s="3"/>
      <c r="P444" s="3"/>
      <c r="Q444" s="3"/>
      <c r="R444" s="3"/>
      <c r="S444" s="3"/>
      <c r="T444" s="3"/>
      <c r="U444" s="3"/>
      <c r="V444" s="3"/>
      <c r="W444" s="3"/>
      <c r="X444" s="1"/>
      <c r="Y444" s="1"/>
      <c r="Z444" s="1"/>
    </row>
    <row r="445" ht="12.75" customHeight="1">
      <c r="A445" s="1"/>
      <c r="B445" s="3"/>
      <c r="C445" s="3"/>
      <c r="D445" s="3"/>
      <c r="E445" s="3"/>
      <c r="F445" s="3"/>
      <c r="G445" s="3"/>
      <c r="H445" s="3"/>
      <c r="I445" s="3"/>
      <c r="J445" s="3"/>
      <c r="K445" s="3"/>
      <c r="L445" s="3"/>
      <c r="M445" s="3"/>
      <c r="N445" s="3"/>
      <c r="O445" s="3"/>
      <c r="P445" s="3"/>
      <c r="Q445" s="3"/>
      <c r="R445" s="3"/>
      <c r="S445" s="3"/>
      <c r="T445" s="3"/>
      <c r="U445" s="3"/>
      <c r="V445" s="3"/>
      <c r="W445" s="3"/>
      <c r="X445" s="1"/>
      <c r="Y445" s="1"/>
      <c r="Z445" s="1"/>
    </row>
    <row r="446" ht="12.75" customHeight="1">
      <c r="A446" s="1"/>
      <c r="B446" s="3"/>
      <c r="C446" s="3"/>
      <c r="D446" s="3"/>
      <c r="E446" s="3"/>
      <c r="F446" s="3"/>
      <c r="G446" s="3"/>
      <c r="H446" s="3"/>
      <c r="I446" s="3"/>
      <c r="J446" s="3"/>
      <c r="K446" s="3"/>
      <c r="L446" s="3"/>
      <c r="M446" s="3"/>
      <c r="N446" s="3"/>
      <c r="O446" s="3"/>
      <c r="P446" s="3"/>
      <c r="Q446" s="3"/>
      <c r="R446" s="3"/>
      <c r="S446" s="3"/>
      <c r="T446" s="3"/>
      <c r="U446" s="3"/>
      <c r="V446" s="3"/>
      <c r="W446" s="3"/>
      <c r="X446" s="1"/>
      <c r="Y446" s="1"/>
      <c r="Z446" s="1"/>
    </row>
    <row r="447" ht="12.75" customHeight="1">
      <c r="A447" s="1"/>
      <c r="B447" s="3"/>
      <c r="C447" s="3"/>
      <c r="D447" s="3"/>
      <c r="E447" s="3"/>
      <c r="F447" s="3"/>
      <c r="G447" s="3"/>
      <c r="H447" s="3"/>
      <c r="I447" s="3"/>
      <c r="J447" s="3"/>
      <c r="K447" s="3"/>
      <c r="L447" s="3"/>
      <c r="M447" s="3"/>
      <c r="N447" s="3"/>
      <c r="O447" s="3"/>
      <c r="P447" s="3"/>
      <c r="Q447" s="3"/>
      <c r="R447" s="3"/>
      <c r="S447" s="3"/>
      <c r="T447" s="3"/>
      <c r="U447" s="3"/>
      <c r="V447" s="3"/>
      <c r="W447" s="3"/>
      <c r="X447" s="1"/>
      <c r="Y447" s="1"/>
      <c r="Z447" s="1"/>
    </row>
    <row r="448" ht="12.75" customHeight="1">
      <c r="A448" s="1"/>
      <c r="B448" s="3"/>
      <c r="C448" s="3"/>
      <c r="D448" s="3"/>
      <c r="E448" s="3"/>
      <c r="F448" s="3"/>
      <c r="G448" s="3"/>
      <c r="H448" s="3"/>
      <c r="I448" s="3"/>
      <c r="J448" s="3"/>
      <c r="K448" s="3"/>
      <c r="L448" s="3"/>
      <c r="M448" s="3"/>
      <c r="N448" s="3"/>
      <c r="O448" s="3"/>
      <c r="P448" s="3"/>
      <c r="Q448" s="3"/>
      <c r="R448" s="3"/>
      <c r="S448" s="3"/>
      <c r="T448" s="3"/>
      <c r="U448" s="3"/>
      <c r="V448" s="3"/>
      <c r="W448" s="3"/>
      <c r="X448" s="1"/>
      <c r="Y448" s="1"/>
      <c r="Z448" s="1"/>
    </row>
    <row r="449" ht="12.75" customHeight="1">
      <c r="A449" s="1"/>
      <c r="B449" s="3"/>
      <c r="C449" s="3"/>
      <c r="D449" s="3"/>
      <c r="E449" s="3"/>
      <c r="F449" s="3"/>
      <c r="G449" s="3"/>
      <c r="H449" s="3"/>
      <c r="I449" s="3"/>
      <c r="J449" s="3"/>
      <c r="K449" s="3"/>
      <c r="L449" s="3"/>
      <c r="M449" s="3"/>
      <c r="N449" s="3"/>
      <c r="O449" s="3"/>
      <c r="P449" s="3"/>
      <c r="Q449" s="3"/>
      <c r="R449" s="3"/>
      <c r="S449" s="3"/>
      <c r="T449" s="3"/>
      <c r="U449" s="3"/>
      <c r="V449" s="3"/>
      <c r="W449" s="3"/>
      <c r="X449" s="1"/>
      <c r="Y449" s="1"/>
      <c r="Z449" s="1"/>
    </row>
    <row r="450" ht="12.75" customHeight="1">
      <c r="A450" s="1"/>
      <c r="B450" s="3"/>
      <c r="C450" s="3"/>
      <c r="D450" s="3"/>
      <c r="E450" s="3"/>
      <c r="F450" s="3"/>
      <c r="G450" s="3"/>
      <c r="H450" s="3"/>
      <c r="I450" s="3"/>
      <c r="J450" s="3"/>
      <c r="K450" s="3"/>
      <c r="L450" s="3"/>
      <c r="M450" s="3"/>
      <c r="N450" s="3"/>
      <c r="O450" s="3"/>
      <c r="P450" s="3"/>
      <c r="Q450" s="3"/>
      <c r="R450" s="3"/>
      <c r="S450" s="3"/>
      <c r="T450" s="3"/>
      <c r="U450" s="3"/>
      <c r="V450" s="3"/>
      <c r="W450" s="3"/>
      <c r="X450" s="1"/>
      <c r="Y450" s="1"/>
      <c r="Z450" s="1"/>
    </row>
    <row r="451" ht="12.75" customHeight="1">
      <c r="A451" s="1"/>
      <c r="B451" s="3"/>
      <c r="C451" s="3"/>
      <c r="D451" s="3"/>
      <c r="E451" s="3"/>
      <c r="F451" s="3"/>
      <c r="G451" s="3"/>
      <c r="H451" s="3"/>
      <c r="I451" s="3"/>
      <c r="J451" s="3"/>
      <c r="K451" s="3"/>
      <c r="L451" s="3"/>
      <c r="M451" s="3"/>
      <c r="N451" s="3"/>
      <c r="O451" s="3"/>
      <c r="P451" s="3"/>
      <c r="Q451" s="3"/>
      <c r="R451" s="3"/>
      <c r="S451" s="3"/>
      <c r="T451" s="3"/>
      <c r="U451" s="3"/>
      <c r="V451" s="3"/>
      <c r="W451" s="3"/>
      <c r="X451" s="1"/>
      <c r="Y451" s="1"/>
      <c r="Z451" s="1"/>
    </row>
    <row r="452" ht="12.75" customHeight="1">
      <c r="A452" s="1"/>
      <c r="B452" s="3"/>
      <c r="C452" s="3"/>
      <c r="D452" s="3"/>
      <c r="E452" s="3"/>
      <c r="F452" s="3"/>
      <c r="G452" s="3"/>
      <c r="H452" s="3"/>
      <c r="I452" s="3"/>
      <c r="J452" s="3"/>
      <c r="K452" s="3"/>
      <c r="L452" s="3"/>
      <c r="M452" s="3"/>
      <c r="N452" s="3"/>
      <c r="O452" s="3"/>
      <c r="P452" s="3"/>
      <c r="Q452" s="3"/>
      <c r="R452" s="3"/>
      <c r="S452" s="3"/>
      <c r="T452" s="3"/>
      <c r="U452" s="3"/>
      <c r="V452" s="3"/>
      <c r="W452" s="3"/>
      <c r="X452" s="1"/>
      <c r="Y452" s="1"/>
      <c r="Z452" s="1"/>
    </row>
    <row r="453" ht="12.75" customHeight="1">
      <c r="A453" s="1"/>
      <c r="B453" s="3"/>
      <c r="C453" s="3"/>
      <c r="D453" s="3"/>
      <c r="E453" s="3"/>
      <c r="F453" s="3"/>
      <c r="G453" s="3"/>
      <c r="H453" s="3"/>
      <c r="I453" s="3"/>
      <c r="J453" s="3"/>
      <c r="K453" s="3"/>
      <c r="L453" s="3"/>
      <c r="M453" s="3"/>
      <c r="N453" s="3"/>
      <c r="O453" s="3"/>
      <c r="P453" s="3"/>
      <c r="Q453" s="3"/>
      <c r="R453" s="3"/>
      <c r="S453" s="3"/>
      <c r="T453" s="3"/>
      <c r="U453" s="3"/>
      <c r="V453" s="3"/>
      <c r="W453" s="3"/>
      <c r="X453" s="1"/>
      <c r="Y453" s="1"/>
      <c r="Z453" s="1"/>
    </row>
    <row r="454" ht="12.75" customHeight="1">
      <c r="A454" s="1"/>
      <c r="B454" s="3"/>
      <c r="C454" s="3"/>
      <c r="D454" s="3"/>
      <c r="E454" s="3"/>
      <c r="F454" s="3"/>
      <c r="G454" s="3"/>
      <c r="H454" s="3"/>
      <c r="I454" s="3"/>
      <c r="J454" s="3"/>
      <c r="K454" s="3"/>
      <c r="L454" s="3"/>
      <c r="M454" s="3"/>
      <c r="N454" s="3"/>
      <c r="O454" s="3"/>
      <c r="P454" s="3"/>
      <c r="Q454" s="3"/>
      <c r="R454" s="3"/>
      <c r="S454" s="3"/>
      <c r="T454" s="3"/>
      <c r="U454" s="3"/>
      <c r="V454" s="3"/>
      <c r="W454" s="3"/>
      <c r="X454" s="1"/>
      <c r="Y454" s="1"/>
      <c r="Z454" s="1"/>
    </row>
    <row r="455" ht="12.75" customHeight="1">
      <c r="A455" s="1"/>
      <c r="B455" s="3"/>
      <c r="C455" s="3"/>
      <c r="D455" s="3"/>
      <c r="E455" s="3"/>
      <c r="F455" s="3"/>
      <c r="G455" s="3"/>
      <c r="H455" s="3"/>
      <c r="I455" s="3"/>
      <c r="J455" s="3"/>
      <c r="K455" s="3"/>
      <c r="L455" s="3"/>
      <c r="M455" s="3"/>
      <c r="N455" s="3"/>
      <c r="O455" s="3"/>
      <c r="P455" s="3"/>
      <c r="Q455" s="3"/>
      <c r="R455" s="3"/>
      <c r="S455" s="3"/>
      <c r="T455" s="3"/>
      <c r="U455" s="3"/>
      <c r="V455" s="3"/>
      <c r="W455" s="3"/>
      <c r="X455" s="1"/>
      <c r="Y455" s="1"/>
      <c r="Z455" s="1"/>
    </row>
    <row r="456" ht="12.75" customHeight="1">
      <c r="A456" s="1"/>
      <c r="B456" s="3"/>
      <c r="C456" s="3"/>
      <c r="D456" s="3"/>
      <c r="E456" s="3"/>
      <c r="F456" s="3"/>
      <c r="G456" s="3"/>
      <c r="H456" s="3"/>
      <c r="I456" s="3"/>
      <c r="J456" s="3"/>
      <c r="K456" s="3"/>
      <c r="L456" s="3"/>
      <c r="M456" s="3"/>
      <c r="N456" s="3"/>
      <c r="O456" s="3"/>
      <c r="P456" s="3"/>
      <c r="Q456" s="3"/>
      <c r="R456" s="3"/>
      <c r="S456" s="3"/>
      <c r="T456" s="3"/>
      <c r="U456" s="3"/>
      <c r="V456" s="3"/>
      <c r="W456" s="3"/>
      <c r="X456" s="1"/>
      <c r="Y456" s="1"/>
      <c r="Z456" s="1"/>
    </row>
    <row r="457" ht="12.75" customHeight="1">
      <c r="A457" s="1"/>
      <c r="B457" s="3"/>
      <c r="C457" s="3"/>
      <c r="D457" s="3"/>
      <c r="E457" s="3"/>
      <c r="F457" s="3"/>
      <c r="G457" s="3"/>
      <c r="H457" s="3"/>
      <c r="I457" s="3"/>
      <c r="J457" s="3"/>
      <c r="K457" s="3"/>
      <c r="L457" s="3"/>
      <c r="M457" s="3"/>
      <c r="N457" s="3"/>
      <c r="O457" s="3"/>
      <c r="P457" s="3"/>
      <c r="Q457" s="3"/>
      <c r="R457" s="3"/>
      <c r="S457" s="3"/>
      <c r="T457" s="3"/>
      <c r="U457" s="3"/>
      <c r="V457" s="3"/>
      <c r="W457" s="3"/>
      <c r="X457" s="1"/>
      <c r="Y457" s="1"/>
      <c r="Z457" s="1"/>
    </row>
    <row r="458" ht="12.75" customHeight="1">
      <c r="A458" s="1"/>
      <c r="B458" s="3"/>
      <c r="C458" s="3"/>
      <c r="D458" s="3"/>
      <c r="E458" s="3"/>
      <c r="F458" s="3"/>
      <c r="G458" s="3"/>
      <c r="H458" s="3"/>
      <c r="I458" s="3"/>
      <c r="J458" s="3"/>
      <c r="K458" s="3"/>
      <c r="L458" s="3"/>
      <c r="M458" s="3"/>
      <c r="N458" s="3"/>
      <c r="O458" s="3"/>
      <c r="P458" s="3"/>
      <c r="Q458" s="3"/>
      <c r="R458" s="3"/>
      <c r="S458" s="3"/>
      <c r="T458" s="3"/>
      <c r="U458" s="3"/>
      <c r="V458" s="3"/>
      <c r="W458" s="3"/>
      <c r="X458" s="1"/>
      <c r="Y458" s="1"/>
      <c r="Z458" s="1"/>
    </row>
    <row r="459" ht="12.75" customHeight="1">
      <c r="A459" s="1"/>
      <c r="B459" s="3"/>
      <c r="C459" s="3"/>
      <c r="D459" s="3"/>
      <c r="E459" s="3"/>
      <c r="F459" s="3"/>
      <c r="G459" s="3"/>
      <c r="H459" s="3"/>
      <c r="I459" s="3"/>
      <c r="J459" s="3"/>
      <c r="K459" s="3"/>
      <c r="L459" s="3"/>
      <c r="M459" s="3"/>
      <c r="N459" s="3"/>
      <c r="O459" s="3"/>
      <c r="P459" s="3"/>
      <c r="Q459" s="3"/>
      <c r="R459" s="3"/>
      <c r="S459" s="3"/>
      <c r="T459" s="3"/>
      <c r="U459" s="3"/>
      <c r="V459" s="3"/>
      <c r="W459" s="3"/>
      <c r="X459" s="1"/>
      <c r="Y459" s="1"/>
      <c r="Z459" s="1"/>
    </row>
    <row r="460" ht="12.75" customHeight="1">
      <c r="A460" s="1"/>
      <c r="B460" s="3"/>
      <c r="C460" s="3"/>
      <c r="D460" s="3"/>
      <c r="E460" s="3"/>
      <c r="F460" s="3"/>
      <c r="G460" s="3"/>
      <c r="H460" s="3"/>
      <c r="I460" s="3"/>
      <c r="J460" s="3"/>
      <c r="K460" s="3"/>
      <c r="L460" s="3"/>
      <c r="M460" s="3"/>
      <c r="N460" s="3"/>
      <c r="O460" s="3"/>
      <c r="P460" s="3"/>
      <c r="Q460" s="3"/>
      <c r="R460" s="3"/>
      <c r="S460" s="3"/>
      <c r="T460" s="3"/>
      <c r="U460" s="3"/>
      <c r="V460" s="3"/>
      <c r="W460" s="3"/>
      <c r="X460" s="1"/>
      <c r="Y460" s="1"/>
      <c r="Z460" s="1"/>
    </row>
    <row r="461" ht="12.75" customHeight="1">
      <c r="A461" s="1"/>
      <c r="B461" s="3"/>
      <c r="C461" s="3"/>
      <c r="D461" s="3"/>
      <c r="E461" s="3"/>
      <c r="F461" s="3"/>
      <c r="G461" s="3"/>
      <c r="H461" s="3"/>
      <c r="I461" s="3"/>
      <c r="J461" s="3"/>
      <c r="K461" s="3"/>
      <c r="L461" s="3"/>
      <c r="M461" s="3"/>
      <c r="N461" s="3"/>
      <c r="O461" s="3"/>
      <c r="P461" s="3"/>
      <c r="Q461" s="3"/>
      <c r="R461" s="3"/>
      <c r="S461" s="3"/>
      <c r="T461" s="3"/>
      <c r="U461" s="3"/>
      <c r="V461" s="3"/>
      <c r="W461" s="3"/>
      <c r="X461" s="1"/>
      <c r="Y461" s="1"/>
      <c r="Z461" s="1"/>
    </row>
    <row r="462" ht="12.75" customHeight="1">
      <c r="A462" s="1"/>
      <c r="B462" s="3"/>
      <c r="C462" s="3"/>
      <c r="D462" s="3"/>
      <c r="E462" s="3"/>
      <c r="F462" s="3"/>
      <c r="G462" s="3"/>
      <c r="H462" s="3"/>
      <c r="I462" s="3"/>
      <c r="J462" s="3"/>
      <c r="K462" s="3"/>
      <c r="L462" s="3"/>
      <c r="M462" s="3"/>
      <c r="N462" s="3"/>
      <c r="O462" s="3"/>
      <c r="P462" s="3"/>
      <c r="Q462" s="3"/>
      <c r="R462" s="3"/>
      <c r="S462" s="3"/>
      <c r="T462" s="3"/>
      <c r="U462" s="3"/>
      <c r="V462" s="3"/>
      <c r="W462" s="3"/>
      <c r="X462" s="1"/>
      <c r="Y462" s="1"/>
      <c r="Z462" s="1"/>
    </row>
    <row r="463" ht="12.75" customHeight="1">
      <c r="A463" s="1"/>
      <c r="B463" s="3"/>
      <c r="C463" s="3"/>
      <c r="D463" s="3"/>
      <c r="E463" s="3"/>
      <c r="F463" s="3"/>
      <c r="G463" s="3"/>
      <c r="H463" s="3"/>
      <c r="I463" s="3"/>
      <c r="J463" s="3"/>
      <c r="K463" s="3"/>
      <c r="L463" s="3"/>
      <c r="M463" s="3"/>
      <c r="N463" s="3"/>
      <c r="O463" s="3"/>
      <c r="P463" s="3"/>
      <c r="Q463" s="3"/>
      <c r="R463" s="3"/>
      <c r="S463" s="3"/>
      <c r="T463" s="3"/>
      <c r="U463" s="3"/>
      <c r="V463" s="3"/>
      <c r="W463" s="3"/>
      <c r="X463" s="1"/>
      <c r="Y463" s="1"/>
      <c r="Z463" s="1"/>
    </row>
    <row r="464" ht="12.75" customHeight="1">
      <c r="A464" s="1"/>
      <c r="B464" s="3"/>
      <c r="C464" s="3"/>
      <c r="D464" s="3"/>
      <c r="E464" s="3"/>
      <c r="F464" s="3"/>
      <c r="G464" s="3"/>
      <c r="H464" s="3"/>
      <c r="I464" s="3"/>
      <c r="J464" s="3"/>
      <c r="K464" s="3"/>
      <c r="L464" s="3"/>
      <c r="M464" s="3"/>
      <c r="N464" s="3"/>
      <c r="O464" s="3"/>
      <c r="P464" s="3"/>
      <c r="Q464" s="3"/>
      <c r="R464" s="3"/>
      <c r="S464" s="3"/>
      <c r="T464" s="3"/>
      <c r="U464" s="3"/>
      <c r="V464" s="3"/>
      <c r="W464" s="3"/>
      <c r="X464" s="1"/>
      <c r="Y464" s="1"/>
      <c r="Z464" s="1"/>
    </row>
    <row r="465" ht="12.75" customHeight="1">
      <c r="A465" s="1"/>
      <c r="B465" s="3"/>
      <c r="C465" s="3"/>
      <c r="D465" s="3"/>
      <c r="E465" s="3"/>
      <c r="F465" s="3"/>
      <c r="G465" s="3"/>
      <c r="H465" s="3"/>
      <c r="I465" s="3"/>
      <c r="J465" s="3"/>
      <c r="K465" s="3"/>
      <c r="L465" s="3"/>
      <c r="M465" s="3"/>
      <c r="N465" s="3"/>
      <c r="O465" s="3"/>
      <c r="P465" s="3"/>
      <c r="Q465" s="3"/>
      <c r="R465" s="3"/>
      <c r="S465" s="3"/>
      <c r="T465" s="3"/>
      <c r="U465" s="3"/>
      <c r="V465" s="3"/>
      <c r="W465" s="3"/>
      <c r="X465" s="1"/>
      <c r="Y465" s="1"/>
      <c r="Z465" s="1"/>
    </row>
    <row r="466" ht="12.75" customHeight="1">
      <c r="A466" s="1"/>
      <c r="B466" s="3"/>
      <c r="C466" s="3"/>
      <c r="D466" s="3"/>
      <c r="E466" s="3"/>
      <c r="F466" s="3"/>
      <c r="G466" s="3"/>
      <c r="H466" s="3"/>
      <c r="I466" s="3"/>
      <c r="J466" s="3"/>
      <c r="K466" s="3"/>
      <c r="L466" s="3"/>
      <c r="M466" s="3"/>
      <c r="N466" s="3"/>
      <c r="O466" s="3"/>
      <c r="P466" s="3"/>
      <c r="Q466" s="3"/>
      <c r="R466" s="3"/>
      <c r="S466" s="3"/>
      <c r="T466" s="3"/>
      <c r="U466" s="3"/>
      <c r="V466" s="3"/>
      <c r="W466" s="3"/>
      <c r="X466" s="1"/>
      <c r="Y466" s="1"/>
      <c r="Z466" s="1"/>
    </row>
    <row r="467" ht="12.75" customHeight="1">
      <c r="A467" s="1"/>
      <c r="B467" s="3"/>
      <c r="C467" s="3"/>
      <c r="D467" s="3"/>
      <c r="E467" s="3"/>
      <c r="F467" s="3"/>
      <c r="G467" s="3"/>
      <c r="H467" s="3"/>
      <c r="I467" s="3"/>
      <c r="J467" s="3"/>
      <c r="K467" s="3"/>
      <c r="L467" s="3"/>
      <c r="M467" s="3"/>
      <c r="N467" s="3"/>
      <c r="O467" s="3"/>
      <c r="P467" s="3"/>
      <c r="Q467" s="3"/>
      <c r="R467" s="3"/>
      <c r="S467" s="3"/>
      <c r="T467" s="3"/>
      <c r="U467" s="3"/>
      <c r="V467" s="3"/>
      <c r="W467" s="3"/>
      <c r="X467" s="1"/>
      <c r="Y467" s="1"/>
      <c r="Z467" s="1"/>
    </row>
    <row r="468" ht="12.75" customHeight="1">
      <c r="A468" s="1"/>
      <c r="B468" s="3"/>
      <c r="C468" s="3"/>
      <c r="D468" s="3"/>
      <c r="E468" s="3"/>
      <c r="F468" s="3"/>
      <c r="G468" s="3"/>
      <c r="H468" s="3"/>
      <c r="I468" s="3"/>
      <c r="J468" s="3"/>
      <c r="K468" s="3"/>
      <c r="L468" s="3"/>
      <c r="M468" s="3"/>
      <c r="N468" s="3"/>
      <c r="O468" s="3"/>
      <c r="P468" s="3"/>
      <c r="Q468" s="3"/>
      <c r="R468" s="3"/>
      <c r="S468" s="3"/>
      <c r="T468" s="3"/>
      <c r="U468" s="3"/>
      <c r="V468" s="3"/>
      <c r="W468" s="3"/>
      <c r="X468" s="1"/>
      <c r="Y468" s="1"/>
      <c r="Z468" s="1"/>
    </row>
    <row r="469" ht="12.75" customHeight="1">
      <c r="A469" s="1"/>
      <c r="B469" s="3"/>
      <c r="C469" s="3"/>
      <c r="D469" s="3"/>
      <c r="E469" s="3"/>
      <c r="F469" s="3"/>
      <c r="G469" s="3"/>
      <c r="H469" s="3"/>
      <c r="I469" s="3"/>
      <c r="J469" s="3"/>
      <c r="K469" s="3"/>
      <c r="L469" s="3"/>
      <c r="M469" s="3"/>
      <c r="N469" s="3"/>
      <c r="O469" s="3"/>
      <c r="P469" s="3"/>
      <c r="Q469" s="3"/>
      <c r="R469" s="3"/>
      <c r="S469" s="3"/>
      <c r="T469" s="3"/>
      <c r="U469" s="3"/>
      <c r="V469" s="3"/>
      <c r="W469" s="3"/>
      <c r="X469" s="1"/>
      <c r="Y469" s="1"/>
      <c r="Z469" s="1"/>
    </row>
    <row r="470" ht="12.75" customHeight="1">
      <c r="A470" s="1"/>
      <c r="B470" s="3"/>
      <c r="C470" s="3"/>
      <c r="D470" s="3"/>
      <c r="E470" s="3"/>
      <c r="F470" s="3"/>
      <c r="G470" s="3"/>
      <c r="H470" s="3"/>
      <c r="I470" s="3"/>
      <c r="J470" s="3"/>
      <c r="K470" s="3"/>
      <c r="L470" s="3"/>
      <c r="M470" s="3"/>
      <c r="N470" s="3"/>
      <c r="O470" s="3"/>
      <c r="P470" s="3"/>
      <c r="Q470" s="3"/>
      <c r="R470" s="3"/>
      <c r="S470" s="3"/>
      <c r="T470" s="3"/>
      <c r="U470" s="3"/>
      <c r="V470" s="3"/>
      <c r="W470" s="3"/>
      <c r="X470" s="1"/>
      <c r="Y470" s="1"/>
      <c r="Z470" s="1"/>
    </row>
    <row r="471" ht="12.75" customHeight="1">
      <c r="A471" s="1"/>
      <c r="B471" s="3"/>
      <c r="C471" s="3"/>
      <c r="D471" s="3"/>
      <c r="E471" s="3"/>
      <c r="F471" s="3"/>
      <c r="G471" s="3"/>
      <c r="H471" s="3"/>
      <c r="I471" s="3"/>
      <c r="J471" s="3"/>
      <c r="K471" s="3"/>
      <c r="L471" s="3"/>
      <c r="M471" s="3"/>
      <c r="N471" s="3"/>
      <c r="O471" s="3"/>
      <c r="P471" s="3"/>
      <c r="Q471" s="3"/>
      <c r="R471" s="3"/>
      <c r="S471" s="3"/>
      <c r="T471" s="3"/>
      <c r="U471" s="3"/>
      <c r="V471" s="3"/>
      <c r="W471" s="3"/>
      <c r="X471" s="1"/>
      <c r="Y471" s="1"/>
      <c r="Z471" s="1"/>
    </row>
    <row r="472" ht="12.75" customHeight="1">
      <c r="A472" s="1"/>
      <c r="B472" s="3"/>
      <c r="C472" s="3"/>
      <c r="D472" s="3"/>
      <c r="E472" s="3"/>
      <c r="F472" s="3"/>
      <c r="G472" s="3"/>
      <c r="H472" s="3"/>
      <c r="I472" s="3"/>
      <c r="J472" s="3"/>
      <c r="K472" s="3"/>
      <c r="L472" s="3"/>
      <c r="M472" s="3"/>
      <c r="N472" s="3"/>
      <c r="O472" s="3"/>
      <c r="P472" s="3"/>
      <c r="Q472" s="3"/>
      <c r="R472" s="3"/>
      <c r="S472" s="3"/>
      <c r="T472" s="3"/>
      <c r="U472" s="3"/>
      <c r="V472" s="3"/>
      <c r="W472" s="3"/>
      <c r="X472" s="1"/>
      <c r="Y472" s="1"/>
      <c r="Z472" s="1"/>
    </row>
    <row r="473" ht="12.75" customHeight="1">
      <c r="A473" s="1"/>
      <c r="B473" s="3"/>
      <c r="C473" s="3"/>
      <c r="D473" s="3"/>
      <c r="E473" s="3"/>
      <c r="F473" s="3"/>
      <c r="G473" s="3"/>
      <c r="H473" s="3"/>
      <c r="I473" s="3"/>
      <c r="J473" s="3"/>
      <c r="K473" s="3"/>
      <c r="L473" s="3"/>
      <c r="M473" s="3"/>
      <c r="N473" s="3"/>
      <c r="O473" s="3"/>
      <c r="P473" s="3"/>
      <c r="Q473" s="3"/>
      <c r="R473" s="3"/>
      <c r="S473" s="3"/>
      <c r="T473" s="3"/>
      <c r="U473" s="3"/>
      <c r="V473" s="3"/>
      <c r="W473" s="3"/>
      <c r="X473" s="1"/>
      <c r="Y473" s="1"/>
      <c r="Z473" s="1"/>
    </row>
    <row r="474" ht="12.75" customHeight="1">
      <c r="A474" s="1"/>
      <c r="B474" s="3"/>
      <c r="C474" s="3"/>
      <c r="D474" s="3"/>
      <c r="E474" s="3"/>
      <c r="F474" s="3"/>
      <c r="G474" s="3"/>
      <c r="H474" s="3"/>
      <c r="I474" s="3"/>
      <c r="J474" s="3"/>
      <c r="K474" s="3"/>
      <c r="L474" s="3"/>
      <c r="M474" s="3"/>
      <c r="N474" s="3"/>
      <c r="O474" s="3"/>
      <c r="P474" s="3"/>
      <c r="Q474" s="3"/>
      <c r="R474" s="3"/>
      <c r="S474" s="3"/>
      <c r="T474" s="3"/>
      <c r="U474" s="3"/>
      <c r="V474" s="3"/>
      <c r="W474" s="3"/>
      <c r="X474" s="1"/>
      <c r="Y474" s="1"/>
      <c r="Z474" s="1"/>
    </row>
    <row r="475" ht="12.75" customHeight="1">
      <c r="A475" s="1"/>
      <c r="B475" s="3"/>
      <c r="C475" s="3"/>
      <c r="D475" s="3"/>
      <c r="E475" s="3"/>
      <c r="F475" s="3"/>
      <c r="G475" s="3"/>
      <c r="H475" s="3"/>
      <c r="I475" s="3"/>
      <c r="J475" s="3"/>
      <c r="K475" s="3"/>
      <c r="L475" s="3"/>
      <c r="M475" s="3"/>
      <c r="N475" s="3"/>
      <c r="O475" s="3"/>
      <c r="P475" s="3"/>
      <c r="Q475" s="3"/>
      <c r="R475" s="3"/>
      <c r="S475" s="3"/>
      <c r="T475" s="3"/>
      <c r="U475" s="3"/>
      <c r="V475" s="3"/>
      <c r="W475" s="3"/>
      <c r="X475" s="1"/>
      <c r="Y475" s="1"/>
      <c r="Z475" s="1"/>
    </row>
    <row r="476" ht="12.75" customHeight="1">
      <c r="A476" s="1"/>
      <c r="B476" s="3"/>
      <c r="C476" s="3"/>
      <c r="D476" s="3"/>
      <c r="E476" s="3"/>
      <c r="F476" s="3"/>
      <c r="G476" s="3"/>
      <c r="H476" s="3"/>
      <c r="I476" s="3"/>
      <c r="J476" s="3"/>
      <c r="K476" s="3"/>
      <c r="L476" s="3"/>
      <c r="M476" s="3"/>
      <c r="N476" s="3"/>
      <c r="O476" s="3"/>
      <c r="P476" s="3"/>
      <c r="Q476" s="3"/>
      <c r="R476" s="3"/>
      <c r="S476" s="3"/>
      <c r="T476" s="3"/>
      <c r="U476" s="3"/>
      <c r="V476" s="3"/>
      <c r="W476" s="3"/>
      <c r="X476" s="1"/>
      <c r="Y476" s="1"/>
      <c r="Z476" s="1"/>
    </row>
    <row r="477" ht="12.75" customHeight="1">
      <c r="A477" s="1"/>
      <c r="B477" s="3"/>
      <c r="C477" s="3"/>
      <c r="D477" s="3"/>
      <c r="E477" s="3"/>
      <c r="F477" s="3"/>
      <c r="G477" s="3"/>
      <c r="H477" s="3"/>
      <c r="I477" s="3"/>
      <c r="J477" s="3"/>
      <c r="K477" s="3"/>
      <c r="L477" s="3"/>
      <c r="M477" s="3"/>
      <c r="N477" s="3"/>
      <c r="O477" s="3"/>
      <c r="P477" s="3"/>
      <c r="Q477" s="3"/>
      <c r="R477" s="3"/>
      <c r="S477" s="3"/>
      <c r="T477" s="3"/>
      <c r="U477" s="3"/>
      <c r="V477" s="3"/>
      <c r="W477" s="3"/>
      <c r="X477" s="1"/>
      <c r="Y477" s="1"/>
      <c r="Z477" s="1"/>
    </row>
    <row r="478" ht="12.75" customHeight="1">
      <c r="A478" s="1"/>
      <c r="B478" s="3"/>
      <c r="C478" s="3"/>
      <c r="D478" s="3"/>
      <c r="E478" s="3"/>
      <c r="F478" s="3"/>
      <c r="G478" s="3"/>
      <c r="H478" s="3"/>
      <c r="I478" s="3"/>
      <c r="J478" s="3"/>
      <c r="K478" s="3"/>
      <c r="L478" s="3"/>
      <c r="M478" s="3"/>
      <c r="N478" s="3"/>
      <c r="O478" s="3"/>
      <c r="P478" s="3"/>
      <c r="Q478" s="3"/>
      <c r="R478" s="3"/>
      <c r="S478" s="3"/>
      <c r="T478" s="3"/>
      <c r="U478" s="3"/>
      <c r="V478" s="3"/>
      <c r="W478" s="3"/>
      <c r="X478" s="1"/>
      <c r="Y478" s="1"/>
      <c r="Z478" s="1"/>
    </row>
    <row r="479" ht="12.75" customHeight="1">
      <c r="A479" s="1"/>
      <c r="B479" s="3"/>
      <c r="C479" s="3"/>
      <c r="D479" s="3"/>
      <c r="E479" s="3"/>
      <c r="F479" s="3"/>
      <c r="G479" s="3"/>
      <c r="H479" s="3"/>
      <c r="I479" s="3"/>
      <c r="J479" s="3"/>
      <c r="K479" s="3"/>
      <c r="L479" s="3"/>
      <c r="M479" s="3"/>
      <c r="N479" s="3"/>
      <c r="O479" s="3"/>
      <c r="P479" s="3"/>
      <c r="Q479" s="3"/>
      <c r="R479" s="3"/>
      <c r="S479" s="3"/>
      <c r="T479" s="3"/>
      <c r="U479" s="3"/>
      <c r="V479" s="3"/>
      <c r="W479" s="3"/>
      <c r="X479" s="1"/>
      <c r="Y479" s="1"/>
      <c r="Z479" s="1"/>
    </row>
    <row r="480" ht="12.75" customHeight="1">
      <c r="A480" s="1"/>
      <c r="B480" s="3"/>
      <c r="C480" s="3"/>
      <c r="D480" s="3"/>
      <c r="E480" s="3"/>
      <c r="F480" s="3"/>
      <c r="G480" s="3"/>
      <c r="H480" s="3"/>
      <c r="I480" s="3"/>
      <c r="J480" s="3"/>
      <c r="K480" s="3"/>
      <c r="L480" s="3"/>
      <c r="M480" s="3"/>
      <c r="N480" s="3"/>
      <c r="O480" s="3"/>
      <c r="P480" s="3"/>
      <c r="Q480" s="3"/>
      <c r="R480" s="3"/>
      <c r="S480" s="3"/>
      <c r="T480" s="3"/>
      <c r="U480" s="3"/>
      <c r="V480" s="3"/>
      <c r="W480" s="3"/>
      <c r="X480" s="1"/>
      <c r="Y480" s="1"/>
      <c r="Z480" s="1"/>
    </row>
    <row r="481" ht="12.75" customHeight="1">
      <c r="A481" s="1"/>
      <c r="B481" s="3"/>
      <c r="C481" s="3"/>
      <c r="D481" s="3"/>
      <c r="E481" s="3"/>
      <c r="F481" s="3"/>
      <c r="G481" s="3"/>
      <c r="H481" s="3"/>
      <c r="I481" s="3"/>
      <c r="J481" s="3"/>
      <c r="K481" s="3"/>
      <c r="L481" s="3"/>
      <c r="M481" s="3"/>
      <c r="N481" s="3"/>
      <c r="O481" s="3"/>
      <c r="P481" s="3"/>
      <c r="Q481" s="3"/>
      <c r="R481" s="3"/>
      <c r="S481" s="3"/>
      <c r="T481" s="3"/>
      <c r="U481" s="3"/>
      <c r="V481" s="3"/>
      <c r="W481" s="3"/>
      <c r="X481" s="1"/>
      <c r="Y481" s="1"/>
      <c r="Z481" s="1"/>
    </row>
    <row r="482" ht="12.75" customHeight="1">
      <c r="A482" s="1"/>
      <c r="B482" s="3"/>
      <c r="C482" s="3"/>
      <c r="D482" s="3"/>
      <c r="E482" s="3"/>
      <c r="F482" s="3"/>
      <c r="G482" s="3"/>
      <c r="H482" s="3"/>
      <c r="I482" s="3"/>
      <c r="J482" s="3"/>
      <c r="K482" s="3"/>
      <c r="L482" s="3"/>
      <c r="M482" s="3"/>
      <c r="N482" s="3"/>
      <c r="O482" s="3"/>
      <c r="P482" s="3"/>
      <c r="Q482" s="3"/>
      <c r="R482" s="3"/>
      <c r="S482" s="3"/>
      <c r="T482" s="3"/>
      <c r="U482" s="3"/>
      <c r="V482" s="3"/>
      <c r="W482" s="3"/>
      <c r="X482" s="1"/>
      <c r="Y482" s="1"/>
      <c r="Z482" s="1"/>
    </row>
    <row r="483" ht="12.75" customHeight="1">
      <c r="A483" s="1"/>
      <c r="B483" s="3"/>
      <c r="C483" s="3"/>
      <c r="D483" s="3"/>
      <c r="E483" s="3"/>
      <c r="F483" s="3"/>
      <c r="G483" s="3"/>
      <c r="H483" s="3"/>
      <c r="I483" s="3"/>
      <c r="J483" s="3"/>
      <c r="K483" s="3"/>
      <c r="L483" s="3"/>
      <c r="M483" s="3"/>
      <c r="N483" s="3"/>
      <c r="O483" s="3"/>
      <c r="P483" s="3"/>
      <c r="Q483" s="3"/>
      <c r="R483" s="3"/>
      <c r="S483" s="3"/>
      <c r="T483" s="3"/>
      <c r="U483" s="3"/>
      <c r="V483" s="3"/>
      <c r="W483" s="3"/>
      <c r="X483" s="1"/>
      <c r="Y483" s="1"/>
      <c r="Z483" s="1"/>
    </row>
    <row r="484" ht="12.75" customHeight="1">
      <c r="A484" s="1"/>
      <c r="B484" s="3"/>
      <c r="C484" s="3"/>
      <c r="D484" s="3"/>
      <c r="E484" s="3"/>
      <c r="F484" s="3"/>
      <c r="G484" s="3"/>
      <c r="H484" s="3"/>
      <c r="I484" s="3"/>
      <c r="J484" s="3"/>
      <c r="K484" s="3"/>
      <c r="L484" s="3"/>
      <c r="M484" s="3"/>
      <c r="N484" s="3"/>
      <c r="O484" s="3"/>
      <c r="P484" s="3"/>
      <c r="Q484" s="3"/>
      <c r="R484" s="3"/>
      <c r="S484" s="3"/>
      <c r="T484" s="3"/>
      <c r="U484" s="3"/>
      <c r="V484" s="3"/>
      <c r="W484" s="3"/>
      <c r="X484" s="1"/>
      <c r="Y484" s="1"/>
      <c r="Z484" s="1"/>
    </row>
    <row r="485" ht="12.75" customHeight="1">
      <c r="A485" s="1"/>
      <c r="B485" s="3"/>
      <c r="C485" s="3"/>
      <c r="D485" s="3"/>
      <c r="E485" s="3"/>
      <c r="F485" s="3"/>
      <c r="G485" s="3"/>
      <c r="H485" s="3"/>
      <c r="I485" s="3"/>
      <c r="J485" s="3"/>
      <c r="K485" s="3"/>
      <c r="L485" s="3"/>
      <c r="M485" s="3"/>
      <c r="N485" s="3"/>
      <c r="O485" s="3"/>
      <c r="P485" s="3"/>
      <c r="Q485" s="3"/>
      <c r="R485" s="3"/>
      <c r="S485" s="3"/>
      <c r="T485" s="3"/>
      <c r="U485" s="3"/>
      <c r="V485" s="3"/>
      <c r="W485" s="3"/>
      <c r="X485" s="1"/>
      <c r="Y485" s="1"/>
      <c r="Z485" s="1"/>
    </row>
    <row r="486" ht="12.75" customHeight="1">
      <c r="A486" s="1"/>
      <c r="B486" s="3"/>
      <c r="C486" s="3"/>
      <c r="D486" s="3"/>
      <c r="E486" s="3"/>
      <c r="F486" s="3"/>
      <c r="G486" s="3"/>
      <c r="H486" s="3"/>
      <c r="I486" s="3"/>
      <c r="J486" s="3"/>
      <c r="K486" s="3"/>
      <c r="L486" s="3"/>
      <c r="M486" s="3"/>
      <c r="N486" s="3"/>
      <c r="O486" s="3"/>
      <c r="P486" s="3"/>
      <c r="Q486" s="3"/>
      <c r="R486" s="3"/>
      <c r="S486" s="3"/>
      <c r="T486" s="3"/>
      <c r="U486" s="3"/>
      <c r="V486" s="3"/>
      <c r="W486" s="3"/>
      <c r="X486" s="1"/>
      <c r="Y486" s="1"/>
      <c r="Z486" s="1"/>
    </row>
    <row r="487" ht="12.75" customHeight="1">
      <c r="A487" s="1"/>
      <c r="B487" s="3"/>
      <c r="C487" s="3"/>
      <c r="D487" s="3"/>
      <c r="E487" s="3"/>
      <c r="F487" s="3"/>
      <c r="G487" s="3"/>
      <c r="H487" s="3"/>
      <c r="I487" s="3"/>
      <c r="J487" s="3"/>
      <c r="K487" s="3"/>
      <c r="L487" s="3"/>
      <c r="M487" s="3"/>
      <c r="N487" s="3"/>
      <c r="O487" s="3"/>
      <c r="P487" s="3"/>
      <c r="Q487" s="3"/>
      <c r="R487" s="3"/>
      <c r="S487" s="3"/>
      <c r="T487" s="3"/>
      <c r="U487" s="3"/>
      <c r="V487" s="3"/>
      <c r="W487" s="3"/>
      <c r="X487" s="1"/>
      <c r="Y487" s="1"/>
      <c r="Z487" s="1"/>
    </row>
    <row r="488" ht="12.75" customHeight="1">
      <c r="A488" s="1"/>
      <c r="B488" s="3"/>
      <c r="C488" s="3"/>
      <c r="D488" s="3"/>
      <c r="E488" s="3"/>
      <c r="F488" s="3"/>
      <c r="G488" s="3"/>
      <c r="H488" s="3"/>
      <c r="I488" s="3"/>
      <c r="J488" s="3"/>
      <c r="K488" s="3"/>
      <c r="L488" s="3"/>
      <c r="M488" s="3"/>
      <c r="N488" s="3"/>
      <c r="O488" s="3"/>
      <c r="P488" s="3"/>
      <c r="Q488" s="3"/>
      <c r="R488" s="3"/>
      <c r="S488" s="3"/>
      <c r="T488" s="3"/>
      <c r="U488" s="3"/>
      <c r="V488" s="3"/>
      <c r="W488" s="3"/>
      <c r="X488" s="1"/>
      <c r="Y488" s="1"/>
      <c r="Z488" s="1"/>
    </row>
    <row r="489" ht="12.75" customHeight="1">
      <c r="A489" s="1"/>
      <c r="B489" s="3"/>
      <c r="C489" s="3"/>
      <c r="D489" s="3"/>
      <c r="E489" s="3"/>
      <c r="F489" s="3"/>
      <c r="G489" s="3"/>
      <c r="H489" s="3"/>
      <c r="I489" s="3"/>
      <c r="J489" s="3"/>
      <c r="K489" s="3"/>
      <c r="L489" s="3"/>
      <c r="M489" s="3"/>
      <c r="N489" s="3"/>
      <c r="O489" s="3"/>
      <c r="P489" s="3"/>
      <c r="Q489" s="3"/>
      <c r="R489" s="3"/>
      <c r="S489" s="3"/>
      <c r="T489" s="3"/>
      <c r="U489" s="3"/>
      <c r="V489" s="3"/>
      <c r="W489" s="3"/>
      <c r="X489" s="1"/>
      <c r="Y489" s="1"/>
      <c r="Z489" s="1"/>
    </row>
    <row r="490" ht="12.75" customHeight="1">
      <c r="A490" s="1"/>
      <c r="B490" s="3"/>
      <c r="C490" s="3"/>
      <c r="D490" s="3"/>
      <c r="E490" s="3"/>
      <c r="F490" s="3"/>
      <c r="G490" s="3"/>
      <c r="H490" s="3"/>
      <c r="I490" s="3"/>
      <c r="J490" s="3"/>
      <c r="K490" s="3"/>
      <c r="L490" s="3"/>
      <c r="M490" s="3"/>
      <c r="N490" s="3"/>
      <c r="O490" s="3"/>
      <c r="P490" s="3"/>
      <c r="Q490" s="3"/>
      <c r="R490" s="3"/>
      <c r="S490" s="3"/>
      <c r="T490" s="3"/>
      <c r="U490" s="3"/>
      <c r="V490" s="3"/>
      <c r="W490" s="3"/>
      <c r="X490" s="1"/>
      <c r="Y490" s="1"/>
      <c r="Z490" s="1"/>
    </row>
    <row r="491" ht="12.75" customHeight="1">
      <c r="A491" s="1"/>
      <c r="B491" s="3"/>
      <c r="C491" s="3"/>
      <c r="D491" s="3"/>
      <c r="E491" s="3"/>
      <c r="F491" s="3"/>
      <c r="G491" s="3"/>
      <c r="H491" s="3"/>
      <c r="I491" s="3"/>
      <c r="J491" s="3"/>
      <c r="K491" s="3"/>
      <c r="L491" s="3"/>
      <c r="M491" s="3"/>
      <c r="N491" s="3"/>
      <c r="O491" s="3"/>
      <c r="P491" s="3"/>
      <c r="Q491" s="3"/>
      <c r="R491" s="3"/>
      <c r="S491" s="3"/>
      <c r="T491" s="3"/>
      <c r="U491" s="3"/>
      <c r="V491" s="3"/>
      <c r="W491" s="3"/>
      <c r="X491" s="1"/>
      <c r="Y491" s="1"/>
      <c r="Z491" s="1"/>
    </row>
    <row r="492" ht="12.75" customHeight="1">
      <c r="A492" s="1"/>
      <c r="B492" s="3"/>
      <c r="C492" s="3"/>
      <c r="D492" s="3"/>
      <c r="E492" s="3"/>
      <c r="F492" s="3"/>
      <c r="G492" s="3"/>
      <c r="H492" s="3"/>
      <c r="I492" s="3"/>
      <c r="J492" s="3"/>
      <c r="K492" s="3"/>
      <c r="L492" s="3"/>
      <c r="M492" s="3"/>
      <c r="N492" s="3"/>
      <c r="O492" s="3"/>
      <c r="P492" s="3"/>
      <c r="Q492" s="3"/>
      <c r="R492" s="3"/>
      <c r="S492" s="3"/>
      <c r="T492" s="3"/>
      <c r="U492" s="3"/>
      <c r="V492" s="3"/>
      <c r="W492" s="3"/>
      <c r="X492" s="1"/>
      <c r="Y492" s="1"/>
      <c r="Z492" s="1"/>
    </row>
    <row r="493" ht="12.75" customHeight="1">
      <c r="A493" s="1"/>
      <c r="B493" s="3"/>
      <c r="C493" s="3"/>
      <c r="D493" s="3"/>
      <c r="E493" s="3"/>
      <c r="F493" s="3"/>
      <c r="G493" s="3"/>
      <c r="H493" s="3"/>
      <c r="I493" s="3"/>
      <c r="J493" s="3"/>
      <c r="K493" s="3"/>
      <c r="L493" s="3"/>
      <c r="M493" s="3"/>
      <c r="N493" s="3"/>
      <c r="O493" s="3"/>
      <c r="P493" s="3"/>
      <c r="Q493" s="3"/>
      <c r="R493" s="3"/>
      <c r="S493" s="3"/>
      <c r="T493" s="3"/>
      <c r="U493" s="3"/>
      <c r="V493" s="3"/>
      <c r="W493" s="3"/>
      <c r="X493" s="1"/>
      <c r="Y493" s="1"/>
      <c r="Z493" s="1"/>
    </row>
    <row r="494" ht="12.75" customHeight="1">
      <c r="A494" s="1"/>
      <c r="B494" s="3"/>
      <c r="C494" s="3"/>
      <c r="D494" s="3"/>
      <c r="E494" s="3"/>
      <c r="F494" s="3"/>
      <c r="G494" s="3"/>
      <c r="H494" s="3"/>
      <c r="I494" s="3"/>
      <c r="J494" s="3"/>
      <c r="K494" s="3"/>
      <c r="L494" s="3"/>
      <c r="M494" s="3"/>
      <c r="N494" s="3"/>
      <c r="O494" s="3"/>
      <c r="P494" s="3"/>
      <c r="Q494" s="3"/>
      <c r="R494" s="3"/>
      <c r="S494" s="3"/>
      <c r="T494" s="3"/>
      <c r="U494" s="3"/>
      <c r="V494" s="3"/>
      <c r="W494" s="3"/>
      <c r="X494" s="1"/>
      <c r="Y494" s="1"/>
      <c r="Z494" s="1"/>
    </row>
    <row r="495" ht="12.75" customHeight="1">
      <c r="A495" s="1"/>
      <c r="B495" s="3"/>
      <c r="C495" s="3"/>
      <c r="D495" s="3"/>
      <c r="E495" s="3"/>
      <c r="F495" s="3"/>
      <c r="G495" s="3"/>
      <c r="H495" s="3"/>
      <c r="I495" s="3"/>
      <c r="J495" s="3"/>
      <c r="K495" s="3"/>
      <c r="L495" s="3"/>
      <c r="M495" s="3"/>
      <c r="N495" s="3"/>
      <c r="O495" s="3"/>
      <c r="P495" s="3"/>
      <c r="Q495" s="3"/>
      <c r="R495" s="3"/>
      <c r="S495" s="3"/>
      <c r="T495" s="3"/>
      <c r="U495" s="3"/>
      <c r="V495" s="3"/>
      <c r="W495" s="3"/>
      <c r="X495" s="1"/>
      <c r="Y495" s="1"/>
      <c r="Z495" s="1"/>
    </row>
    <row r="496" ht="12.75" customHeight="1">
      <c r="A496" s="1"/>
      <c r="B496" s="3"/>
      <c r="C496" s="3"/>
      <c r="D496" s="3"/>
      <c r="E496" s="3"/>
      <c r="F496" s="3"/>
      <c r="G496" s="3"/>
      <c r="H496" s="3"/>
      <c r="I496" s="3"/>
      <c r="J496" s="3"/>
      <c r="K496" s="3"/>
      <c r="L496" s="3"/>
      <c r="M496" s="3"/>
      <c r="N496" s="3"/>
      <c r="O496" s="3"/>
      <c r="P496" s="3"/>
      <c r="Q496" s="3"/>
      <c r="R496" s="3"/>
      <c r="S496" s="3"/>
      <c r="T496" s="3"/>
      <c r="U496" s="3"/>
      <c r="V496" s="3"/>
      <c r="W496" s="3"/>
      <c r="X496" s="1"/>
      <c r="Y496" s="1"/>
      <c r="Z496" s="1"/>
    </row>
    <row r="497" ht="12.75" customHeight="1">
      <c r="A497" s="1"/>
      <c r="B497" s="3"/>
      <c r="C497" s="3"/>
      <c r="D497" s="3"/>
      <c r="E497" s="3"/>
      <c r="F497" s="3"/>
      <c r="G497" s="3"/>
      <c r="H497" s="3"/>
      <c r="I497" s="3"/>
      <c r="J497" s="3"/>
      <c r="K497" s="3"/>
      <c r="L497" s="3"/>
      <c r="M497" s="3"/>
      <c r="N497" s="3"/>
      <c r="O497" s="3"/>
      <c r="P497" s="3"/>
      <c r="Q497" s="3"/>
      <c r="R497" s="3"/>
      <c r="S497" s="3"/>
      <c r="T497" s="3"/>
      <c r="U497" s="3"/>
      <c r="V497" s="3"/>
      <c r="W497" s="3"/>
      <c r="X497" s="1"/>
      <c r="Y497" s="1"/>
      <c r="Z497" s="1"/>
    </row>
    <row r="498" ht="12.75" customHeight="1">
      <c r="A498" s="1"/>
      <c r="B498" s="3"/>
      <c r="C498" s="3"/>
      <c r="D498" s="3"/>
      <c r="E498" s="3"/>
      <c r="F498" s="3"/>
      <c r="G498" s="3"/>
      <c r="H498" s="3"/>
      <c r="I498" s="3"/>
      <c r="J498" s="3"/>
      <c r="K498" s="3"/>
      <c r="L498" s="3"/>
      <c r="M498" s="3"/>
      <c r="N498" s="3"/>
      <c r="O498" s="3"/>
      <c r="P498" s="3"/>
      <c r="Q498" s="3"/>
      <c r="R498" s="3"/>
      <c r="S498" s="3"/>
      <c r="T498" s="3"/>
      <c r="U498" s="3"/>
      <c r="V498" s="3"/>
      <c r="W498" s="3"/>
      <c r="X498" s="1"/>
      <c r="Y498" s="1"/>
      <c r="Z498" s="1"/>
    </row>
    <row r="499" ht="12.75" customHeight="1">
      <c r="A499" s="1"/>
      <c r="B499" s="3"/>
      <c r="C499" s="3"/>
      <c r="D499" s="3"/>
      <c r="E499" s="3"/>
      <c r="F499" s="3"/>
      <c r="G499" s="3"/>
      <c r="H499" s="3"/>
      <c r="I499" s="3"/>
      <c r="J499" s="3"/>
      <c r="K499" s="3"/>
      <c r="L499" s="3"/>
      <c r="M499" s="3"/>
      <c r="N499" s="3"/>
      <c r="O499" s="3"/>
      <c r="P499" s="3"/>
      <c r="Q499" s="3"/>
      <c r="R499" s="3"/>
      <c r="S499" s="3"/>
      <c r="T499" s="3"/>
      <c r="U499" s="3"/>
      <c r="V499" s="3"/>
      <c r="W499" s="3"/>
      <c r="X499" s="1"/>
      <c r="Y499" s="1"/>
      <c r="Z499" s="1"/>
    </row>
    <row r="500" ht="12.75" customHeight="1">
      <c r="A500" s="1"/>
      <c r="B500" s="3"/>
      <c r="C500" s="3"/>
      <c r="D500" s="3"/>
      <c r="E500" s="3"/>
      <c r="F500" s="3"/>
      <c r="G500" s="3"/>
      <c r="H500" s="3"/>
      <c r="I500" s="3"/>
      <c r="J500" s="3"/>
      <c r="K500" s="3"/>
      <c r="L500" s="3"/>
      <c r="M500" s="3"/>
      <c r="N500" s="3"/>
      <c r="O500" s="3"/>
      <c r="P500" s="3"/>
      <c r="Q500" s="3"/>
      <c r="R500" s="3"/>
      <c r="S500" s="3"/>
      <c r="T500" s="3"/>
      <c r="U500" s="3"/>
      <c r="V500" s="3"/>
      <c r="W500" s="3"/>
      <c r="X500" s="1"/>
      <c r="Y500" s="1"/>
      <c r="Z500" s="1"/>
    </row>
    <row r="501" ht="12.75" customHeight="1">
      <c r="A501" s="1"/>
      <c r="B501" s="3"/>
      <c r="C501" s="3"/>
      <c r="D501" s="3"/>
      <c r="E501" s="3"/>
      <c r="F501" s="3"/>
      <c r="G501" s="3"/>
      <c r="H501" s="3"/>
      <c r="I501" s="3"/>
      <c r="J501" s="3"/>
      <c r="K501" s="3"/>
      <c r="L501" s="3"/>
      <c r="M501" s="3"/>
      <c r="N501" s="3"/>
      <c r="O501" s="3"/>
      <c r="P501" s="3"/>
      <c r="Q501" s="3"/>
      <c r="R501" s="3"/>
      <c r="S501" s="3"/>
      <c r="T501" s="3"/>
      <c r="U501" s="3"/>
      <c r="V501" s="3"/>
      <c r="W501" s="3"/>
      <c r="X501" s="1"/>
      <c r="Y501" s="1"/>
      <c r="Z501" s="1"/>
    </row>
    <row r="502" ht="12.75" customHeight="1">
      <c r="A502" s="1"/>
      <c r="B502" s="3"/>
      <c r="C502" s="3"/>
      <c r="D502" s="3"/>
      <c r="E502" s="3"/>
      <c r="F502" s="3"/>
      <c r="G502" s="3"/>
      <c r="H502" s="3"/>
      <c r="I502" s="3"/>
      <c r="J502" s="3"/>
      <c r="K502" s="3"/>
      <c r="L502" s="3"/>
      <c r="M502" s="3"/>
      <c r="N502" s="3"/>
      <c r="O502" s="3"/>
      <c r="P502" s="3"/>
      <c r="Q502" s="3"/>
      <c r="R502" s="3"/>
      <c r="S502" s="3"/>
      <c r="T502" s="3"/>
      <c r="U502" s="3"/>
      <c r="V502" s="3"/>
      <c r="W502" s="3"/>
      <c r="X502" s="1"/>
      <c r="Y502" s="1"/>
      <c r="Z502" s="1"/>
    </row>
    <row r="503" ht="12.75" customHeight="1">
      <c r="A503" s="1"/>
      <c r="B503" s="3"/>
      <c r="C503" s="3"/>
      <c r="D503" s="3"/>
      <c r="E503" s="3"/>
      <c r="F503" s="3"/>
      <c r="G503" s="3"/>
      <c r="H503" s="3"/>
      <c r="I503" s="3"/>
      <c r="J503" s="3"/>
      <c r="K503" s="3"/>
      <c r="L503" s="3"/>
      <c r="M503" s="3"/>
      <c r="N503" s="3"/>
      <c r="O503" s="3"/>
      <c r="P503" s="3"/>
      <c r="Q503" s="3"/>
      <c r="R503" s="3"/>
      <c r="S503" s="3"/>
      <c r="T503" s="3"/>
      <c r="U503" s="3"/>
      <c r="V503" s="3"/>
      <c r="W503" s="3"/>
      <c r="X503" s="1"/>
      <c r="Y503" s="1"/>
      <c r="Z503" s="1"/>
    </row>
    <row r="504" ht="12.75" customHeight="1">
      <c r="A504" s="1"/>
      <c r="B504" s="3"/>
      <c r="C504" s="3"/>
      <c r="D504" s="3"/>
      <c r="E504" s="3"/>
      <c r="F504" s="3"/>
      <c r="G504" s="3"/>
      <c r="H504" s="3"/>
      <c r="I504" s="3"/>
      <c r="J504" s="3"/>
      <c r="K504" s="3"/>
      <c r="L504" s="3"/>
      <c r="M504" s="3"/>
      <c r="N504" s="3"/>
      <c r="O504" s="3"/>
      <c r="P504" s="3"/>
      <c r="Q504" s="3"/>
      <c r="R504" s="3"/>
      <c r="S504" s="3"/>
      <c r="T504" s="3"/>
      <c r="U504" s="3"/>
      <c r="V504" s="3"/>
      <c r="W504" s="3"/>
      <c r="X504" s="1"/>
      <c r="Y504" s="1"/>
      <c r="Z504" s="1"/>
    </row>
    <row r="505" ht="12.75" customHeight="1">
      <c r="A505" s="1"/>
      <c r="B505" s="3"/>
      <c r="C505" s="3"/>
      <c r="D505" s="3"/>
      <c r="E505" s="3"/>
      <c r="F505" s="3"/>
      <c r="G505" s="3"/>
      <c r="H505" s="3"/>
      <c r="I505" s="3"/>
      <c r="J505" s="3"/>
      <c r="K505" s="3"/>
      <c r="L505" s="3"/>
      <c r="M505" s="3"/>
      <c r="N505" s="3"/>
      <c r="O505" s="3"/>
      <c r="P505" s="3"/>
      <c r="Q505" s="3"/>
      <c r="R505" s="3"/>
      <c r="S505" s="3"/>
      <c r="T505" s="3"/>
      <c r="U505" s="3"/>
      <c r="V505" s="3"/>
      <c r="W505" s="3"/>
      <c r="X505" s="1"/>
      <c r="Y505" s="1"/>
      <c r="Z505" s="1"/>
    </row>
    <row r="506" ht="12.75" customHeight="1">
      <c r="A506" s="1"/>
      <c r="B506" s="3"/>
      <c r="C506" s="3"/>
      <c r="D506" s="3"/>
      <c r="E506" s="3"/>
      <c r="F506" s="3"/>
      <c r="G506" s="3"/>
      <c r="H506" s="3"/>
      <c r="I506" s="3"/>
      <c r="J506" s="3"/>
      <c r="K506" s="3"/>
      <c r="L506" s="3"/>
      <c r="M506" s="3"/>
      <c r="N506" s="3"/>
      <c r="O506" s="3"/>
      <c r="P506" s="3"/>
      <c r="Q506" s="3"/>
      <c r="R506" s="3"/>
      <c r="S506" s="3"/>
      <c r="T506" s="3"/>
      <c r="U506" s="3"/>
      <c r="V506" s="3"/>
      <c r="W506" s="3"/>
      <c r="X506" s="1"/>
      <c r="Y506" s="1"/>
      <c r="Z506" s="1"/>
    </row>
    <row r="507" ht="12.75" customHeight="1">
      <c r="A507" s="1"/>
      <c r="B507" s="3"/>
      <c r="C507" s="3"/>
      <c r="D507" s="3"/>
      <c r="E507" s="3"/>
      <c r="F507" s="3"/>
      <c r="G507" s="3"/>
      <c r="H507" s="3"/>
      <c r="I507" s="3"/>
      <c r="J507" s="3"/>
      <c r="K507" s="3"/>
      <c r="L507" s="3"/>
      <c r="M507" s="3"/>
      <c r="N507" s="3"/>
      <c r="O507" s="3"/>
      <c r="P507" s="3"/>
      <c r="Q507" s="3"/>
      <c r="R507" s="3"/>
      <c r="S507" s="3"/>
      <c r="T507" s="3"/>
      <c r="U507" s="3"/>
      <c r="V507" s="3"/>
      <c r="W507" s="3"/>
      <c r="X507" s="1"/>
      <c r="Y507" s="1"/>
      <c r="Z507" s="1"/>
    </row>
    <row r="508" ht="12.75" customHeight="1">
      <c r="A508" s="1"/>
      <c r="B508" s="3"/>
      <c r="C508" s="3"/>
      <c r="D508" s="3"/>
      <c r="E508" s="3"/>
      <c r="F508" s="3"/>
      <c r="G508" s="3"/>
      <c r="H508" s="3"/>
      <c r="I508" s="3"/>
      <c r="J508" s="3"/>
      <c r="K508" s="3"/>
      <c r="L508" s="3"/>
      <c r="M508" s="3"/>
      <c r="N508" s="3"/>
      <c r="O508" s="3"/>
      <c r="P508" s="3"/>
      <c r="Q508" s="3"/>
      <c r="R508" s="3"/>
      <c r="S508" s="3"/>
      <c r="T508" s="3"/>
      <c r="U508" s="3"/>
      <c r="V508" s="3"/>
      <c r="W508" s="3"/>
      <c r="X508" s="1"/>
      <c r="Y508" s="1"/>
      <c r="Z508" s="1"/>
    </row>
    <row r="509" ht="12.75" customHeight="1">
      <c r="A509" s="1"/>
      <c r="B509" s="3"/>
      <c r="C509" s="3"/>
      <c r="D509" s="3"/>
      <c r="E509" s="3"/>
      <c r="F509" s="3"/>
      <c r="G509" s="3"/>
      <c r="H509" s="3"/>
      <c r="I509" s="3"/>
      <c r="J509" s="3"/>
      <c r="K509" s="3"/>
      <c r="L509" s="3"/>
      <c r="M509" s="3"/>
      <c r="N509" s="3"/>
      <c r="O509" s="3"/>
      <c r="P509" s="3"/>
      <c r="Q509" s="3"/>
      <c r="R509" s="3"/>
      <c r="S509" s="3"/>
      <c r="T509" s="3"/>
      <c r="U509" s="3"/>
      <c r="V509" s="3"/>
      <c r="W509" s="3"/>
      <c r="X509" s="1"/>
      <c r="Y509" s="1"/>
      <c r="Z509" s="1"/>
    </row>
    <row r="510" ht="12.75" customHeight="1">
      <c r="A510" s="1"/>
      <c r="B510" s="3"/>
      <c r="C510" s="3"/>
      <c r="D510" s="3"/>
      <c r="E510" s="3"/>
      <c r="F510" s="3"/>
      <c r="G510" s="3"/>
      <c r="H510" s="3"/>
      <c r="I510" s="3"/>
      <c r="J510" s="3"/>
      <c r="K510" s="3"/>
      <c r="L510" s="3"/>
      <c r="M510" s="3"/>
      <c r="N510" s="3"/>
      <c r="O510" s="3"/>
      <c r="P510" s="3"/>
      <c r="Q510" s="3"/>
      <c r="R510" s="3"/>
      <c r="S510" s="3"/>
      <c r="T510" s="3"/>
      <c r="U510" s="3"/>
      <c r="V510" s="3"/>
      <c r="W510" s="3"/>
      <c r="X510" s="1"/>
      <c r="Y510" s="1"/>
      <c r="Z510" s="1"/>
    </row>
    <row r="511" ht="12.75" customHeight="1">
      <c r="A511" s="1"/>
      <c r="B511" s="3"/>
      <c r="C511" s="3"/>
      <c r="D511" s="3"/>
      <c r="E511" s="3"/>
      <c r="F511" s="3"/>
      <c r="G511" s="3"/>
      <c r="H511" s="3"/>
      <c r="I511" s="3"/>
      <c r="J511" s="3"/>
      <c r="K511" s="3"/>
      <c r="L511" s="3"/>
      <c r="M511" s="3"/>
      <c r="N511" s="3"/>
      <c r="O511" s="3"/>
      <c r="P511" s="3"/>
      <c r="Q511" s="3"/>
      <c r="R511" s="3"/>
      <c r="S511" s="3"/>
      <c r="T511" s="3"/>
      <c r="U511" s="3"/>
      <c r="V511" s="3"/>
      <c r="W511" s="3"/>
      <c r="X511" s="1"/>
      <c r="Y511" s="1"/>
      <c r="Z511" s="1"/>
    </row>
    <row r="512" ht="12.75" customHeight="1">
      <c r="A512" s="1"/>
      <c r="B512" s="3"/>
      <c r="C512" s="3"/>
      <c r="D512" s="3"/>
      <c r="E512" s="3"/>
      <c r="F512" s="3"/>
      <c r="G512" s="3"/>
      <c r="H512" s="3"/>
      <c r="I512" s="3"/>
      <c r="J512" s="3"/>
      <c r="K512" s="3"/>
      <c r="L512" s="3"/>
      <c r="M512" s="3"/>
      <c r="N512" s="3"/>
      <c r="O512" s="3"/>
      <c r="P512" s="3"/>
      <c r="Q512" s="3"/>
      <c r="R512" s="3"/>
      <c r="S512" s="3"/>
      <c r="T512" s="3"/>
      <c r="U512" s="3"/>
      <c r="V512" s="3"/>
      <c r="W512" s="3"/>
      <c r="X512" s="1"/>
      <c r="Y512" s="1"/>
      <c r="Z512" s="1"/>
    </row>
    <row r="513" ht="12.75" customHeight="1">
      <c r="A513" s="1"/>
      <c r="B513" s="3"/>
      <c r="C513" s="3"/>
      <c r="D513" s="3"/>
      <c r="E513" s="3"/>
      <c r="F513" s="3"/>
      <c r="G513" s="3"/>
      <c r="H513" s="3"/>
      <c r="I513" s="3"/>
      <c r="J513" s="3"/>
      <c r="K513" s="3"/>
      <c r="L513" s="3"/>
      <c r="M513" s="3"/>
      <c r="N513" s="3"/>
      <c r="O513" s="3"/>
      <c r="P513" s="3"/>
      <c r="Q513" s="3"/>
      <c r="R513" s="3"/>
      <c r="S513" s="3"/>
      <c r="T513" s="3"/>
      <c r="U513" s="3"/>
      <c r="V513" s="3"/>
      <c r="W513" s="3"/>
      <c r="X513" s="1"/>
      <c r="Y513" s="1"/>
      <c r="Z513" s="1"/>
    </row>
    <row r="514" ht="12.75" customHeight="1">
      <c r="A514" s="1"/>
      <c r="B514" s="3"/>
      <c r="C514" s="3"/>
      <c r="D514" s="3"/>
      <c r="E514" s="3"/>
      <c r="F514" s="3"/>
      <c r="G514" s="3"/>
      <c r="H514" s="3"/>
      <c r="I514" s="3"/>
      <c r="J514" s="3"/>
      <c r="K514" s="3"/>
      <c r="L514" s="3"/>
      <c r="M514" s="3"/>
      <c r="N514" s="3"/>
      <c r="O514" s="3"/>
      <c r="P514" s="3"/>
      <c r="Q514" s="3"/>
      <c r="R514" s="3"/>
      <c r="S514" s="3"/>
      <c r="T514" s="3"/>
      <c r="U514" s="3"/>
      <c r="V514" s="3"/>
      <c r="W514" s="3"/>
      <c r="X514" s="1"/>
      <c r="Y514" s="1"/>
      <c r="Z514" s="1"/>
    </row>
    <row r="515" ht="12.75" customHeight="1">
      <c r="A515" s="1"/>
      <c r="B515" s="3"/>
      <c r="C515" s="3"/>
      <c r="D515" s="3"/>
      <c r="E515" s="3"/>
      <c r="F515" s="3"/>
      <c r="G515" s="3"/>
      <c r="H515" s="3"/>
      <c r="I515" s="3"/>
      <c r="J515" s="3"/>
      <c r="K515" s="3"/>
      <c r="L515" s="3"/>
      <c r="M515" s="3"/>
      <c r="N515" s="3"/>
      <c r="O515" s="3"/>
      <c r="P515" s="3"/>
      <c r="Q515" s="3"/>
      <c r="R515" s="3"/>
      <c r="S515" s="3"/>
      <c r="T515" s="3"/>
      <c r="U515" s="3"/>
      <c r="V515" s="3"/>
      <c r="W515" s="3"/>
      <c r="X515" s="1"/>
      <c r="Y515" s="1"/>
      <c r="Z515" s="1"/>
    </row>
    <row r="516" ht="12.75" customHeight="1">
      <c r="A516" s="1"/>
      <c r="B516" s="3"/>
      <c r="C516" s="3"/>
      <c r="D516" s="3"/>
      <c r="E516" s="3"/>
      <c r="F516" s="3"/>
      <c r="G516" s="3"/>
      <c r="H516" s="3"/>
      <c r="I516" s="3"/>
      <c r="J516" s="3"/>
      <c r="K516" s="3"/>
      <c r="L516" s="3"/>
      <c r="M516" s="3"/>
      <c r="N516" s="3"/>
      <c r="O516" s="3"/>
      <c r="P516" s="3"/>
      <c r="Q516" s="3"/>
      <c r="R516" s="3"/>
      <c r="S516" s="3"/>
      <c r="T516" s="3"/>
      <c r="U516" s="3"/>
      <c r="V516" s="3"/>
      <c r="W516" s="3"/>
      <c r="X516" s="1"/>
      <c r="Y516" s="1"/>
      <c r="Z516" s="1"/>
    </row>
    <row r="517" ht="12.75" customHeight="1">
      <c r="A517" s="1"/>
      <c r="B517" s="3"/>
      <c r="C517" s="3"/>
      <c r="D517" s="3"/>
      <c r="E517" s="3"/>
      <c r="F517" s="3"/>
      <c r="G517" s="3"/>
      <c r="H517" s="3"/>
      <c r="I517" s="3"/>
      <c r="J517" s="3"/>
      <c r="K517" s="3"/>
      <c r="L517" s="3"/>
      <c r="M517" s="3"/>
      <c r="N517" s="3"/>
      <c r="O517" s="3"/>
      <c r="P517" s="3"/>
      <c r="Q517" s="3"/>
      <c r="R517" s="3"/>
      <c r="S517" s="3"/>
      <c r="T517" s="3"/>
      <c r="U517" s="3"/>
      <c r="V517" s="3"/>
      <c r="W517" s="3"/>
      <c r="X517" s="1"/>
      <c r="Y517" s="1"/>
      <c r="Z517" s="1"/>
    </row>
    <row r="518" ht="12.75" customHeight="1">
      <c r="A518" s="1"/>
      <c r="B518" s="3"/>
      <c r="C518" s="3"/>
      <c r="D518" s="3"/>
      <c r="E518" s="3"/>
      <c r="F518" s="3"/>
      <c r="G518" s="3"/>
      <c r="H518" s="3"/>
      <c r="I518" s="3"/>
      <c r="J518" s="3"/>
      <c r="K518" s="3"/>
      <c r="L518" s="3"/>
      <c r="M518" s="3"/>
      <c r="N518" s="3"/>
      <c r="O518" s="3"/>
      <c r="P518" s="3"/>
      <c r="Q518" s="3"/>
      <c r="R518" s="3"/>
      <c r="S518" s="3"/>
      <c r="T518" s="3"/>
      <c r="U518" s="3"/>
      <c r="V518" s="3"/>
      <c r="W518" s="3"/>
      <c r="X518" s="1"/>
      <c r="Y518" s="1"/>
      <c r="Z518" s="1"/>
    </row>
    <row r="519" ht="12.75" customHeight="1">
      <c r="A519" s="1"/>
      <c r="B519" s="3"/>
      <c r="C519" s="3"/>
      <c r="D519" s="3"/>
      <c r="E519" s="3"/>
      <c r="F519" s="3"/>
      <c r="G519" s="3"/>
      <c r="H519" s="3"/>
      <c r="I519" s="3"/>
      <c r="J519" s="3"/>
      <c r="K519" s="3"/>
      <c r="L519" s="3"/>
      <c r="M519" s="3"/>
      <c r="N519" s="3"/>
      <c r="O519" s="3"/>
      <c r="P519" s="3"/>
      <c r="Q519" s="3"/>
      <c r="R519" s="3"/>
      <c r="S519" s="3"/>
      <c r="T519" s="3"/>
      <c r="U519" s="3"/>
      <c r="V519" s="3"/>
      <c r="W519" s="3"/>
      <c r="X519" s="1"/>
      <c r="Y519" s="1"/>
      <c r="Z519" s="1"/>
    </row>
    <row r="520" ht="12.75" customHeight="1">
      <c r="A520" s="1"/>
      <c r="B520" s="3"/>
      <c r="C520" s="3"/>
      <c r="D520" s="3"/>
      <c r="E520" s="3"/>
      <c r="F520" s="3"/>
      <c r="G520" s="3"/>
      <c r="H520" s="3"/>
      <c r="I520" s="3"/>
      <c r="J520" s="3"/>
      <c r="K520" s="3"/>
      <c r="L520" s="3"/>
      <c r="M520" s="3"/>
      <c r="N520" s="3"/>
      <c r="O520" s="3"/>
      <c r="P520" s="3"/>
      <c r="Q520" s="3"/>
      <c r="R520" s="3"/>
      <c r="S520" s="3"/>
      <c r="T520" s="3"/>
      <c r="U520" s="3"/>
      <c r="V520" s="3"/>
      <c r="W520" s="3"/>
      <c r="X520" s="1"/>
      <c r="Y520" s="1"/>
      <c r="Z520" s="1"/>
    </row>
    <row r="521" ht="12.75" customHeight="1">
      <c r="A521" s="1"/>
      <c r="B521" s="3"/>
      <c r="C521" s="3"/>
      <c r="D521" s="3"/>
      <c r="E521" s="3"/>
      <c r="F521" s="3"/>
      <c r="G521" s="3"/>
      <c r="H521" s="3"/>
      <c r="I521" s="3"/>
      <c r="J521" s="3"/>
      <c r="K521" s="3"/>
      <c r="L521" s="3"/>
      <c r="M521" s="3"/>
      <c r="N521" s="3"/>
      <c r="O521" s="3"/>
      <c r="P521" s="3"/>
      <c r="Q521" s="3"/>
      <c r="R521" s="3"/>
      <c r="S521" s="3"/>
      <c r="T521" s="3"/>
      <c r="U521" s="3"/>
      <c r="V521" s="3"/>
      <c r="W521" s="3"/>
      <c r="X521" s="1"/>
      <c r="Y521" s="1"/>
      <c r="Z521" s="1"/>
    </row>
    <row r="522" ht="12.75" customHeight="1">
      <c r="A522" s="1"/>
      <c r="B522" s="3"/>
      <c r="C522" s="3"/>
      <c r="D522" s="3"/>
      <c r="E522" s="3"/>
      <c r="F522" s="3"/>
      <c r="G522" s="3"/>
      <c r="H522" s="3"/>
      <c r="I522" s="3"/>
      <c r="J522" s="3"/>
      <c r="K522" s="3"/>
      <c r="L522" s="3"/>
      <c r="M522" s="3"/>
      <c r="N522" s="3"/>
      <c r="O522" s="3"/>
      <c r="P522" s="3"/>
      <c r="Q522" s="3"/>
      <c r="R522" s="3"/>
      <c r="S522" s="3"/>
      <c r="T522" s="3"/>
      <c r="U522" s="3"/>
      <c r="V522" s="3"/>
      <c r="W522" s="3"/>
      <c r="X522" s="1"/>
      <c r="Y522" s="1"/>
      <c r="Z522" s="1"/>
    </row>
    <row r="523" ht="12.75" customHeight="1">
      <c r="A523" s="1"/>
      <c r="B523" s="3"/>
      <c r="C523" s="3"/>
      <c r="D523" s="3"/>
      <c r="E523" s="3"/>
      <c r="F523" s="3"/>
      <c r="G523" s="3"/>
      <c r="H523" s="3"/>
      <c r="I523" s="3"/>
      <c r="J523" s="3"/>
      <c r="K523" s="3"/>
      <c r="L523" s="3"/>
      <c r="M523" s="3"/>
      <c r="N523" s="3"/>
      <c r="O523" s="3"/>
      <c r="P523" s="3"/>
      <c r="Q523" s="3"/>
      <c r="R523" s="3"/>
      <c r="S523" s="3"/>
      <c r="T523" s="3"/>
      <c r="U523" s="3"/>
      <c r="V523" s="3"/>
      <c r="W523" s="3"/>
      <c r="X523" s="1"/>
      <c r="Y523" s="1"/>
      <c r="Z523" s="1"/>
    </row>
    <row r="524" ht="12.75" customHeight="1">
      <c r="A524" s="1"/>
      <c r="B524" s="3"/>
      <c r="C524" s="3"/>
      <c r="D524" s="3"/>
      <c r="E524" s="3"/>
      <c r="F524" s="3"/>
      <c r="G524" s="3"/>
      <c r="H524" s="3"/>
      <c r="I524" s="3"/>
      <c r="J524" s="3"/>
      <c r="K524" s="3"/>
      <c r="L524" s="3"/>
      <c r="M524" s="3"/>
      <c r="N524" s="3"/>
      <c r="O524" s="3"/>
      <c r="P524" s="3"/>
      <c r="Q524" s="3"/>
      <c r="R524" s="3"/>
      <c r="S524" s="3"/>
      <c r="T524" s="3"/>
      <c r="U524" s="3"/>
      <c r="V524" s="3"/>
      <c r="W524" s="3"/>
      <c r="X524" s="1"/>
      <c r="Y524" s="1"/>
      <c r="Z524" s="1"/>
    </row>
    <row r="525" ht="12.75" customHeight="1">
      <c r="A525" s="1"/>
      <c r="B525" s="3"/>
      <c r="C525" s="3"/>
      <c r="D525" s="3"/>
      <c r="E525" s="3"/>
      <c r="F525" s="3"/>
      <c r="G525" s="3"/>
      <c r="H525" s="3"/>
      <c r="I525" s="3"/>
      <c r="J525" s="3"/>
      <c r="K525" s="3"/>
      <c r="L525" s="3"/>
      <c r="M525" s="3"/>
      <c r="N525" s="3"/>
      <c r="O525" s="3"/>
      <c r="P525" s="3"/>
      <c r="Q525" s="3"/>
      <c r="R525" s="3"/>
      <c r="S525" s="3"/>
      <c r="T525" s="3"/>
      <c r="U525" s="3"/>
      <c r="V525" s="3"/>
      <c r="W525" s="3"/>
      <c r="X525" s="1"/>
      <c r="Y525" s="1"/>
      <c r="Z525" s="1"/>
    </row>
    <row r="526" ht="12.75" customHeight="1">
      <c r="A526" s="1"/>
      <c r="B526" s="3"/>
      <c r="C526" s="3"/>
      <c r="D526" s="3"/>
      <c r="E526" s="3"/>
      <c r="F526" s="3"/>
      <c r="G526" s="3"/>
      <c r="H526" s="3"/>
      <c r="I526" s="3"/>
      <c r="J526" s="3"/>
      <c r="K526" s="3"/>
      <c r="L526" s="3"/>
      <c r="M526" s="3"/>
      <c r="N526" s="3"/>
      <c r="O526" s="3"/>
      <c r="P526" s="3"/>
      <c r="Q526" s="3"/>
      <c r="R526" s="3"/>
      <c r="S526" s="3"/>
      <c r="T526" s="3"/>
      <c r="U526" s="3"/>
      <c r="V526" s="3"/>
      <c r="W526" s="3"/>
      <c r="X526" s="1"/>
      <c r="Y526" s="1"/>
      <c r="Z526" s="1"/>
    </row>
    <row r="527" ht="12.75" customHeight="1">
      <c r="A527" s="1"/>
      <c r="B527" s="3"/>
      <c r="C527" s="3"/>
      <c r="D527" s="3"/>
      <c r="E527" s="3"/>
      <c r="F527" s="3"/>
      <c r="G527" s="3"/>
      <c r="H527" s="3"/>
      <c r="I527" s="3"/>
      <c r="J527" s="3"/>
      <c r="K527" s="3"/>
      <c r="L527" s="3"/>
      <c r="M527" s="3"/>
      <c r="N527" s="3"/>
      <c r="O527" s="3"/>
      <c r="P527" s="3"/>
      <c r="Q527" s="3"/>
      <c r="R527" s="3"/>
      <c r="S527" s="3"/>
      <c r="T527" s="3"/>
      <c r="U527" s="3"/>
      <c r="V527" s="3"/>
      <c r="W527" s="3"/>
      <c r="X527" s="1"/>
      <c r="Y527" s="1"/>
      <c r="Z527" s="1"/>
    </row>
    <row r="528" ht="12.75" customHeight="1">
      <c r="A528" s="1"/>
      <c r="B528" s="3"/>
      <c r="C528" s="3"/>
      <c r="D528" s="3"/>
      <c r="E528" s="3"/>
      <c r="F528" s="3"/>
      <c r="G528" s="3"/>
      <c r="H528" s="3"/>
      <c r="I528" s="3"/>
      <c r="J528" s="3"/>
      <c r="K528" s="3"/>
      <c r="L528" s="3"/>
      <c r="M528" s="3"/>
      <c r="N528" s="3"/>
      <c r="O528" s="3"/>
      <c r="P528" s="3"/>
      <c r="Q528" s="3"/>
      <c r="R528" s="3"/>
      <c r="S528" s="3"/>
      <c r="T528" s="3"/>
      <c r="U528" s="3"/>
      <c r="V528" s="3"/>
      <c r="W528" s="3"/>
      <c r="X528" s="1"/>
      <c r="Y528" s="1"/>
      <c r="Z528" s="1"/>
    </row>
    <row r="529" ht="12.75" customHeight="1">
      <c r="A529" s="1"/>
      <c r="B529" s="3"/>
      <c r="C529" s="3"/>
      <c r="D529" s="3"/>
      <c r="E529" s="3"/>
      <c r="F529" s="3"/>
      <c r="G529" s="3"/>
      <c r="H529" s="3"/>
      <c r="I529" s="3"/>
      <c r="J529" s="3"/>
      <c r="K529" s="3"/>
      <c r="L529" s="3"/>
      <c r="M529" s="3"/>
      <c r="N529" s="3"/>
      <c r="O529" s="3"/>
      <c r="P529" s="3"/>
      <c r="Q529" s="3"/>
      <c r="R529" s="3"/>
      <c r="S529" s="3"/>
      <c r="T529" s="3"/>
      <c r="U529" s="3"/>
      <c r="V529" s="3"/>
      <c r="W529" s="3"/>
      <c r="X529" s="1"/>
      <c r="Y529" s="1"/>
      <c r="Z529" s="1"/>
    </row>
    <row r="530" ht="12.75" customHeight="1">
      <c r="A530" s="1"/>
      <c r="B530" s="3"/>
      <c r="C530" s="3"/>
      <c r="D530" s="3"/>
      <c r="E530" s="3"/>
      <c r="F530" s="3"/>
      <c r="G530" s="3"/>
      <c r="H530" s="3"/>
      <c r="I530" s="3"/>
      <c r="J530" s="3"/>
      <c r="K530" s="3"/>
      <c r="L530" s="3"/>
      <c r="M530" s="3"/>
      <c r="N530" s="3"/>
      <c r="O530" s="3"/>
      <c r="P530" s="3"/>
      <c r="Q530" s="3"/>
      <c r="R530" s="3"/>
      <c r="S530" s="3"/>
      <c r="T530" s="3"/>
      <c r="U530" s="3"/>
      <c r="V530" s="3"/>
      <c r="W530" s="3"/>
      <c r="X530" s="1"/>
      <c r="Y530" s="1"/>
      <c r="Z530" s="1"/>
    </row>
    <row r="531" ht="12.75" customHeight="1">
      <c r="A531" s="1"/>
      <c r="B531" s="3"/>
      <c r="C531" s="3"/>
      <c r="D531" s="3"/>
      <c r="E531" s="3"/>
      <c r="F531" s="3"/>
      <c r="G531" s="3"/>
      <c r="H531" s="3"/>
      <c r="I531" s="3"/>
      <c r="J531" s="3"/>
      <c r="K531" s="3"/>
      <c r="L531" s="3"/>
      <c r="M531" s="3"/>
      <c r="N531" s="3"/>
      <c r="O531" s="3"/>
      <c r="P531" s="3"/>
      <c r="Q531" s="3"/>
      <c r="R531" s="3"/>
      <c r="S531" s="3"/>
      <c r="T531" s="3"/>
      <c r="U531" s="3"/>
      <c r="V531" s="3"/>
      <c r="W531" s="3"/>
      <c r="X531" s="1"/>
      <c r="Y531" s="1"/>
      <c r="Z531" s="1"/>
    </row>
    <row r="532" ht="12.75" customHeight="1">
      <c r="A532" s="1"/>
      <c r="B532" s="3"/>
      <c r="C532" s="3"/>
      <c r="D532" s="3"/>
      <c r="E532" s="3"/>
      <c r="F532" s="3"/>
      <c r="G532" s="3"/>
      <c r="H532" s="3"/>
      <c r="I532" s="3"/>
      <c r="J532" s="3"/>
      <c r="K532" s="3"/>
      <c r="L532" s="3"/>
      <c r="M532" s="3"/>
      <c r="N532" s="3"/>
      <c r="O532" s="3"/>
      <c r="P532" s="3"/>
      <c r="Q532" s="3"/>
      <c r="R532" s="3"/>
      <c r="S532" s="3"/>
      <c r="T532" s="3"/>
      <c r="U532" s="3"/>
      <c r="V532" s="3"/>
      <c r="W532" s="3"/>
      <c r="X532" s="1"/>
      <c r="Y532" s="1"/>
      <c r="Z532" s="1"/>
    </row>
    <row r="533" ht="12.75" customHeight="1">
      <c r="A533" s="1"/>
      <c r="B533" s="3"/>
      <c r="C533" s="3"/>
      <c r="D533" s="3"/>
      <c r="E533" s="3"/>
      <c r="F533" s="3"/>
      <c r="G533" s="3"/>
      <c r="H533" s="3"/>
      <c r="I533" s="3"/>
      <c r="J533" s="3"/>
      <c r="K533" s="3"/>
      <c r="L533" s="3"/>
      <c r="M533" s="3"/>
      <c r="N533" s="3"/>
      <c r="O533" s="3"/>
      <c r="P533" s="3"/>
      <c r="Q533" s="3"/>
      <c r="R533" s="3"/>
      <c r="S533" s="3"/>
      <c r="T533" s="3"/>
      <c r="U533" s="3"/>
      <c r="V533" s="3"/>
      <c r="W533" s="3"/>
      <c r="X533" s="1"/>
      <c r="Y533" s="1"/>
      <c r="Z533" s="1"/>
    </row>
    <row r="534" ht="12.75" customHeight="1">
      <c r="A534" s="1"/>
      <c r="B534" s="3"/>
      <c r="C534" s="3"/>
      <c r="D534" s="3"/>
      <c r="E534" s="3"/>
      <c r="F534" s="3"/>
      <c r="G534" s="3"/>
      <c r="H534" s="3"/>
      <c r="I534" s="3"/>
      <c r="J534" s="3"/>
      <c r="K534" s="3"/>
      <c r="L534" s="3"/>
      <c r="M534" s="3"/>
      <c r="N534" s="3"/>
      <c r="O534" s="3"/>
      <c r="P534" s="3"/>
      <c r="Q534" s="3"/>
      <c r="R534" s="3"/>
      <c r="S534" s="3"/>
      <c r="T534" s="3"/>
      <c r="U534" s="3"/>
      <c r="V534" s="3"/>
      <c r="W534" s="3"/>
      <c r="X534" s="1"/>
      <c r="Y534" s="1"/>
      <c r="Z534" s="1"/>
    </row>
    <row r="535" ht="12.75" customHeight="1">
      <c r="A535" s="1"/>
      <c r="B535" s="3"/>
      <c r="C535" s="3"/>
      <c r="D535" s="3"/>
      <c r="E535" s="3"/>
      <c r="F535" s="3"/>
      <c r="G535" s="3"/>
      <c r="H535" s="3"/>
      <c r="I535" s="3"/>
      <c r="J535" s="3"/>
      <c r="K535" s="3"/>
      <c r="L535" s="3"/>
      <c r="M535" s="3"/>
      <c r="N535" s="3"/>
      <c r="O535" s="3"/>
      <c r="P535" s="3"/>
      <c r="Q535" s="3"/>
      <c r="R535" s="3"/>
      <c r="S535" s="3"/>
      <c r="T535" s="3"/>
      <c r="U535" s="3"/>
      <c r="V535" s="3"/>
      <c r="W535" s="3"/>
      <c r="X535" s="1"/>
      <c r="Y535" s="1"/>
      <c r="Z535" s="1"/>
    </row>
    <row r="536" ht="12.75" customHeight="1">
      <c r="A536" s="1"/>
      <c r="B536" s="3"/>
      <c r="C536" s="3"/>
      <c r="D536" s="3"/>
      <c r="E536" s="3"/>
      <c r="F536" s="3"/>
      <c r="G536" s="3"/>
      <c r="H536" s="3"/>
      <c r="I536" s="3"/>
      <c r="J536" s="3"/>
      <c r="K536" s="3"/>
      <c r="L536" s="3"/>
      <c r="M536" s="3"/>
      <c r="N536" s="3"/>
      <c r="O536" s="3"/>
      <c r="P536" s="3"/>
      <c r="Q536" s="3"/>
      <c r="R536" s="3"/>
      <c r="S536" s="3"/>
      <c r="T536" s="3"/>
      <c r="U536" s="3"/>
      <c r="V536" s="3"/>
      <c r="W536" s="3"/>
      <c r="X536" s="1"/>
      <c r="Y536" s="1"/>
      <c r="Z536" s="1"/>
    </row>
    <row r="537" ht="12.75" customHeight="1">
      <c r="A537" s="1"/>
      <c r="B537" s="3"/>
      <c r="C537" s="3"/>
      <c r="D537" s="3"/>
      <c r="E537" s="3"/>
      <c r="F537" s="3"/>
      <c r="G537" s="3"/>
      <c r="H537" s="3"/>
      <c r="I537" s="3"/>
      <c r="J537" s="3"/>
      <c r="K537" s="3"/>
      <c r="L537" s="3"/>
      <c r="M537" s="3"/>
      <c r="N537" s="3"/>
      <c r="O537" s="3"/>
      <c r="P537" s="3"/>
      <c r="Q537" s="3"/>
      <c r="R537" s="3"/>
      <c r="S537" s="3"/>
      <c r="T537" s="3"/>
      <c r="U537" s="3"/>
      <c r="V537" s="3"/>
      <c r="W537" s="3"/>
      <c r="X537" s="1"/>
      <c r="Y537" s="1"/>
      <c r="Z537" s="1"/>
    </row>
    <row r="538" ht="12.75" customHeight="1">
      <c r="A538" s="1"/>
      <c r="B538" s="3"/>
      <c r="C538" s="3"/>
      <c r="D538" s="3"/>
      <c r="E538" s="3"/>
      <c r="F538" s="3"/>
      <c r="G538" s="3"/>
      <c r="H538" s="3"/>
      <c r="I538" s="3"/>
      <c r="J538" s="3"/>
      <c r="K538" s="3"/>
      <c r="L538" s="3"/>
      <c r="M538" s="3"/>
      <c r="N538" s="3"/>
      <c r="O538" s="3"/>
      <c r="P538" s="3"/>
      <c r="Q538" s="3"/>
      <c r="R538" s="3"/>
      <c r="S538" s="3"/>
      <c r="T538" s="3"/>
      <c r="U538" s="3"/>
      <c r="V538" s="3"/>
      <c r="W538" s="3"/>
      <c r="X538" s="1"/>
      <c r="Y538" s="1"/>
      <c r="Z538" s="1"/>
    </row>
    <row r="539" ht="12.75" customHeight="1">
      <c r="A539" s="1"/>
      <c r="B539" s="3"/>
      <c r="C539" s="3"/>
      <c r="D539" s="3"/>
      <c r="E539" s="3"/>
      <c r="F539" s="3"/>
      <c r="G539" s="3"/>
      <c r="H539" s="3"/>
      <c r="I539" s="3"/>
      <c r="J539" s="3"/>
      <c r="K539" s="3"/>
      <c r="L539" s="3"/>
      <c r="M539" s="3"/>
      <c r="N539" s="3"/>
      <c r="O539" s="3"/>
      <c r="P539" s="3"/>
      <c r="Q539" s="3"/>
      <c r="R539" s="3"/>
      <c r="S539" s="3"/>
      <c r="T539" s="3"/>
      <c r="U539" s="3"/>
      <c r="V539" s="3"/>
      <c r="W539" s="3"/>
      <c r="X539" s="1"/>
      <c r="Y539" s="1"/>
      <c r="Z539" s="1"/>
    </row>
    <row r="540" ht="12.75" customHeight="1">
      <c r="A540" s="1"/>
      <c r="B540" s="3"/>
      <c r="C540" s="3"/>
      <c r="D540" s="3"/>
      <c r="E540" s="3"/>
      <c r="F540" s="3"/>
      <c r="G540" s="3"/>
      <c r="H540" s="3"/>
      <c r="I540" s="3"/>
      <c r="J540" s="3"/>
      <c r="K540" s="3"/>
      <c r="L540" s="3"/>
      <c r="M540" s="3"/>
      <c r="N540" s="3"/>
      <c r="O540" s="3"/>
      <c r="P540" s="3"/>
      <c r="Q540" s="3"/>
      <c r="R540" s="3"/>
      <c r="S540" s="3"/>
      <c r="T540" s="3"/>
      <c r="U540" s="3"/>
      <c r="V540" s="3"/>
      <c r="W540" s="3"/>
      <c r="X540" s="1"/>
      <c r="Y540" s="1"/>
      <c r="Z540" s="1"/>
    </row>
    <row r="541" ht="12.75" customHeight="1">
      <c r="A541" s="1"/>
      <c r="B541" s="3"/>
      <c r="C541" s="3"/>
      <c r="D541" s="3"/>
      <c r="E541" s="3"/>
      <c r="F541" s="3"/>
      <c r="G541" s="3"/>
      <c r="H541" s="3"/>
      <c r="I541" s="3"/>
      <c r="J541" s="3"/>
      <c r="K541" s="3"/>
      <c r="L541" s="3"/>
      <c r="M541" s="3"/>
      <c r="N541" s="3"/>
      <c r="O541" s="3"/>
      <c r="P541" s="3"/>
      <c r="Q541" s="3"/>
      <c r="R541" s="3"/>
      <c r="S541" s="3"/>
      <c r="T541" s="3"/>
      <c r="U541" s="3"/>
      <c r="V541" s="3"/>
      <c r="W541" s="3"/>
      <c r="X541" s="1"/>
      <c r="Y541" s="1"/>
      <c r="Z541" s="1"/>
    </row>
    <row r="542" ht="12.75" customHeight="1">
      <c r="A542" s="1"/>
      <c r="B542" s="3"/>
      <c r="C542" s="3"/>
      <c r="D542" s="3"/>
      <c r="E542" s="3"/>
      <c r="F542" s="3"/>
      <c r="G542" s="3"/>
      <c r="H542" s="3"/>
      <c r="I542" s="3"/>
      <c r="J542" s="3"/>
      <c r="K542" s="3"/>
      <c r="L542" s="3"/>
      <c r="M542" s="3"/>
      <c r="N542" s="3"/>
      <c r="O542" s="3"/>
      <c r="P542" s="3"/>
      <c r="Q542" s="3"/>
      <c r="R542" s="3"/>
      <c r="S542" s="3"/>
      <c r="T542" s="3"/>
      <c r="U542" s="3"/>
      <c r="V542" s="3"/>
      <c r="W542" s="3"/>
      <c r="X542" s="1"/>
      <c r="Y542" s="1"/>
      <c r="Z542" s="1"/>
    </row>
    <row r="543" ht="12.75" customHeight="1">
      <c r="A543" s="1"/>
      <c r="B543" s="3"/>
      <c r="C543" s="3"/>
      <c r="D543" s="3"/>
      <c r="E543" s="3"/>
      <c r="F543" s="3"/>
      <c r="G543" s="3"/>
      <c r="H543" s="3"/>
      <c r="I543" s="3"/>
      <c r="J543" s="3"/>
      <c r="K543" s="3"/>
      <c r="L543" s="3"/>
      <c r="M543" s="3"/>
      <c r="N543" s="3"/>
      <c r="O543" s="3"/>
      <c r="P543" s="3"/>
      <c r="Q543" s="3"/>
      <c r="R543" s="3"/>
      <c r="S543" s="3"/>
      <c r="T543" s="3"/>
      <c r="U543" s="3"/>
      <c r="V543" s="3"/>
      <c r="W543" s="3"/>
      <c r="X543" s="1"/>
      <c r="Y543" s="1"/>
      <c r="Z543" s="1"/>
    </row>
    <row r="544" ht="12.75" customHeight="1">
      <c r="A544" s="1"/>
      <c r="B544" s="3"/>
      <c r="C544" s="3"/>
      <c r="D544" s="3"/>
      <c r="E544" s="3"/>
      <c r="F544" s="3"/>
      <c r="G544" s="3"/>
      <c r="H544" s="3"/>
      <c r="I544" s="3"/>
      <c r="J544" s="3"/>
      <c r="K544" s="3"/>
      <c r="L544" s="3"/>
      <c r="M544" s="3"/>
      <c r="N544" s="3"/>
      <c r="O544" s="3"/>
      <c r="P544" s="3"/>
      <c r="Q544" s="3"/>
      <c r="R544" s="3"/>
      <c r="S544" s="3"/>
      <c r="T544" s="3"/>
      <c r="U544" s="3"/>
      <c r="V544" s="3"/>
      <c r="W544" s="3"/>
      <c r="X544" s="1"/>
      <c r="Y544" s="1"/>
      <c r="Z544" s="1"/>
    </row>
    <row r="545" ht="12.75" customHeight="1">
      <c r="A545" s="1"/>
      <c r="B545" s="3"/>
      <c r="C545" s="3"/>
      <c r="D545" s="3"/>
      <c r="E545" s="3"/>
      <c r="F545" s="3"/>
      <c r="G545" s="3"/>
      <c r="H545" s="3"/>
      <c r="I545" s="3"/>
      <c r="J545" s="3"/>
      <c r="K545" s="3"/>
      <c r="L545" s="3"/>
      <c r="M545" s="3"/>
      <c r="N545" s="3"/>
      <c r="O545" s="3"/>
      <c r="P545" s="3"/>
      <c r="Q545" s="3"/>
      <c r="R545" s="3"/>
      <c r="S545" s="3"/>
      <c r="T545" s="3"/>
      <c r="U545" s="3"/>
      <c r="V545" s="3"/>
      <c r="W545" s="3"/>
      <c r="X545" s="1"/>
      <c r="Y545" s="1"/>
      <c r="Z545" s="1"/>
    </row>
    <row r="546" ht="12.75" customHeight="1">
      <c r="A546" s="1"/>
      <c r="B546" s="3"/>
      <c r="C546" s="3"/>
      <c r="D546" s="3"/>
      <c r="E546" s="3"/>
      <c r="F546" s="3"/>
      <c r="G546" s="3"/>
      <c r="H546" s="3"/>
      <c r="I546" s="3"/>
      <c r="J546" s="3"/>
      <c r="K546" s="3"/>
      <c r="L546" s="3"/>
      <c r="M546" s="3"/>
      <c r="N546" s="3"/>
      <c r="O546" s="3"/>
      <c r="P546" s="3"/>
      <c r="Q546" s="3"/>
      <c r="R546" s="3"/>
      <c r="S546" s="3"/>
      <c r="T546" s="3"/>
      <c r="U546" s="3"/>
      <c r="V546" s="3"/>
      <c r="W546" s="3"/>
      <c r="X546" s="1"/>
      <c r="Y546" s="1"/>
      <c r="Z546" s="1"/>
    </row>
    <row r="547" ht="12.75" customHeight="1">
      <c r="A547" s="1"/>
      <c r="B547" s="3"/>
      <c r="C547" s="3"/>
      <c r="D547" s="3"/>
      <c r="E547" s="3"/>
      <c r="F547" s="3"/>
      <c r="G547" s="3"/>
      <c r="H547" s="3"/>
      <c r="I547" s="3"/>
      <c r="J547" s="3"/>
      <c r="K547" s="3"/>
      <c r="L547" s="3"/>
      <c r="M547" s="3"/>
      <c r="N547" s="3"/>
      <c r="O547" s="3"/>
      <c r="P547" s="3"/>
      <c r="Q547" s="3"/>
      <c r="R547" s="3"/>
      <c r="S547" s="3"/>
      <c r="T547" s="3"/>
      <c r="U547" s="3"/>
      <c r="V547" s="3"/>
      <c r="W547" s="3"/>
      <c r="X547" s="1"/>
      <c r="Y547" s="1"/>
      <c r="Z547" s="1"/>
    </row>
    <row r="548" ht="12.75" customHeight="1">
      <c r="A548" s="1"/>
      <c r="B548" s="3"/>
      <c r="C548" s="3"/>
      <c r="D548" s="3"/>
      <c r="E548" s="3"/>
      <c r="F548" s="3"/>
      <c r="G548" s="3"/>
      <c r="H548" s="3"/>
      <c r="I548" s="3"/>
      <c r="J548" s="3"/>
      <c r="K548" s="3"/>
      <c r="L548" s="3"/>
      <c r="M548" s="3"/>
      <c r="N548" s="3"/>
      <c r="O548" s="3"/>
      <c r="P548" s="3"/>
      <c r="Q548" s="3"/>
      <c r="R548" s="3"/>
      <c r="S548" s="3"/>
      <c r="T548" s="3"/>
      <c r="U548" s="3"/>
      <c r="V548" s="3"/>
      <c r="W548" s="3"/>
      <c r="X548" s="1"/>
      <c r="Y548" s="1"/>
      <c r="Z548" s="1"/>
    </row>
    <row r="549" ht="12.75" customHeight="1">
      <c r="A549" s="1"/>
      <c r="B549" s="3"/>
      <c r="C549" s="3"/>
      <c r="D549" s="3"/>
      <c r="E549" s="3"/>
      <c r="F549" s="3"/>
      <c r="G549" s="3"/>
      <c r="H549" s="3"/>
      <c r="I549" s="3"/>
      <c r="J549" s="3"/>
      <c r="K549" s="3"/>
      <c r="L549" s="3"/>
      <c r="M549" s="3"/>
      <c r="N549" s="3"/>
      <c r="O549" s="3"/>
      <c r="P549" s="3"/>
      <c r="Q549" s="3"/>
      <c r="R549" s="3"/>
      <c r="S549" s="3"/>
      <c r="T549" s="3"/>
      <c r="U549" s="3"/>
      <c r="V549" s="3"/>
      <c r="W549" s="3"/>
      <c r="X549" s="1"/>
      <c r="Y549" s="1"/>
      <c r="Z549" s="1"/>
    </row>
    <row r="550" ht="12.75" customHeight="1">
      <c r="A550" s="1"/>
      <c r="B550" s="3"/>
      <c r="C550" s="3"/>
      <c r="D550" s="3"/>
      <c r="E550" s="3"/>
      <c r="F550" s="3"/>
      <c r="G550" s="3"/>
      <c r="H550" s="3"/>
      <c r="I550" s="3"/>
      <c r="J550" s="3"/>
      <c r="K550" s="3"/>
      <c r="L550" s="3"/>
      <c r="M550" s="3"/>
      <c r="N550" s="3"/>
      <c r="O550" s="3"/>
      <c r="P550" s="3"/>
      <c r="Q550" s="3"/>
      <c r="R550" s="3"/>
      <c r="S550" s="3"/>
      <c r="T550" s="3"/>
      <c r="U550" s="3"/>
      <c r="V550" s="3"/>
      <c r="W550" s="3"/>
      <c r="X550" s="1"/>
      <c r="Y550" s="1"/>
      <c r="Z550" s="1"/>
    </row>
    <row r="551" ht="12.75" customHeight="1">
      <c r="A551" s="1"/>
      <c r="B551" s="3"/>
      <c r="C551" s="3"/>
      <c r="D551" s="3"/>
      <c r="E551" s="3"/>
      <c r="F551" s="3"/>
      <c r="G551" s="3"/>
      <c r="H551" s="3"/>
      <c r="I551" s="3"/>
      <c r="J551" s="3"/>
      <c r="K551" s="3"/>
      <c r="L551" s="3"/>
      <c r="M551" s="3"/>
      <c r="N551" s="3"/>
      <c r="O551" s="3"/>
      <c r="P551" s="3"/>
      <c r="Q551" s="3"/>
      <c r="R551" s="3"/>
      <c r="S551" s="3"/>
      <c r="T551" s="3"/>
      <c r="U551" s="3"/>
      <c r="V551" s="3"/>
      <c r="W551" s="3"/>
      <c r="X551" s="1"/>
      <c r="Y551" s="1"/>
      <c r="Z551" s="1"/>
    </row>
    <row r="552" ht="12.75" customHeight="1">
      <c r="A552" s="1"/>
      <c r="B552" s="3"/>
      <c r="C552" s="3"/>
      <c r="D552" s="3"/>
      <c r="E552" s="3"/>
      <c r="F552" s="3"/>
      <c r="G552" s="3"/>
      <c r="H552" s="3"/>
      <c r="I552" s="3"/>
      <c r="J552" s="3"/>
      <c r="K552" s="3"/>
      <c r="L552" s="3"/>
      <c r="M552" s="3"/>
      <c r="N552" s="3"/>
      <c r="O552" s="3"/>
      <c r="P552" s="3"/>
      <c r="Q552" s="3"/>
      <c r="R552" s="3"/>
      <c r="S552" s="3"/>
      <c r="T552" s="3"/>
      <c r="U552" s="3"/>
      <c r="V552" s="3"/>
      <c r="W552" s="3"/>
      <c r="X552" s="1"/>
      <c r="Y552" s="1"/>
      <c r="Z552" s="1"/>
    </row>
    <row r="553" ht="12.75" customHeight="1">
      <c r="A553" s="1"/>
      <c r="B553" s="3"/>
      <c r="C553" s="3"/>
      <c r="D553" s="3"/>
      <c r="E553" s="3"/>
      <c r="F553" s="3"/>
      <c r="G553" s="3"/>
      <c r="H553" s="3"/>
      <c r="I553" s="3"/>
      <c r="J553" s="3"/>
      <c r="K553" s="3"/>
      <c r="L553" s="3"/>
      <c r="M553" s="3"/>
      <c r="N553" s="3"/>
      <c r="O553" s="3"/>
      <c r="P553" s="3"/>
      <c r="Q553" s="3"/>
      <c r="R553" s="3"/>
      <c r="S553" s="3"/>
      <c r="T553" s="3"/>
      <c r="U553" s="3"/>
      <c r="V553" s="3"/>
      <c r="W553" s="3"/>
      <c r="X553" s="1"/>
      <c r="Y553" s="1"/>
      <c r="Z553" s="1"/>
    </row>
    <row r="554" ht="12.75" customHeight="1">
      <c r="A554" s="1"/>
      <c r="B554" s="3"/>
      <c r="C554" s="3"/>
      <c r="D554" s="3"/>
      <c r="E554" s="3"/>
      <c r="F554" s="3"/>
      <c r="G554" s="3"/>
      <c r="H554" s="3"/>
      <c r="I554" s="3"/>
      <c r="J554" s="3"/>
      <c r="K554" s="3"/>
      <c r="L554" s="3"/>
      <c r="M554" s="3"/>
      <c r="N554" s="3"/>
      <c r="O554" s="3"/>
      <c r="P554" s="3"/>
      <c r="Q554" s="3"/>
      <c r="R554" s="3"/>
      <c r="S554" s="3"/>
      <c r="T554" s="3"/>
      <c r="U554" s="3"/>
      <c r="V554" s="3"/>
      <c r="W554" s="3"/>
      <c r="X554" s="1"/>
      <c r="Y554" s="1"/>
      <c r="Z554" s="1"/>
    </row>
    <row r="555" ht="12.75" customHeight="1">
      <c r="A555" s="1"/>
      <c r="B555" s="3"/>
      <c r="C555" s="3"/>
      <c r="D555" s="3"/>
      <c r="E555" s="3"/>
      <c r="F555" s="3"/>
      <c r="G555" s="3"/>
      <c r="H555" s="3"/>
      <c r="I555" s="3"/>
      <c r="J555" s="3"/>
      <c r="K555" s="3"/>
      <c r="L555" s="3"/>
      <c r="M555" s="3"/>
      <c r="N555" s="3"/>
      <c r="O555" s="3"/>
      <c r="P555" s="3"/>
      <c r="Q555" s="3"/>
      <c r="R555" s="3"/>
      <c r="S555" s="3"/>
      <c r="T555" s="3"/>
      <c r="U555" s="3"/>
      <c r="V555" s="3"/>
      <c r="W555" s="3"/>
      <c r="X555" s="1"/>
      <c r="Y555" s="1"/>
      <c r="Z555" s="1"/>
    </row>
    <row r="556" ht="12.75" customHeight="1">
      <c r="A556" s="1"/>
      <c r="B556" s="3"/>
      <c r="C556" s="3"/>
      <c r="D556" s="3"/>
      <c r="E556" s="3"/>
      <c r="F556" s="3"/>
      <c r="G556" s="3"/>
      <c r="H556" s="3"/>
      <c r="I556" s="3"/>
      <c r="J556" s="3"/>
      <c r="K556" s="3"/>
      <c r="L556" s="3"/>
      <c r="M556" s="3"/>
      <c r="N556" s="3"/>
      <c r="O556" s="3"/>
      <c r="P556" s="3"/>
      <c r="Q556" s="3"/>
      <c r="R556" s="3"/>
      <c r="S556" s="3"/>
      <c r="T556" s="3"/>
      <c r="U556" s="3"/>
      <c r="V556" s="3"/>
      <c r="W556" s="3"/>
      <c r="X556" s="1"/>
      <c r="Y556" s="1"/>
      <c r="Z556" s="1"/>
    </row>
    <row r="557" ht="12.75" customHeight="1">
      <c r="A557" s="1"/>
      <c r="B557" s="3"/>
      <c r="C557" s="3"/>
      <c r="D557" s="3"/>
      <c r="E557" s="3"/>
      <c r="F557" s="3"/>
      <c r="G557" s="3"/>
      <c r="H557" s="3"/>
      <c r="I557" s="3"/>
      <c r="J557" s="3"/>
      <c r="K557" s="3"/>
      <c r="L557" s="3"/>
      <c r="M557" s="3"/>
      <c r="N557" s="3"/>
      <c r="O557" s="3"/>
      <c r="P557" s="3"/>
      <c r="Q557" s="3"/>
      <c r="R557" s="3"/>
      <c r="S557" s="3"/>
      <c r="T557" s="3"/>
      <c r="U557" s="3"/>
      <c r="V557" s="3"/>
      <c r="W557" s="3"/>
      <c r="X557" s="1"/>
      <c r="Y557" s="1"/>
      <c r="Z557" s="1"/>
    </row>
    <row r="558" ht="12.75" customHeight="1">
      <c r="A558" s="1"/>
      <c r="B558" s="3"/>
      <c r="C558" s="3"/>
      <c r="D558" s="3"/>
      <c r="E558" s="3"/>
      <c r="F558" s="3"/>
      <c r="G558" s="3"/>
      <c r="H558" s="3"/>
      <c r="I558" s="3"/>
      <c r="J558" s="3"/>
      <c r="K558" s="3"/>
      <c r="L558" s="3"/>
      <c r="M558" s="3"/>
      <c r="N558" s="3"/>
      <c r="O558" s="3"/>
      <c r="P558" s="3"/>
      <c r="Q558" s="3"/>
      <c r="R558" s="3"/>
      <c r="S558" s="3"/>
      <c r="T558" s="3"/>
      <c r="U558" s="3"/>
      <c r="V558" s="3"/>
      <c r="W558" s="3"/>
      <c r="X558" s="1"/>
      <c r="Y558" s="1"/>
      <c r="Z558" s="1"/>
    </row>
    <row r="559" ht="12.75" customHeight="1">
      <c r="A559" s="1"/>
      <c r="B559" s="3"/>
      <c r="C559" s="3"/>
      <c r="D559" s="3"/>
      <c r="E559" s="3"/>
      <c r="F559" s="3"/>
      <c r="G559" s="3"/>
      <c r="H559" s="3"/>
      <c r="I559" s="3"/>
      <c r="J559" s="3"/>
      <c r="K559" s="3"/>
      <c r="L559" s="3"/>
      <c r="M559" s="3"/>
      <c r="N559" s="3"/>
      <c r="O559" s="3"/>
      <c r="P559" s="3"/>
      <c r="Q559" s="3"/>
      <c r="R559" s="3"/>
      <c r="S559" s="3"/>
      <c r="T559" s="3"/>
      <c r="U559" s="3"/>
      <c r="V559" s="3"/>
      <c r="W559" s="3"/>
      <c r="X559" s="1"/>
      <c r="Y559" s="1"/>
      <c r="Z559" s="1"/>
    </row>
    <row r="560" ht="12.75" customHeight="1">
      <c r="A560" s="1"/>
      <c r="B560" s="3"/>
      <c r="C560" s="3"/>
      <c r="D560" s="3"/>
      <c r="E560" s="3"/>
      <c r="F560" s="3"/>
      <c r="G560" s="3"/>
      <c r="H560" s="3"/>
      <c r="I560" s="3"/>
      <c r="J560" s="3"/>
      <c r="K560" s="3"/>
      <c r="L560" s="3"/>
      <c r="M560" s="3"/>
      <c r="N560" s="3"/>
      <c r="O560" s="3"/>
      <c r="P560" s="3"/>
      <c r="Q560" s="3"/>
      <c r="R560" s="3"/>
      <c r="S560" s="3"/>
      <c r="T560" s="3"/>
      <c r="U560" s="3"/>
      <c r="V560" s="3"/>
      <c r="W560" s="3"/>
      <c r="X560" s="1"/>
      <c r="Y560" s="1"/>
      <c r="Z560" s="1"/>
    </row>
    <row r="561" ht="12.75" customHeight="1">
      <c r="A561" s="1"/>
      <c r="B561" s="3"/>
      <c r="C561" s="3"/>
      <c r="D561" s="3"/>
      <c r="E561" s="3"/>
      <c r="F561" s="3"/>
      <c r="G561" s="3"/>
      <c r="H561" s="3"/>
      <c r="I561" s="3"/>
      <c r="J561" s="3"/>
      <c r="K561" s="3"/>
      <c r="L561" s="3"/>
      <c r="M561" s="3"/>
      <c r="N561" s="3"/>
      <c r="O561" s="3"/>
      <c r="P561" s="3"/>
      <c r="Q561" s="3"/>
      <c r="R561" s="3"/>
      <c r="S561" s="3"/>
      <c r="T561" s="3"/>
      <c r="U561" s="3"/>
      <c r="V561" s="3"/>
      <c r="W561" s="3"/>
      <c r="X561" s="1"/>
      <c r="Y561" s="1"/>
      <c r="Z561" s="1"/>
    </row>
    <row r="562" ht="12.75" customHeight="1">
      <c r="A562" s="1"/>
      <c r="B562" s="3"/>
      <c r="C562" s="3"/>
      <c r="D562" s="3"/>
      <c r="E562" s="3"/>
      <c r="F562" s="3"/>
      <c r="G562" s="3"/>
      <c r="H562" s="3"/>
      <c r="I562" s="3"/>
      <c r="J562" s="3"/>
      <c r="K562" s="3"/>
      <c r="L562" s="3"/>
      <c r="M562" s="3"/>
      <c r="N562" s="3"/>
      <c r="O562" s="3"/>
      <c r="P562" s="3"/>
      <c r="Q562" s="3"/>
      <c r="R562" s="3"/>
      <c r="S562" s="3"/>
      <c r="T562" s="3"/>
      <c r="U562" s="3"/>
      <c r="V562" s="3"/>
      <c r="W562" s="3"/>
      <c r="X562" s="1"/>
      <c r="Y562" s="1"/>
      <c r="Z562" s="1"/>
    </row>
    <row r="563" ht="12.75" customHeight="1">
      <c r="A563" s="1"/>
      <c r="B563" s="3"/>
      <c r="C563" s="3"/>
      <c r="D563" s="3"/>
      <c r="E563" s="3"/>
      <c r="F563" s="3"/>
      <c r="G563" s="3"/>
      <c r="H563" s="3"/>
      <c r="I563" s="3"/>
      <c r="J563" s="3"/>
      <c r="K563" s="3"/>
      <c r="L563" s="3"/>
      <c r="M563" s="3"/>
      <c r="N563" s="3"/>
      <c r="O563" s="3"/>
      <c r="P563" s="3"/>
      <c r="Q563" s="3"/>
      <c r="R563" s="3"/>
      <c r="S563" s="3"/>
      <c r="T563" s="3"/>
      <c r="U563" s="3"/>
      <c r="V563" s="3"/>
      <c r="W563" s="3"/>
      <c r="X563" s="1"/>
      <c r="Y563" s="1"/>
      <c r="Z563" s="1"/>
    </row>
    <row r="564" ht="12.75" customHeight="1">
      <c r="A564" s="1"/>
      <c r="B564" s="3"/>
      <c r="C564" s="3"/>
      <c r="D564" s="3"/>
      <c r="E564" s="3"/>
      <c r="F564" s="3"/>
      <c r="G564" s="3"/>
      <c r="H564" s="3"/>
      <c r="I564" s="3"/>
      <c r="J564" s="3"/>
      <c r="K564" s="3"/>
      <c r="L564" s="3"/>
      <c r="M564" s="3"/>
      <c r="N564" s="3"/>
      <c r="O564" s="3"/>
      <c r="P564" s="3"/>
      <c r="Q564" s="3"/>
      <c r="R564" s="3"/>
      <c r="S564" s="3"/>
      <c r="T564" s="3"/>
      <c r="U564" s="3"/>
      <c r="V564" s="3"/>
      <c r="W564" s="3"/>
      <c r="X564" s="1"/>
      <c r="Y564" s="1"/>
      <c r="Z564" s="1"/>
    </row>
    <row r="565" ht="12.75" customHeight="1">
      <c r="A565" s="1"/>
      <c r="B565" s="3"/>
      <c r="C565" s="3"/>
      <c r="D565" s="3"/>
      <c r="E565" s="3"/>
      <c r="F565" s="3"/>
      <c r="G565" s="3"/>
      <c r="H565" s="3"/>
      <c r="I565" s="3"/>
      <c r="J565" s="3"/>
      <c r="K565" s="3"/>
      <c r="L565" s="3"/>
      <c r="M565" s="3"/>
      <c r="N565" s="3"/>
      <c r="O565" s="3"/>
      <c r="P565" s="3"/>
      <c r="Q565" s="3"/>
      <c r="R565" s="3"/>
      <c r="S565" s="3"/>
      <c r="T565" s="3"/>
      <c r="U565" s="3"/>
      <c r="V565" s="3"/>
      <c r="W565" s="3"/>
      <c r="X565" s="1"/>
      <c r="Y565" s="1"/>
      <c r="Z565" s="1"/>
    </row>
    <row r="566" ht="12.75" customHeight="1">
      <c r="A566" s="1"/>
      <c r="B566" s="3"/>
      <c r="C566" s="3"/>
      <c r="D566" s="3"/>
      <c r="E566" s="3"/>
      <c r="F566" s="3"/>
      <c r="G566" s="3"/>
      <c r="H566" s="3"/>
      <c r="I566" s="3"/>
      <c r="J566" s="3"/>
      <c r="K566" s="3"/>
      <c r="L566" s="3"/>
      <c r="M566" s="3"/>
      <c r="N566" s="3"/>
      <c r="O566" s="3"/>
      <c r="P566" s="3"/>
      <c r="Q566" s="3"/>
      <c r="R566" s="3"/>
      <c r="S566" s="3"/>
      <c r="T566" s="3"/>
      <c r="U566" s="3"/>
      <c r="V566" s="3"/>
      <c r="W566" s="3"/>
      <c r="X566" s="1"/>
      <c r="Y566" s="1"/>
      <c r="Z566" s="1"/>
    </row>
    <row r="567" ht="12.75" customHeight="1">
      <c r="A567" s="1"/>
      <c r="B567" s="3"/>
      <c r="C567" s="3"/>
      <c r="D567" s="3"/>
      <c r="E567" s="3"/>
      <c r="F567" s="3"/>
      <c r="G567" s="3"/>
      <c r="H567" s="3"/>
      <c r="I567" s="3"/>
      <c r="J567" s="3"/>
      <c r="K567" s="3"/>
      <c r="L567" s="3"/>
      <c r="M567" s="3"/>
      <c r="N567" s="3"/>
      <c r="O567" s="3"/>
      <c r="P567" s="3"/>
      <c r="Q567" s="3"/>
      <c r="R567" s="3"/>
      <c r="S567" s="3"/>
      <c r="T567" s="3"/>
      <c r="U567" s="3"/>
      <c r="V567" s="3"/>
      <c r="W567" s="3"/>
      <c r="X567" s="1"/>
      <c r="Y567" s="1"/>
      <c r="Z567" s="1"/>
    </row>
    <row r="568" ht="12.75" customHeight="1">
      <c r="A568" s="1"/>
      <c r="B568" s="3"/>
      <c r="C568" s="3"/>
      <c r="D568" s="3"/>
      <c r="E568" s="3"/>
      <c r="F568" s="3"/>
      <c r="G568" s="3"/>
      <c r="H568" s="3"/>
      <c r="I568" s="3"/>
      <c r="J568" s="3"/>
      <c r="K568" s="3"/>
      <c r="L568" s="3"/>
      <c r="M568" s="3"/>
      <c r="N568" s="3"/>
      <c r="O568" s="3"/>
      <c r="P568" s="3"/>
      <c r="Q568" s="3"/>
      <c r="R568" s="3"/>
      <c r="S568" s="3"/>
      <c r="T568" s="3"/>
      <c r="U568" s="3"/>
      <c r="V568" s="3"/>
      <c r="W568" s="3"/>
      <c r="X568" s="1"/>
      <c r="Y568" s="1"/>
      <c r="Z568" s="1"/>
    </row>
    <row r="569" ht="12.75" customHeight="1">
      <c r="A569" s="1"/>
      <c r="B569" s="3"/>
      <c r="C569" s="3"/>
      <c r="D569" s="3"/>
      <c r="E569" s="3"/>
      <c r="F569" s="3"/>
      <c r="G569" s="3"/>
      <c r="H569" s="3"/>
      <c r="I569" s="3"/>
      <c r="J569" s="3"/>
      <c r="K569" s="3"/>
      <c r="L569" s="3"/>
      <c r="M569" s="3"/>
      <c r="N569" s="3"/>
      <c r="O569" s="3"/>
      <c r="P569" s="3"/>
      <c r="Q569" s="3"/>
      <c r="R569" s="3"/>
      <c r="S569" s="3"/>
      <c r="T569" s="3"/>
      <c r="U569" s="3"/>
      <c r="V569" s="3"/>
      <c r="W569" s="3"/>
      <c r="X569" s="1"/>
      <c r="Y569" s="1"/>
      <c r="Z569" s="1"/>
    </row>
    <row r="570" ht="12.75" customHeight="1">
      <c r="A570" s="1"/>
      <c r="B570" s="3"/>
      <c r="C570" s="3"/>
      <c r="D570" s="3"/>
      <c r="E570" s="3"/>
      <c r="F570" s="3"/>
      <c r="G570" s="3"/>
      <c r="H570" s="3"/>
      <c r="I570" s="3"/>
      <c r="J570" s="3"/>
      <c r="K570" s="3"/>
      <c r="L570" s="3"/>
      <c r="M570" s="3"/>
      <c r="N570" s="3"/>
      <c r="O570" s="3"/>
      <c r="P570" s="3"/>
      <c r="Q570" s="3"/>
      <c r="R570" s="3"/>
      <c r="S570" s="3"/>
      <c r="T570" s="3"/>
      <c r="U570" s="3"/>
      <c r="V570" s="3"/>
      <c r="W570" s="3"/>
      <c r="X570" s="1"/>
      <c r="Y570" s="1"/>
      <c r="Z570" s="1"/>
    </row>
    <row r="571" ht="12.75" customHeight="1">
      <c r="A571" s="1"/>
      <c r="B571" s="3"/>
      <c r="C571" s="3"/>
      <c r="D571" s="3"/>
      <c r="E571" s="3"/>
      <c r="F571" s="3"/>
      <c r="G571" s="3"/>
      <c r="H571" s="3"/>
      <c r="I571" s="3"/>
      <c r="J571" s="3"/>
      <c r="K571" s="3"/>
      <c r="L571" s="3"/>
      <c r="M571" s="3"/>
      <c r="N571" s="3"/>
      <c r="O571" s="3"/>
      <c r="P571" s="3"/>
      <c r="Q571" s="3"/>
      <c r="R571" s="3"/>
      <c r="S571" s="3"/>
      <c r="T571" s="3"/>
      <c r="U571" s="3"/>
      <c r="V571" s="3"/>
      <c r="W571" s="3"/>
      <c r="X571" s="1"/>
      <c r="Y571" s="1"/>
      <c r="Z571" s="1"/>
    </row>
    <row r="572" ht="12.75" customHeight="1">
      <c r="A572" s="1"/>
      <c r="B572" s="3"/>
      <c r="C572" s="3"/>
      <c r="D572" s="3"/>
      <c r="E572" s="3"/>
      <c r="F572" s="3"/>
      <c r="G572" s="3"/>
      <c r="H572" s="3"/>
      <c r="I572" s="3"/>
      <c r="J572" s="3"/>
      <c r="K572" s="3"/>
      <c r="L572" s="3"/>
      <c r="M572" s="3"/>
      <c r="N572" s="3"/>
      <c r="O572" s="3"/>
      <c r="P572" s="3"/>
      <c r="Q572" s="3"/>
      <c r="R572" s="3"/>
      <c r="S572" s="3"/>
      <c r="T572" s="3"/>
      <c r="U572" s="3"/>
      <c r="V572" s="3"/>
      <c r="W572" s="3"/>
      <c r="X572" s="1"/>
      <c r="Y572" s="1"/>
      <c r="Z572" s="1"/>
    </row>
    <row r="573" ht="12.75" customHeight="1">
      <c r="A573" s="1"/>
      <c r="B573" s="3"/>
      <c r="C573" s="3"/>
      <c r="D573" s="3"/>
      <c r="E573" s="3"/>
      <c r="F573" s="3"/>
      <c r="G573" s="3"/>
      <c r="H573" s="3"/>
      <c r="I573" s="3"/>
      <c r="J573" s="3"/>
      <c r="K573" s="3"/>
      <c r="L573" s="3"/>
      <c r="M573" s="3"/>
      <c r="N573" s="3"/>
      <c r="O573" s="3"/>
      <c r="P573" s="3"/>
      <c r="Q573" s="3"/>
      <c r="R573" s="3"/>
      <c r="S573" s="3"/>
      <c r="T573" s="3"/>
      <c r="U573" s="3"/>
      <c r="V573" s="3"/>
      <c r="W573" s="3"/>
      <c r="X573" s="1"/>
      <c r="Y573" s="1"/>
      <c r="Z573" s="1"/>
    </row>
    <row r="574" ht="12.75" customHeight="1">
      <c r="A574" s="1"/>
      <c r="B574" s="3"/>
      <c r="C574" s="3"/>
      <c r="D574" s="3"/>
      <c r="E574" s="3"/>
      <c r="F574" s="3"/>
      <c r="G574" s="3"/>
      <c r="H574" s="3"/>
      <c r="I574" s="3"/>
      <c r="J574" s="3"/>
      <c r="K574" s="3"/>
      <c r="L574" s="3"/>
      <c r="M574" s="3"/>
      <c r="N574" s="3"/>
      <c r="O574" s="3"/>
      <c r="P574" s="3"/>
      <c r="Q574" s="3"/>
      <c r="R574" s="3"/>
      <c r="S574" s="3"/>
      <c r="T574" s="3"/>
      <c r="U574" s="3"/>
      <c r="V574" s="3"/>
      <c r="W574" s="3"/>
      <c r="X574" s="1"/>
      <c r="Y574" s="1"/>
      <c r="Z574" s="1"/>
    </row>
    <row r="575" ht="12.75" customHeight="1">
      <c r="A575" s="1"/>
      <c r="B575" s="3"/>
      <c r="C575" s="3"/>
      <c r="D575" s="3"/>
      <c r="E575" s="3"/>
      <c r="F575" s="3"/>
      <c r="G575" s="3"/>
      <c r="H575" s="3"/>
      <c r="I575" s="3"/>
      <c r="J575" s="3"/>
      <c r="K575" s="3"/>
      <c r="L575" s="3"/>
      <c r="M575" s="3"/>
      <c r="N575" s="3"/>
      <c r="O575" s="3"/>
      <c r="P575" s="3"/>
      <c r="Q575" s="3"/>
      <c r="R575" s="3"/>
      <c r="S575" s="3"/>
      <c r="T575" s="3"/>
      <c r="U575" s="3"/>
      <c r="V575" s="3"/>
      <c r="W575" s="3"/>
      <c r="X575" s="1"/>
      <c r="Y575" s="1"/>
      <c r="Z575" s="1"/>
    </row>
    <row r="576" ht="12.75" customHeight="1">
      <c r="A576" s="1"/>
      <c r="B576" s="3"/>
      <c r="C576" s="3"/>
      <c r="D576" s="3"/>
      <c r="E576" s="3"/>
      <c r="F576" s="3"/>
      <c r="G576" s="3"/>
      <c r="H576" s="3"/>
      <c r="I576" s="3"/>
      <c r="J576" s="3"/>
      <c r="K576" s="3"/>
      <c r="L576" s="3"/>
      <c r="M576" s="3"/>
      <c r="N576" s="3"/>
      <c r="O576" s="3"/>
      <c r="P576" s="3"/>
      <c r="Q576" s="3"/>
      <c r="R576" s="3"/>
      <c r="S576" s="3"/>
      <c r="T576" s="3"/>
      <c r="U576" s="3"/>
      <c r="V576" s="3"/>
      <c r="W576" s="3"/>
      <c r="X576" s="1"/>
      <c r="Y576" s="1"/>
      <c r="Z576" s="1"/>
    </row>
    <row r="577" ht="12.75" customHeight="1">
      <c r="A577" s="1"/>
      <c r="B577" s="3"/>
      <c r="C577" s="3"/>
      <c r="D577" s="3"/>
      <c r="E577" s="3"/>
      <c r="F577" s="3"/>
      <c r="G577" s="3"/>
      <c r="H577" s="3"/>
      <c r="I577" s="3"/>
      <c r="J577" s="3"/>
      <c r="K577" s="3"/>
      <c r="L577" s="3"/>
      <c r="M577" s="3"/>
      <c r="N577" s="3"/>
      <c r="O577" s="3"/>
      <c r="P577" s="3"/>
      <c r="Q577" s="3"/>
      <c r="R577" s="3"/>
      <c r="S577" s="3"/>
      <c r="T577" s="3"/>
      <c r="U577" s="3"/>
      <c r="V577" s="3"/>
      <c r="W577" s="3"/>
      <c r="X577" s="1"/>
      <c r="Y577" s="1"/>
      <c r="Z577" s="1"/>
    </row>
    <row r="578" ht="12.75" customHeight="1">
      <c r="A578" s="1"/>
      <c r="B578" s="3"/>
      <c r="C578" s="3"/>
      <c r="D578" s="3"/>
      <c r="E578" s="3"/>
      <c r="F578" s="3"/>
      <c r="G578" s="3"/>
      <c r="H578" s="3"/>
      <c r="I578" s="3"/>
      <c r="J578" s="3"/>
      <c r="K578" s="3"/>
      <c r="L578" s="3"/>
      <c r="M578" s="3"/>
      <c r="N578" s="3"/>
      <c r="O578" s="3"/>
      <c r="P578" s="3"/>
      <c r="Q578" s="3"/>
      <c r="R578" s="3"/>
      <c r="S578" s="3"/>
      <c r="T578" s="3"/>
      <c r="U578" s="3"/>
      <c r="V578" s="3"/>
      <c r="W578" s="3"/>
      <c r="X578" s="1"/>
      <c r="Y578" s="1"/>
      <c r="Z578" s="1"/>
    </row>
    <row r="579" ht="12.75" customHeight="1">
      <c r="A579" s="1"/>
      <c r="B579" s="3"/>
      <c r="C579" s="3"/>
      <c r="D579" s="3"/>
      <c r="E579" s="3"/>
      <c r="F579" s="3"/>
      <c r="G579" s="3"/>
      <c r="H579" s="3"/>
      <c r="I579" s="3"/>
      <c r="J579" s="3"/>
      <c r="K579" s="3"/>
      <c r="L579" s="3"/>
      <c r="M579" s="3"/>
      <c r="N579" s="3"/>
      <c r="O579" s="3"/>
      <c r="P579" s="3"/>
      <c r="Q579" s="3"/>
      <c r="R579" s="3"/>
      <c r="S579" s="3"/>
      <c r="T579" s="3"/>
      <c r="U579" s="3"/>
      <c r="V579" s="3"/>
      <c r="W579" s="3"/>
      <c r="X579" s="1"/>
      <c r="Y579" s="1"/>
      <c r="Z579" s="1"/>
    </row>
    <row r="580" ht="12.75" customHeight="1">
      <c r="A580" s="1"/>
      <c r="B580" s="3"/>
      <c r="C580" s="3"/>
      <c r="D580" s="3"/>
      <c r="E580" s="3"/>
      <c r="F580" s="3"/>
      <c r="G580" s="3"/>
      <c r="H580" s="3"/>
      <c r="I580" s="3"/>
      <c r="J580" s="3"/>
      <c r="K580" s="3"/>
      <c r="L580" s="3"/>
      <c r="M580" s="3"/>
      <c r="N580" s="3"/>
      <c r="O580" s="3"/>
      <c r="P580" s="3"/>
      <c r="Q580" s="3"/>
      <c r="R580" s="3"/>
      <c r="S580" s="3"/>
      <c r="T580" s="3"/>
      <c r="U580" s="3"/>
      <c r="V580" s="3"/>
      <c r="W580" s="3"/>
      <c r="X580" s="1"/>
      <c r="Y580" s="1"/>
      <c r="Z580" s="1"/>
    </row>
    <row r="581" ht="12.75" customHeight="1">
      <c r="A581" s="1"/>
      <c r="B581" s="3"/>
      <c r="C581" s="3"/>
      <c r="D581" s="3"/>
      <c r="E581" s="3"/>
      <c r="F581" s="3"/>
      <c r="G581" s="3"/>
      <c r="H581" s="3"/>
      <c r="I581" s="3"/>
      <c r="J581" s="3"/>
      <c r="K581" s="3"/>
      <c r="L581" s="3"/>
      <c r="M581" s="3"/>
      <c r="N581" s="3"/>
      <c r="O581" s="3"/>
      <c r="P581" s="3"/>
      <c r="Q581" s="3"/>
      <c r="R581" s="3"/>
      <c r="S581" s="3"/>
      <c r="T581" s="3"/>
      <c r="U581" s="3"/>
      <c r="V581" s="3"/>
      <c r="W581" s="3"/>
      <c r="X581" s="1"/>
      <c r="Y581" s="1"/>
      <c r="Z581" s="1"/>
    </row>
    <row r="582" ht="12.75" customHeight="1">
      <c r="A582" s="1"/>
      <c r="B582" s="3"/>
      <c r="C582" s="3"/>
      <c r="D582" s="3"/>
      <c r="E582" s="3"/>
      <c r="F582" s="3"/>
      <c r="G582" s="3"/>
      <c r="H582" s="3"/>
      <c r="I582" s="3"/>
      <c r="J582" s="3"/>
      <c r="K582" s="3"/>
      <c r="L582" s="3"/>
      <c r="M582" s="3"/>
      <c r="N582" s="3"/>
      <c r="O582" s="3"/>
      <c r="P582" s="3"/>
      <c r="Q582" s="3"/>
      <c r="R582" s="3"/>
      <c r="S582" s="3"/>
      <c r="T582" s="3"/>
      <c r="U582" s="3"/>
      <c r="V582" s="3"/>
      <c r="W582" s="3"/>
      <c r="X582" s="1"/>
      <c r="Y582" s="1"/>
      <c r="Z582" s="1"/>
    </row>
    <row r="583" ht="12.75" customHeight="1">
      <c r="A583" s="1"/>
      <c r="B583" s="3"/>
      <c r="C583" s="3"/>
      <c r="D583" s="3"/>
      <c r="E583" s="3"/>
      <c r="F583" s="3"/>
      <c r="G583" s="3"/>
      <c r="H583" s="3"/>
      <c r="I583" s="3"/>
      <c r="J583" s="3"/>
      <c r="K583" s="3"/>
      <c r="L583" s="3"/>
      <c r="M583" s="3"/>
      <c r="N583" s="3"/>
      <c r="O583" s="3"/>
      <c r="P583" s="3"/>
      <c r="Q583" s="3"/>
      <c r="R583" s="3"/>
      <c r="S583" s="3"/>
      <c r="T583" s="3"/>
      <c r="U583" s="3"/>
      <c r="V583" s="3"/>
      <c r="W583" s="3"/>
      <c r="X583" s="1"/>
      <c r="Y583" s="1"/>
      <c r="Z583" s="1"/>
    </row>
    <row r="584" ht="12.75" customHeight="1">
      <c r="A584" s="1"/>
      <c r="B584" s="3"/>
      <c r="C584" s="3"/>
      <c r="D584" s="3"/>
      <c r="E584" s="3"/>
      <c r="F584" s="3"/>
      <c r="G584" s="3"/>
      <c r="H584" s="3"/>
      <c r="I584" s="3"/>
      <c r="J584" s="3"/>
      <c r="K584" s="3"/>
      <c r="L584" s="3"/>
      <c r="M584" s="3"/>
      <c r="N584" s="3"/>
      <c r="O584" s="3"/>
      <c r="P584" s="3"/>
      <c r="Q584" s="3"/>
      <c r="R584" s="3"/>
      <c r="S584" s="3"/>
      <c r="T584" s="3"/>
      <c r="U584" s="3"/>
      <c r="V584" s="3"/>
      <c r="W584" s="3"/>
      <c r="X584" s="1"/>
      <c r="Y584" s="1"/>
      <c r="Z584" s="1"/>
    </row>
    <row r="585" ht="12.75" customHeight="1">
      <c r="A585" s="1"/>
      <c r="B585" s="3"/>
      <c r="C585" s="3"/>
      <c r="D585" s="3"/>
      <c r="E585" s="3"/>
      <c r="F585" s="3"/>
      <c r="G585" s="3"/>
      <c r="H585" s="3"/>
      <c r="I585" s="3"/>
      <c r="J585" s="3"/>
      <c r="K585" s="3"/>
      <c r="L585" s="3"/>
      <c r="M585" s="3"/>
      <c r="N585" s="3"/>
      <c r="O585" s="3"/>
      <c r="P585" s="3"/>
      <c r="Q585" s="3"/>
      <c r="R585" s="3"/>
      <c r="S585" s="3"/>
      <c r="T585" s="3"/>
      <c r="U585" s="3"/>
      <c r="V585" s="3"/>
      <c r="W585" s="3"/>
      <c r="X585" s="1"/>
      <c r="Y585" s="1"/>
      <c r="Z585" s="1"/>
    </row>
    <row r="586" ht="12.75" customHeight="1">
      <c r="A586" s="1"/>
      <c r="B586" s="3"/>
      <c r="C586" s="3"/>
      <c r="D586" s="3"/>
      <c r="E586" s="3"/>
      <c r="F586" s="3"/>
      <c r="G586" s="3"/>
      <c r="H586" s="3"/>
      <c r="I586" s="3"/>
      <c r="J586" s="3"/>
      <c r="K586" s="3"/>
      <c r="L586" s="3"/>
      <c r="M586" s="3"/>
      <c r="N586" s="3"/>
      <c r="O586" s="3"/>
      <c r="P586" s="3"/>
      <c r="Q586" s="3"/>
      <c r="R586" s="3"/>
      <c r="S586" s="3"/>
      <c r="T586" s="3"/>
      <c r="U586" s="3"/>
      <c r="V586" s="3"/>
      <c r="W586" s="3"/>
      <c r="X586" s="1"/>
      <c r="Y586" s="1"/>
      <c r="Z586" s="1"/>
    </row>
    <row r="587" ht="12.75" customHeight="1">
      <c r="A587" s="1"/>
      <c r="B587" s="3"/>
      <c r="C587" s="3"/>
      <c r="D587" s="3"/>
      <c r="E587" s="3"/>
      <c r="F587" s="3"/>
      <c r="G587" s="3"/>
      <c r="H587" s="3"/>
      <c r="I587" s="3"/>
      <c r="J587" s="3"/>
      <c r="K587" s="3"/>
      <c r="L587" s="3"/>
      <c r="M587" s="3"/>
      <c r="N587" s="3"/>
      <c r="O587" s="3"/>
      <c r="P587" s="3"/>
      <c r="Q587" s="3"/>
      <c r="R587" s="3"/>
      <c r="S587" s="3"/>
      <c r="T587" s="3"/>
      <c r="U587" s="3"/>
      <c r="V587" s="3"/>
      <c r="W587" s="3"/>
      <c r="X587" s="1"/>
      <c r="Y587" s="1"/>
      <c r="Z587" s="1"/>
    </row>
    <row r="588" ht="12.75" customHeight="1">
      <c r="A588" s="1"/>
      <c r="B588" s="3"/>
      <c r="C588" s="3"/>
      <c r="D588" s="3"/>
      <c r="E588" s="3"/>
      <c r="F588" s="3"/>
      <c r="G588" s="3"/>
      <c r="H588" s="3"/>
      <c r="I588" s="3"/>
      <c r="J588" s="3"/>
      <c r="K588" s="3"/>
      <c r="L588" s="3"/>
      <c r="M588" s="3"/>
      <c r="N588" s="3"/>
      <c r="O588" s="3"/>
      <c r="P588" s="3"/>
      <c r="Q588" s="3"/>
      <c r="R588" s="3"/>
      <c r="S588" s="3"/>
      <c r="T588" s="3"/>
      <c r="U588" s="3"/>
      <c r="V588" s="3"/>
      <c r="W588" s="3"/>
      <c r="X588" s="1"/>
      <c r="Y588" s="1"/>
      <c r="Z588" s="1"/>
    </row>
    <row r="589" ht="12.75" customHeight="1">
      <c r="A589" s="1"/>
      <c r="B589" s="3"/>
      <c r="C589" s="3"/>
      <c r="D589" s="3"/>
      <c r="E589" s="3"/>
      <c r="F589" s="3"/>
      <c r="G589" s="3"/>
      <c r="H589" s="3"/>
      <c r="I589" s="3"/>
      <c r="J589" s="3"/>
      <c r="K589" s="3"/>
      <c r="L589" s="3"/>
      <c r="M589" s="3"/>
      <c r="N589" s="3"/>
      <c r="O589" s="3"/>
      <c r="P589" s="3"/>
      <c r="Q589" s="3"/>
      <c r="R589" s="3"/>
      <c r="S589" s="3"/>
      <c r="T589" s="3"/>
      <c r="U589" s="3"/>
      <c r="V589" s="3"/>
      <c r="W589" s="3"/>
      <c r="X589" s="1"/>
      <c r="Y589" s="1"/>
      <c r="Z589" s="1"/>
    </row>
    <row r="590" ht="12.75" customHeight="1">
      <c r="A590" s="1"/>
      <c r="B590" s="3"/>
      <c r="C590" s="3"/>
      <c r="D590" s="3"/>
      <c r="E590" s="3"/>
      <c r="F590" s="3"/>
      <c r="G590" s="3"/>
      <c r="H590" s="3"/>
      <c r="I590" s="3"/>
      <c r="J590" s="3"/>
      <c r="K590" s="3"/>
      <c r="L590" s="3"/>
      <c r="M590" s="3"/>
      <c r="N590" s="3"/>
      <c r="O590" s="3"/>
      <c r="P590" s="3"/>
      <c r="Q590" s="3"/>
      <c r="R590" s="3"/>
      <c r="S590" s="3"/>
      <c r="T590" s="3"/>
      <c r="U590" s="3"/>
      <c r="V590" s="3"/>
      <c r="W590" s="3"/>
      <c r="X590" s="1"/>
      <c r="Y590" s="1"/>
      <c r="Z590" s="1"/>
    </row>
    <row r="591" ht="12.75" customHeight="1">
      <c r="A591" s="1"/>
      <c r="B591" s="3"/>
      <c r="C591" s="3"/>
      <c r="D591" s="3"/>
      <c r="E591" s="3"/>
      <c r="F591" s="3"/>
      <c r="G591" s="3"/>
      <c r="H591" s="3"/>
      <c r="I591" s="3"/>
      <c r="J591" s="3"/>
      <c r="K591" s="3"/>
      <c r="L591" s="3"/>
      <c r="M591" s="3"/>
      <c r="N591" s="3"/>
      <c r="O591" s="3"/>
      <c r="P591" s="3"/>
      <c r="Q591" s="3"/>
      <c r="R591" s="3"/>
      <c r="S591" s="3"/>
      <c r="T591" s="3"/>
      <c r="U591" s="3"/>
      <c r="V591" s="3"/>
      <c r="W591" s="3"/>
      <c r="X591" s="1"/>
      <c r="Y591" s="1"/>
      <c r="Z591" s="1"/>
    </row>
    <row r="592" ht="12.75" customHeight="1">
      <c r="A592" s="1"/>
      <c r="B592" s="3"/>
      <c r="C592" s="3"/>
      <c r="D592" s="3"/>
      <c r="E592" s="3"/>
      <c r="F592" s="3"/>
      <c r="G592" s="3"/>
      <c r="H592" s="3"/>
      <c r="I592" s="3"/>
      <c r="J592" s="3"/>
      <c r="K592" s="3"/>
      <c r="L592" s="3"/>
      <c r="M592" s="3"/>
      <c r="N592" s="3"/>
      <c r="O592" s="3"/>
      <c r="P592" s="3"/>
      <c r="Q592" s="3"/>
      <c r="R592" s="3"/>
      <c r="S592" s="3"/>
      <c r="T592" s="3"/>
      <c r="U592" s="3"/>
      <c r="V592" s="3"/>
      <c r="W592" s="3"/>
      <c r="X592" s="1"/>
      <c r="Y592" s="1"/>
      <c r="Z592" s="1"/>
    </row>
    <row r="593" ht="12.75" customHeight="1">
      <c r="A593" s="1"/>
      <c r="B593" s="3"/>
      <c r="C593" s="3"/>
      <c r="D593" s="3"/>
      <c r="E593" s="3"/>
      <c r="F593" s="3"/>
      <c r="G593" s="3"/>
      <c r="H593" s="3"/>
      <c r="I593" s="3"/>
      <c r="J593" s="3"/>
      <c r="K593" s="3"/>
      <c r="L593" s="3"/>
      <c r="M593" s="3"/>
      <c r="N593" s="3"/>
      <c r="O593" s="3"/>
      <c r="P593" s="3"/>
      <c r="Q593" s="3"/>
      <c r="R593" s="3"/>
      <c r="S593" s="3"/>
      <c r="T593" s="3"/>
      <c r="U593" s="3"/>
      <c r="V593" s="3"/>
      <c r="W593" s="3"/>
      <c r="X593" s="1"/>
      <c r="Y593" s="1"/>
      <c r="Z593" s="1"/>
    </row>
    <row r="594" ht="12.75" customHeight="1">
      <c r="A594" s="1"/>
      <c r="B594" s="3"/>
      <c r="C594" s="3"/>
      <c r="D594" s="3"/>
      <c r="E594" s="3"/>
      <c r="F594" s="3"/>
      <c r="G594" s="3"/>
      <c r="H594" s="3"/>
      <c r="I594" s="3"/>
      <c r="J594" s="3"/>
      <c r="K594" s="3"/>
      <c r="L594" s="3"/>
      <c r="M594" s="3"/>
      <c r="N594" s="3"/>
      <c r="O594" s="3"/>
      <c r="P594" s="3"/>
      <c r="Q594" s="3"/>
      <c r="R594" s="3"/>
      <c r="S594" s="3"/>
      <c r="T594" s="3"/>
      <c r="U594" s="3"/>
      <c r="V594" s="3"/>
      <c r="W594" s="3"/>
      <c r="X594" s="1"/>
      <c r="Y594" s="1"/>
      <c r="Z594" s="1"/>
    </row>
    <row r="595" ht="12.75" customHeight="1">
      <c r="A595" s="1"/>
      <c r="B595" s="3"/>
      <c r="C595" s="3"/>
      <c r="D595" s="3"/>
      <c r="E595" s="3"/>
      <c r="F595" s="3"/>
      <c r="G595" s="3"/>
      <c r="H595" s="3"/>
      <c r="I595" s="3"/>
      <c r="J595" s="3"/>
      <c r="K595" s="3"/>
      <c r="L595" s="3"/>
      <c r="M595" s="3"/>
      <c r="N595" s="3"/>
      <c r="O595" s="3"/>
      <c r="P595" s="3"/>
      <c r="Q595" s="3"/>
      <c r="R595" s="3"/>
      <c r="S595" s="3"/>
      <c r="T595" s="3"/>
      <c r="U595" s="3"/>
      <c r="V595" s="3"/>
      <c r="W595" s="3"/>
      <c r="X595" s="1"/>
      <c r="Y595" s="1"/>
      <c r="Z595" s="1"/>
    </row>
    <row r="596" ht="12.75" customHeight="1">
      <c r="A596" s="1"/>
      <c r="B596" s="3"/>
      <c r="C596" s="3"/>
      <c r="D596" s="3"/>
      <c r="E596" s="3"/>
      <c r="F596" s="3"/>
      <c r="G596" s="3"/>
      <c r="H596" s="3"/>
      <c r="I596" s="3"/>
      <c r="J596" s="3"/>
      <c r="K596" s="3"/>
      <c r="L596" s="3"/>
      <c r="M596" s="3"/>
      <c r="N596" s="3"/>
      <c r="O596" s="3"/>
      <c r="P596" s="3"/>
      <c r="Q596" s="3"/>
      <c r="R596" s="3"/>
      <c r="S596" s="3"/>
      <c r="T596" s="3"/>
      <c r="U596" s="3"/>
      <c r="V596" s="3"/>
      <c r="W596" s="3"/>
      <c r="X596" s="1"/>
      <c r="Y596" s="1"/>
      <c r="Z596" s="1"/>
    </row>
    <row r="597" ht="12.75" customHeight="1">
      <c r="A597" s="1"/>
      <c r="B597" s="3"/>
      <c r="C597" s="3"/>
      <c r="D597" s="3"/>
      <c r="E597" s="3"/>
      <c r="F597" s="3"/>
      <c r="G597" s="3"/>
      <c r="H597" s="3"/>
      <c r="I597" s="3"/>
      <c r="J597" s="3"/>
      <c r="K597" s="3"/>
      <c r="L597" s="3"/>
      <c r="M597" s="3"/>
      <c r="N597" s="3"/>
      <c r="O597" s="3"/>
      <c r="P597" s="3"/>
      <c r="Q597" s="3"/>
      <c r="R597" s="3"/>
      <c r="S597" s="3"/>
      <c r="T597" s="3"/>
      <c r="U597" s="3"/>
      <c r="V597" s="3"/>
      <c r="W597" s="3"/>
      <c r="X597" s="1"/>
      <c r="Y597" s="1"/>
      <c r="Z597" s="1"/>
    </row>
    <row r="598" ht="12.75" customHeight="1">
      <c r="A598" s="1"/>
      <c r="B598" s="3"/>
      <c r="C598" s="3"/>
      <c r="D598" s="3"/>
      <c r="E598" s="3"/>
      <c r="F598" s="3"/>
      <c r="G598" s="3"/>
      <c r="H598" s="3"/>
      <c r="I598" s="3"/>
      <c r="J598" s="3"/>
      <c r="K598" s="3"/>
      <c r="L598" s="3"/>
      <c r="M598" s="3"/>
      <c r="N598" s="3"/>
      <c r="O598" s="3"/>
      <c r="P598" s="3"/>
      <c r="Q598" s="3"/>
      <c r="R598" s="3"/>
      <c r="S598" s="3"/>
      <c r="T598" s="3"/>
      <c r="U598" s="3"/>
      <c r="V598" s="3"/>
      <c r="W598" s="3"/>
      <c r="X598" s="1"/>
      <c r="Y598" s="1"/>
      <c r="Z598" s="1"/>
    </row>
    <row r="599" ht="12.75" customHeight="1">
      <c r="A599" s="1"/>
      <c r="B599" s="3"/>
      <c r="C599" s="3"/>
      <c r="D599" s="3"/>
      <c r="E599" s="3"/>
      <c r="F599" s="3"/>
      <c r="G599" s="3"/>
      <c r="H599" s="3"/>
      <c r="I599" s="3"/>
      <c r="J599" s="3"/>
      <c r="K599" s="3"/>
      <c r="L599" s="3"/>
      <c r="M599" s="3"/>
      <c r="N599" s="3"/>
      <c r="O599" s="3"/>
      <c r="P599" s="3"/>
      <c r="Q599" s="3"/>
      <c r="R599" s="3"/>
      <c r="S599" s="3"/>
      <c r="T599" s="3"/>
      <c r="U599" s="3"/>
      <c r="V599" s="3"/>
      <c r="W599" s="3"/>
      <c r="X599" s="1"/>
      <c r="Y599" s="1"/>
      <c r="Z599" s="1"/>
    </row>
    <row r="600" ht="12.75" customHeight="1">
      <c r="A600" s="1"/>
      <c r="B600" s="3"/>
      <c r="C600" s="3"/>
      <c r="D600" s="3"/>
      <c r="E600" s="3"/>
      <c r="F600" s="3"/>
      <c r="G600" s="3"/>
      <c r="H600" s="3"/>
      <c r="I600" s="3"/>
      <c r="J600" s="3"/>
      <c r="K600" s="3"/>
      <c r="L600" s="3"/>
      <c r="M600" s="3"/>
      <c r="N600" s="3"/>
      <c r="O600" s="3"/>
      <c r="P600" s="3"/>
      <c r="Q600" s="3"/>
      <c r="R600" s="3"/>
      <c r="S600" s="3"/>
      <c r="T600" s="3"/>
      <c r="U600" s="3"/>
      <c r="V600" s="3"/>
      <c r="W600" s="3"/>
      <c r="X600" s="1"/>
      <c r="Y600" s="1"/>
      <c r="Z600" s="1"/>
    </row>
    <row r="601" ht="12.75" customHeight="1">
      <c r="A601" s="1"/>
      <c r="B601" s="3"/>
      <c r="C601" s="3"/>
      <c r="D601" s="3"/>
      <c r="E601" s="3"/>
      <c r="F601" s="3"/>
      <c r="G601" s="3"/>
      <c r="H601" s="3"/>
      <c r="I601" s="3"/>
      <c r="J601" s="3"/>
      <c r="K601" s="3"/>
      <c r="L601" s="3"/>
      <c r="M601" s="3"/>
      <c r="N601" s="3"/>
      <c r="O601" s="3"/>
      <c r="P601" s="3"/>
      <c r="Q601" s="3"/>
      <c r="R601" s="3"/>
      <c r="S601" s="3"/>
      <c r="T601" s="3"/>
      <c r="U601" s="3"/>
      <c r="V601" s="3"/>
      <c r="W601" s="3"/>
      <c r="X601" s="1"/>
      <c r="Y601" s="1"/>
      <c r="Z601" s="1"/>
    </row>
    <row r="602" ht="12.75" customHeight="1">
      <c r="A602" s="1"/>
      <c r="B602" s="3"/>
      <c r="C602" s="3"/>
      <c r="D602" s="3"/>
      <c r="E602" s="3"/>
      <c r="F602" s="3"/>
      <c r="G602" s="3"/>
      <c r="H602" s="3"/>
      <c r="I602" s="3"/>
      <c r="J602" s="3"/>
      <c r="K602" s="3"/>
      <c r="L602" s="3"/>
      <c r="M602" s="3"/>
      <c r="N602" s="3"/>
      <c r="O602" s="3"/>
      <c r="P602" s="3"/>
      <c r="Q602" s="3"/>
      <c r="R602" s="3"/>
      <c r="S602" s="3"/>
      <c r="T602" s="3"/>
      <c r="U602" s="3"/>
      <c r="V602" s="3"/>
      <c r="W602" s="3"/>
      <c r="X602" s="1"/>
      <c r="Y602" s="1"/>
      <c r="Z602" s="1"/>
    </row>
    <row r="603" ht="12.75" customHeight="1">
      <c r="A603" s="1"/>
      <c r="B603" s="3"/>
      <c r="C603" s="3"/>
      <c r="D603" s="3"/>
      <c r="E603" s="3"/>
      <c r="F603" s="3"/>
      <c r="G603" s="3"/>
      <c r="H603" s="3"/>
      <c r="I603" s="3"/>
      <c r="J603" s="3"/>
      <c r="K603" s="3"/>
      <c r="L603" s="3"/>
      <c r="M603" s="3"/>
      <c r="N603" s="3"/>
      <c r="O603" s="3"/>
      <c r="P603" s="3"/>
      <c r="Q603" s="3"/>
      <c r="R603" s="3"/>
      <c r="S603" s="3"/>
      <c r="T603" s="3"/>
      <c r="U603" s="3"/>
      <c r="V603" s="3"/>
      <c r="W603" s="3"/>
      <c r="X603" s="1"/>
      <c r="Y603" s="1"/>
      <c r="Z603" s="1"/>
    </row>
    <row r="604" ht="12.75" customHeight="1">
      <c r="A604" s="1"/>
      <c r="B604" s="3"/>
      <c r="C604" s="3"/>
      <c r="D604" s="3"/>
      <c r="E604" s="3"/>
      <c r="F604" s="3"/>
      <c r="G604" s="3"/>
      <c r="H604" s="3"/>
      <c r="I604" s="3"/>
      <c r="J604" s="3"/>
      <c r="K604" s="3"/>
      <c r="L604" s="3"/>
      <c r="M604" s="3"/>
      <c r="N604" s="3"/>
      <c r="O604" s="3"/>
      <c r="P604" s="3"/>
      <c r="Q604" s="3"/>
      <c r="R604" s="3"/>
      <c r="S604" s="3"/>
      <c r="T604" s="3"/>
      <c r="U604" s="3"/>
      <c r="V604" s="3"/>
      <c r="W604" s="3"/>
      <c r="X604" s="1"/>
      <c r="Y604" s="1"/>
      <c r="Z604" s="1"/>
    </row>
    <row r="605" ht="12.75" customHeight="1">
      <c r="A605" s="1"/>
      <c r="B605" s="3"/>
      <c r="C605" s="3"/>
      <c r="D605" s="3"/>
      <c r="E605" s="3"/>
      <c r="F605" s="3"/>
      <c r="G605" s="3"/>
      <c r="H605" s="3"/>
      <c r="I605" s="3"/>
      <c r="J605" s="3"/>
      <c r="K605" s="3"/>
      <c r="L605" s="3"/>
      <c r="M605" s="3"/>
      <c r="N605" s="3"/>
      <c r="O605" s="3"/>
      <c r="P605" s="3"/>
      <c r="Q605" s="3"/>
      <c r="R605" s="3"/>
      <c r="S605" s="3"/>
      <c r="T605" s="3"/>
      <c r="U605" s="3"/>
      <c r="V605" s="3"/>
      <c r="W605" s="3"/>
      <c r="X605" s="1"/>
      <c r="Y605" s="1"/>
      <c r="Z605" s="1"/>
    </row>
    <row r="606" ht="12.75" customHeight="1">
      <c r="A606" s="1"/>
      <c r="B606" s="3"/>
      <c r="C606" s="3"/>
      <c r="D606" s="3"/>
      <c r="E606" s="3"/>
      <c r="F606" s="3"/>
      <c r="G606" s="3"/>
      <c r="H606" s="3"/>
      <c r="I606" s="3"/>
      <c r="J606" s="3"/>
      <c r="K606" s="3"/>
      <c r="L606" s="3"/>
      <c r="M606" s="3"/>
      <c r="N606" s="3"/>
      <c r="O606" s="3"/>
      <c r="P606" s="3"/>
      <c r="Q606" s="3"/>
      <c r="R606" s="3"/>
      <c r="S606" s="3"/>
      <c r="T606" s="3"/>
      <c r="U606" s="3"/>
      <c r="V606" s="3"/>
      <c r="W606" s="3"/>
      <c r="X606" s="1"/>
      <c r="Y606" s="1"/>
      <c r="Z606" s="1"/>
    </row>
    <row r="607" ht="12.75" customHeight="1">
      <c r="A607" s="1"/>
      <c r="B607" s="3"/>
      <c r="C607" s="3"/>
      <c r="D607" s="3"/>
      <c r="E607" s="3"/>
      <c r="F607" s="3"/>
      <c r="G607" s="3"/>
      <c r="H607" s="3"/>
      <c r="I607" s="3"/>
      <c r="J607" s="3"/>
      <c r="K607" s="3"/>
      <c r="L607" s="3"/>
      <c r="M607" s="3"/>
      <c r="N607" s="3"/>
      <c r="O607" s="3"/>
      <c r="P607" s="3"/>
      <c r="Q607" s="3"/>
      <c r="R607" s="3"/>
      <c r="S607" s="3"/>
      <c r="T607" s="3"/>
      <c r="U607" s="3"/>
      <c r="V607" s="3"/>
      <c r="W607" s="3"/>
      <c r="X607" s="1"/>
      <c r="Y607" s="1"/>
      <c r="Z607" s="1"/>
    </row>
    <row r="608" ht="12.75" customHeight="1">
      <c r="A608" s="1"/>
      <c r="B608" s="3"/>
      <c r="C608" s="3"/>
      <c r="D608" s="3"/>
      <c r="E608" s="3"/>
      <c r="F608" s="3"/>
      <c r="G608" s="3"/>
      <c r="H608" s="3"/>
      <c r="I608" s="3"/>
      <c r="J608" s="3"/>
      <c r="K608" s="3"/>
      <c r="L608" s="3"/>
      <c r="M608" s="3"/>
      <c r="N608" s="3"/>
      <c r="O608" s="3"/>
      <c r="P608" s="3"/>
      <c r="Q608" s="3"/>
      <c r="R608" s="3"/>
      <c r="S608" s="3"/>
      <c r="T608" s="3"/>
      <c r="U608" s="3"/>
      <c r="V608" s="3"/>
      <c r="W608" s="3"/>
      <c r="X608" s="1"/>
      <c r="Y608" s="1"/>
      <c r="Z608" s="1"/>
    </row>
    <row r="609" ht="12.75" customHeight="1">
      <c r="A609" s="1"/>
      <c r="B609" s="3"/>
      <c r="C609" s="3"/>
      <c r="D609" s="3"/>
      <c r="E609" s="3"/>
      <c r="F609" s="3"/>
      <c r="G609" s="3"/>
      <c r="H609" s="3"/>
      <c r="I609" s="3"/>
      <c r="J609" s="3"/>
      <c r="K609" s="3"/>
      <c r="L609" s="3"/>
      <c r="M609" s="3"/>
      <c r="N609" s="3"/>
      <c r="O609" s="3"/>
      <c r="P609" s="3"/>
      <c r="Q609" s="3"/>
      <c r="R609" s="3"/>
      <c r="S609" s="3"/>
      <c r="T609" s="3"/>
      <c r="U609" s="3"/>
      <c r="V609" s="3"/>
      <c r="W609" s="3"/>
      <c r="X609" s="1"/>
      <c r="Y609" s="1"/>
      <c r="Z609" s="1"/>
    </row>
    <row r="610" ht="12.75" customHeight="1">
      <c r="A610" s="1"/>
      <c r="B610" s="3"/>
      <c r="C610" s="3"/>
      <c r="D610" s="3"/>
      <c r="E610" s="3"/>
      <c r="F610" s="3"/>
      <c r="G610" s="3"/>
      <c r="H610" s="3"/>
      <c r="I610" s="3"/>
      <c r="J610" s="3"/>
      <c r="K610" s="3"/>
      <c r="L610" s="3"/>
      <c r="M610" s="3"/>
      <c r="N610" s="3"/>
      <c r="O610" s="3"/>
      <c r="P610" s="3"/>
      <c r="Q610" s="3"/>
      <c r="R610" s="3"/>
      <c r="S610" s="3"/>
      <c r="T610" s="3"/>
      <c r="U610" s="3"/>
      <c r="V610" s="3"/>
      <c r="W610" s="3"/>
      <c r="X610" s="1"/>
      <c r="Y610" s="1"/>
      <c r="Z610" s="1"/>
    </row>
    <row r="611" ht="12.75" customHeight="1">
      <c r="A611" s="1"/>
      <c r="B611" s="3"/>
      <c r="C611" s="3"/>
      <c r="D611" s="3"/>
      <c r="E611" s="3"/>
      <c r="F611" s="3"/>
      <c r="G611" s="3"/>
      <c r="H611" s="3"/>
      <c r="I611" s="3"/>
      <c r="J611" s="3"/>
      <c r="K611" s="3"/>
      <c r="L611" s="3"/>
      <c r="M611" s="3"/>
      <c r="N611" s="3"/>
      <c r="O611" s="3"/>
      <c r="P611" s="3"/>
      <c r="Q611" s="3"/>
      <c r="R611" s="3"/>
      <c r="S611" s="3"/>
      <c r="T611" s="3"/>
      <c r="U611" s="3"/>
      <c r="V611" s="3"/>
      <c r="W611" s="3"/>
      <c r="X611" s="1"/>
      <c r="Y611" s="1"/>
      <c r="Z611" s="1"/>
    </row>
    <row r="612" ht="12.75" customHeight="1">
      <c r="A612" s="1"/>
      <c r="B612" s="3"/>
      <c r="C612" s="3"/>
      <c r="D612" s="3"/>
      <c r="E612" s="3"/>
      <c r="F612" s="3"/>
      <c r="G612" s="3"/>
      <c r="H612" s="3"/>
      <c r="I612" s="3"/>
      <c r="J612" s="3"/>
      <c r="K612" s="3"/>
      <c r="L612" s="3"/>
      <c r="M612" s="3"/>
      <c r="N612" s="3"/>
      <c r="O612" s="3"/>
      <c r="P612" s="3"/>
      <c r="Q612" s="3"/>
      <c r="R612" s="3"/>
      <c r="S612" s="3"/>
      <c r="T612" s="3"/>
      <c r="U612" s="3"/>
      <c r="V612" s="3"/>
      <c r="W612" s="3"/>
      <c r="X612" s="1"/>
      <c r="Y612" s="1"/>
      <c r="Z612" s="1"/>
    </row>
    <row r="613" ht="12.75" customHeight="1">
      <c r="A613" s="1"/>
      <c r="B613" s="3"/>
      <c r="C613" s="3"/>
      <c r="D613" s="3"/>
      <c r="E613" s="3"/>
      <c r="F613" s="3"/>
      <c r="G613" s="3"/>
      <c r="H613" s="3"/>
      <c r="I613" s="3"/>
      <c r="J613" s="3"/>
      <c r="K613" s="3"/>
      <c r="L613" s="3"/>
      <c r="M613" s="3"/>
      <c r="N613" s="3"/>
      <c r="O613" s="3"/>
      <c r="P613" s="3"/>
      <c r="Q613" s="3"/>
      <c r="R613" s="3"/>
      <c r="S613" s="3"/>
      <c r="T613" s="3"/>
      <c r="U613" s="3"/>
      <c r="V613" s="3"/>
      <c r="W613" s="3"/>
      <c r="X613" s="1"/>
      <c r="Y613" s="1"/>
      <c r="Z613" s="1"/>
    </row>
    <row r="614" ht="12.75" customHeight="1">
      <c r="A614" s="1"/>
      <c r="B614" s="3"/>
      <c r="C614" s="3"/>
      <c r="D614" s="3"/>
      <c r="E614" s="3"/>
      <c r="F614" s="3"/>
      <c r="G614" s="3"/>
      <c r="H614" s="3"/>
      <c r="I614" s="3"/>
      <c r="J614" s="3"/>
      <c r="K614" s="3"/>
      <c r="L614" s="3"/>
      <c r="M614" s="3"/>
      <c r="N614" s="3"/>
      <c r="O614" s="3"/>
      <c r="P614" s="3"/>
      <c r="Q614" s="3"/>
      <c r="R614" s="3"/>
      <c r="S614" s="3"/>
      <c r="T614" s="3"/>
      <c r="U614" s="3"/>
      <c r="V614" s="3"/>
      <c r="W614" s="3"/>
      <c r="X614" s="1"/>
      <c r="Y614" s="1"/>
      <c r="Z614" s="1"/>
    </row>
    <row r="615" ht="12.75" customHeight="1">
      <c r="A615" s="1"/>
      <c r="B615" s="3"/>
      <c r="C615" s="3"/>
      <c r="D615" s="3"/>
      <c r="E615" s="3"/>
      <c r="F615" s="3"/>
      <c r="G615" s="3"/>
      <c r="H615" s="3"/>
      <c r="I615" s="3"/>
      <c r="J615" s="3"/>
      <c r="K615" s="3"/>
      <c r="L615" s="3"/>
      <c r="M615" s="3"/>
      <c r="N615" s="3"/>
      <c r="O615" s="3"/>
      <c r="P615" s="3"/>
      <c r="Q615" s="3"/>
      <c r="R615" s="3"/>
      <c r="S615" s="3"/>
      <c r="T615" s="3"/>
      <c r="U615" s="3"/>
      <c r="V615" s="3"/>
      <c r="W615" s="3"/>
      <c r="X615" s="1"/>
      <c r="Y615" s="1"/>
      <c r="Z615" s="1"/>
    </row>
    <row r="616" ht="12.75" customHeight="1">
      <c r="A616" s="1"/>
      <c r="B616" s="3"/>
      <c r="C616" s="3"/>
      <c r="D616" s="3"/>
      <c r="E616" s="3"/>
      <c r="F616" s="3"/>
      <c r="G616" s="3"/>
      <c r="H616" s="3"/>
      <c r="I616" s="3"/>
      <c r="J616" s="3"/>
      <c r="K616" s="3"/>
      <c r="L616" s="3"/>
      <c r="M616" s="3"/>
      <c r="N616" s="3"/>
      <c r="O616" s="3"/>
      <c r="P616" s="3"/>
      <c r="Q616" s="3"/>
      <c r="R616" s="3"/>
      <c r="S616" s="3"/>
      <c r="T616" s="3"/>
      <c r="U616" s="3"/>
      <c r="V616" s="3"/>
      <c r="W616" s="3"/>
      <c r="X616" s="1"/>
      <c r="Y616" s="1"/>
      <c r="Z616" s="1"/>
    </row>
    <row r="617" ht="12.75" customHeight="1">
      <c r="A617" s="1"/>
      <c r="B617" s="3"/>
      <c r="C617" s="3"/>
      <c r="D617" s="3"/>
      <c r="E617" s="3"/>
      <c r="F617" s="3"/>
      <c r="G617" s="3"/>
      <c r="H617" s="3"/>
      <c r="I617" s="3"/>
      <c r="J617" s="3"/>
      <c r="K617" s="3"/>
      <c r="L617" s="3"/>
      <c r="M617" s="3"/>
      <c r="N617" s="3"/>
      <c r="O617" s="3"/>
      <c r="P617" s="3"/>
      <c r="Q617" s="3"/>
      <c r="R617" s="3"/>
      <c r="S617" s="3"/>
      <c r="T617" s="3"/>
      <c r="U617" s="3"/>
      <c r="V617" s="3"/>
      <c r="W617" s="3"/>
      <c r="X617" s="1"/>
      <c r="Y617" s="1"/>
      <c r="Z617" s="1"/>
    </row>
    <row r="618" ht="12.75" customHeight="1">
      <c r="A618" s="1"/>
      <c r="B618" s="3"/>
      <c r="C618" s="3"/>
      <c r="D618" s="3"/>
      <c r="E618" s="3"/>
      <c r="F618" s="3"/>
      <c r="G618" s="3"/>
      <c r="H618" s="3"/>
      <c r="I618" s="3"/>
      <c r="J618" s="3"/>
      <c r="K618" s="3"/>
      <c r="L618" s="3"/>
      <c r="M618" s="3"/>
      <c r="N618" s="3"/>
      <c r="O618" s="3"/>
      <c r="P618" s="3"/>
      <c r="Q618" s="3"/>
      <c r="R618" s="3"/>
      <c r="S618" s="3"/>
      <c r="T618" s="3"/>
      <c r="U618" s="3"/>
      <c r="V618" s="3"/>
      <c r="W618" s="3"/>
      <c r="X618" s="1"/>
      <c r="Y618" s="1"/>
      <c r="Z618" s="1"/>
    </row>
    <row r="619" ht="12.75" customHeight="1">
      <c r="A619" s="1"/>
      <c r="B619" s="3"/>
      <c r="C619" s="3"/>
      <c r="D619" s="3"/>
      <c r="E619" s="3"/>
      <c r="F619" s="3"/>
      <c r="G619" s="3"/>
      <c r="H619" s="3"/>
      <c r="I619" s="3"/>
      <c r="J619" s="3"/>
      <c r="K619" s="3"/>
      <c r="L619" s="3"/>
      <c r="M619" s="3"/>
      <c r="N619" s="3"/>
      <c r="O619" s="3"/>
      <c r="P619" s="3"/>
      <c r="Q619" s="3"/>
      <c r="R619" s="3"/>
      <c r="S619" s="3"/>
      <c r="T619" s="3"/>
      <c r="U619" s="3"/>
      <c r="V619" s="3"/>
      <c r="W619" s="3"/>
      <c r="X619" s="1"/>
      <c r="Y619" s="1"/>
      <c r="Z619" s="1"/>
    </row>
    <row r="620" ht="12.75" customHeight="1">
      <c r="A620" s="1"/>
      <c r="B620" s="3"/>
      <c r="C620" s="3"/>
      <c r="D620" s="3"/>
      <c r="E620" s="3"/>
      <c r="F620" s="3"/>
      <c r="G620" s="3"/>
      <c r="H620" s="3"/>
      <c r="I620" s="3"/>
      <c r="J620" s="3"/>
      <c r="K620" s="3"/>
      <c r="L620" s="3"/>
      <c r="M620" s="3"/>
      <c r="N620" s="3"/>
      <c r="O620" s="3"/>
      <c r="P620" s="3"/>
      <c r="Q620" s="3"/>
      <c r="R620" s="3"/>
      <c r="S620" s="3"/>
      <c r="T620" s="3"/>
      <c r="U620" s="3"/>
      <c r="V620" s="3"/>
      <c r="W620" s="3"/>
      <c r="X620" s="1"/>
      <c r="Y620" s="1"/>
      <c r="Z620" s="1"/>
    </row>
    <row r="621" ht="12.75" customHeight="1">
      <c r="A621" s="1"/>
      <c r="B621" s="3"/>
      <c r="C621" s="3"/>
      <c r="D621" s="3"/>
      <c r="E621" s="3"/>
      <c r="F621" s="3"/>
      <c r="G621" s="3"/>
      <c r="H621" s="3"/>
      <c r="I621" s="3"/>
      <c r="J621" s="3"/>
      <c r="K621" s="3"/>
      <c r="L621" s="3"/>
      <c r="M621" s="3"/>
      <c r="N621" s="3"/>
      <c r="O621" s="3"/>
      <c r="P621" s="3"/>
      <c r="Q621" s="3"/>
      <c r="R621" s="3"/>
      <c r="S621" s="3"/>
      <c r="T621" s="3"/>
      <c r="U621" s="3"/>
      <c r="V621" s="3"/>
      <c r="W621" s="3"/>
      <c r="X621" s="1"/>
      <c r="Y621" s="1"/>
      <c r="Z621" s="1"/>
    </row>
    <row r="622" ht="12.75" customHeight="1">
      <c r="A622" s="1"/>
      <c r="B622" s="3"/>
      <c r="C622" s="3"/>
      <c r="D622" s="3"/>
      <c r="E622" s="3"/>
      <c r="F622" s="3"/>
      <c r="G622" s="3"/>
      <c r="H622" s="3"/>
      <c r="I622" s="3"/>
      <c r="J622" s="3"/>
      <c r="K622" s="3"/>
      <c r="L622" s="3"/>
      <c r="M622" s="3"/>
      <c r="N622" s="3"/>
      <c r="O622" s="3"/>
      <c r="P622" s="3"/>
      <c r="Q622" s="3"/>
      <c r="R622" s="3"/>
      <c r="S622" s="3"/>
      <c r="T622" s="3"/>
      <c r="U622" s="3"/>
      <c r="V622" s="3"/>
      <c r="W622" s="3"/>
      <c r="X622" s="1"/>
      <c r="Y622" s="1"/>
      <c r="Z622" s="1"/>
    </row>
    <row r="623" ht="12.75" customHeight="1">
      <c r="A623" s="1"/>
      <c r="B623" s="3"/>
      <c r="C623" s="3"/>
      <c r="D623" s="3"/>
      <c r="E623" s="3"/>
      <c r="F623" s="3"/>
      <c r="G623" s="3"/>
      <c r="H623" s="3"/>
      <c r="I623" s="3"/>
      <c r="J623" s="3"/>
      <c r="K623" s="3"/>
      <c r="L623" s="3"/>
      <c r="M623" s="3"/>
      <c r="N623" s="3"/>
      <c r="O623" s="3"/>
      <c r="P623" s="3"/>
      <c r="Q623" s="3"/>
      <c r="R623" s="3"/>
      <c r="S623" s="3"/>
      <c r="T623" s="3"/>
      <c r="U623" s="3"/>
      <c r="V623" s="3"/>
      <c r="W623" s="3"/>
      <c r="X623" s="1"/>
      <c r="Y623" s="1"/>
      <c r="Z623" s="1"/>
    </row>
    <row r="624" ht="12.75" customHeight="1">
      <c r="A624" s="1"/>
      <c r="B624" s="3"/>
      <c r="C624" s="3"/>
      <c r="D624" s="3"/>
      <c r="E624" s="3"/>
      <c r="F624" s="3"/>
      <c r="G624" s="3"/>
      <c r="H624" s="3"/>
      <c r="I624" s="3"/>
      <c r="J624" s="3"/>
      <c r="K624" s="3"/>
      <c r="L624" s="3"/>
      <c r="M624" s="3"/>
      <c r="N624" s="3"/>
      <c r="O624" s="3"/>
      <c r="P624" s="3"/>
      <c r="Q624" s="3"/>
      <c r="R624" s="3"/>
      <c r="S624" s="3"/>
      <c r="T624" s="3"/>
      <c r="U624" s="3"/>
      <c r="V624" s="3"/>
      <c r="W624" s="3"/>
      <c r="X624" s="1"/>
      <c r="Y624" s="1"/>
      <c r="Z624" s="1"/>
    </row>
    <row r="625" ht="12.75" customHeight="1">
      <c r="A625" s="1"/>
      <c r="B625" s="3"/>
      <c r="C625" s="3"/>
      <c r="D625" s="3"/>
      <c r="E625" s="3"/>
      <c r="F625" s="3"/>
      <c r="G625" s="3"/>
      <c r="H625" s="3"/>
      <c r="I625" s="3"/>
      <c r="J625" s="3"/>
      <c r="K625" s="3"/>
      <c r="L625" s="3"/>
      <c r="M625" s="3"/>
      <c r="N625" s="3"/>
      <c r="O625" s="3"/>
      <c r="P625" s="3"/>
      <c r="Q625" s="3"/>
      <c r="R625" s="3"/>
      <c r="S625" s="3"/>
      <c r="T625" s="3"/>
      <c r="U625" s="3"/>
      <c r="V625" s="3"/>
      <c r="W625" s="3"/>
      <c r="X625" s="1"/>
      <c r="Y625" s="1"/>
      <c r="Z625" s="1"/>
    </row>
    <row r="626" ht="12.75" customHeight="1">
      <c r="A626" s="1"/>
      <c r="B626" s="3"/>
      <c r="C626" s="3"/>
      <c r="D626" s="3"/>
      <c r="E626" s="3"/>
      <c r="F626" s="3"/>
      <c r="G626" s="3"/>
      <c r="H626" s="3"/>
      <c r="I626" s="3"/>
      <c r="J626" s="3"/>
      <c r="K626" s="3"/>
      <c r="L626" s="3"/>
      <c r="M626" s="3"/>
      <c r="N626" s="3"/>
      <c r="O626" s="3"/>
      <c r="P626" s="3"/>
      <c r="Q626" s="3"/>
      <c r="R626" s="3"/>
      <c r="S626" s="3"/>
      <c r="T626" s="3"/>
      <c r="U626" s="3"/>
      <c r="V626" s="3"/>
      <c r="W626" s="3"/>
      <c r="X626" s="1"/>
      <c r="Y626" s="1"/>
      <c r="Z626" s="1"/>
    </row>
    <row r="627" ht="12.75" customHeight="1">
      <c r="A627" s="1"/>
      <c r="B627" s="3"/>
      <c r="C627" s="3"/>
      <c r="D627" s="3"/>
      <c r="E627" s="3"/>
      <c r="F627" s="3"/>
      <c r="G627" s="3"/>
      <c r="H627" s="3"/>
      <c r="I627" s="3"/>
      <c r="J627" s="3"/>
      <c r="K627" s="3"/>
      <c r="L627" s="3"/>
      <c r="M627" s="3"/>
      <c r="N627" s="3"/>
      <c r="O627" s="3"/>
      <c r="P627" s="3"/>
      <c r="Q627" s="3"/>
      <c r="R627" s="3"/>
      <c r="S627" s="3"/>
      <c r="T627" s="3"/>
      <c r="U627" s="3"/>
      <c r="V627" s="3"/>
      <c r="W627" s="3"/>
      <c r="X627" s="1"/>
      <c r="Y627" s="1"/>
      <c r="Z627" s="1"/>
    </row>
    <row r="628" ht="12.75" customHeight="1">
      <c r="A628" s="1"/>
      <c r="B628" s="3"/>
      <c r="C628" s="3"/>
      <c r="D628" s="3"/>
      <c r="E628" s="3"/>
      <c r="F628" s="3"/>
      <c r="G628" s="3"/>
      <c r="H628" s="3"/>
      <c r="I628" s="3"/>
      <c r="J628" s="3"/>
      <c r="K628" s="3"/>
      <c r="L628" s="3"/>
      <c r="M628" s="3"/>
      <c r="N628" s="3"/>
      <c r="O628" s="3"/>
      <c r="P628" s="3"/>
      <c r="Q628" s="3"/>
      <c r="R628" s="3"/>
      <c r="S628" s="3"/>
      <c r="T628" s="3"/>
      <c r="U628" s="3"/>
      <c r="V628" s="3"/>
      <c r="W628" s="3"/>
      <c r="X628" s="1"/>
      <c r="Y628" s="1"/>
      <c r="Z628" s="1"/>
    </row>
    <row r="629" ht="12.75" customHeight="1">
      <c r="A629" s="1"/>
      <c r="B629" s="3"/>
      <c r="C629" s="3"/>
      <c r="D629" s="3"/>
      <c r="E629" s="3"/>
      <c r="F629" s="3"/>
      <c r="G629" s="3"/>
      <c r="H629" s="3"/>
      <c r="I629" s="3"/>
      <c r="J629" s="3"/>
      <c r="K629" s="3"/>
      <c r="L629" s="3"/>
      <c r="M629" s="3"/>
      <c r="N629" s="3"/>
      <c r="O629" s="3"/>
      <c r="P629" s="3"/>
      <c r="Q629" s="3"/>
      <c r="R629" s="3"/>
      <c r="S629" s="3"/>
      <c r="T629" s="3"/>
      <c r="U629" s="3"/>
      <c r="V629" s="3"/>
      <c r="W629" s="3"/>
      <c r="X629" s="1"/>
      <c r="Y629" s="1"/>
      <c r="Z629" s="1"/>
    </row>
    <row r="630" ht="12.75" customHeight="1">
      <c r="A630" s="1"/>
      <c r="B630" s="3"/>
      <c r="C630" s="3"/>
      <c r="D630" s="3"/>
      <c r="E630" s="3"/>
      <c r="F630" s="3"/>
      <c r="G630" s="3"/>
      <c r="H630" s="3"/>
      <c r="I630" s="3"/>
      <c r="J630" s="3"/>
      <c r="K630" s="3"/>
      <c r="L630" s="3"/>
      <c r="M630" s="3"/>
      <c r="N630" s="3"/>
      <c r="O630" s="3"/>
      <c r="P630" s="3"/>
      <c r="Q630" s="3"/>
      <c r="R630" s="3"/>
      <c r="S630" s="3"/>
      <c r="T630" s="3"/>
      <c r="U630" s="3"/>
      <c r="V630" s="3"/>
      <c r="W630" s="3"/>
      <c r="X630" s="1"/>
      <c r="Y630" s="1"/>
      <c r="Z630" s="1"/>
    </row>
    <row r="631" ht="12.75" customHeight="1">
      <c r="A631" s="1"/>
      <c r="B631" s="3"/>
      <c r="C631" s="3"/>
      <c r="D631" s="3"/>
      <c r="E631" s="3"/>
      <c r="F631" s="3"/>
      <c r="G631" s="3"/>
      <c r="H631" s="3"/>
      <c r="I631" s="3"/>
      <c r="J631" s="3"/>
      <c r="K631" s="3"/>
      <c r="L631" s="3"/>
      <c r="M631" s="3"/>
      <c r="N631" s="3"/>
      <c r="O631" s="3"/>
      <c r="P631" s="3"/>
      <c r="Q631" s="3"/>
      <c r="R631" s="3"/>
      <c r="S631" s="3"/>
      <c r="T631" s="3"/>
      <c r="U631" s="3"/>
      <c r="V631" s="3"/>
      <c r="W631" s="3"/>
      <c r="X631" s="1"/>
      <c r="Y631" s="1"/>
      <c r="Z631" s="1"/>
    </row>
    <row r="632" ht="12.75" customHeight="1">
      <c r="A632" s="1"/>
      <c r="B632" s="3"/>
      <c r="C632" s="3"/>
      <c r="D632" s="3"/>
      <c r="E632" s="3"/>
      <c r="F632" s="3"/>
      <c r="G632" s="3"/>
      <c r="H632" s="3"/>
      <c r="I632" s="3"/>
      <c r="J632" s="3"/>
      <c r="K632" s="3"/>
      <c r="L632" s="3"/>
      <c r="M632" s="3"/>
      <c r="N632" s="3"/>
      <c r="O632" s="3"/>
      <c r="P632" s="3"/>
      <c r="Q632" s="3"/>
      <c r="R632" s="3"/>
      <c r="S632" s="3"/>
      <c r="T632" s="3"/>
      <c r="U632" s="3"/>
      <c r="V632" s="3"/>
      <c r="W632" s="3"/>
      <c r="X632" s="1"/>
      <c r="Y632" s="1"/>
      <c r="Z632" s="1"/>
    </row>
    <row r="633" ht="12.75" customHeight="1">
      <c r="A633" s="1"/>
      <c r="B633" s="3"/>
      <c r="C633" s="3"/>
      <c r="D633" s="3"/>
      <c r="E633" s="3"/>
      <c r="F633" s="3"/>
      <c r="G633" s="3"/>
      <c r="H633" s="3"/>
      <c r="I633" s="3"/>
      <c r="J633" s="3"/>
      <c r="K633" s="3"/>
      <c r="L633" s="3"/>
      <c r="M633" s="3"/>
      <c r="N633" s="3"/>
      <c r="O633" s="3"/>
      <c r="P633" s="3"/>
      <c r="Q633" s="3"/>
      <c r="R633" s="3"/>
      <c r="S633" s="3"/>
      <c r="T633" s="3"/>
      <c r="U633" s="3"/>
      <c r="V633" s="3"/>
      <c r="W633" s="3"/>
      <c r="X633" s="1"/>
      <c r="Y633" s="1"/>
      <c r="Z633" s="1"/>
    </row>
    <row r="634" ht="12.75" customHeight="1">
      <c r="A634" s="1"/>
      <c r="B634" s="3"/>
      <c r="C634" s="3"/>
      <c r="D634" s="3"/>
      <c r="E634" s="3"/>
      <c r="F634" s="3"/>
      <c r="G634" s="3"/>
      <c r="H634" s="3"/>
      <c r="I634" s="3"/>
      <c r="J634" s="3"/>
      <c r="K634" s="3"/>
      <c r="L634" s="3"/>
      <c r="M634" s="3"/>
      <c r="N634" s="3"/>
      <c r="O634" s="3"/>
      <c r="P634" s="3"/>
      <c r="Q634" s="3"/>
      <c r="R634" s="3"/>
      <c r="S634" s="3"/>
      <c r="T634" s="3"/>
      <c r="U634" s="3"/>
      <c r="V634" s="3"/>
      <c r="W634" s="3"/>
      <c r="X634" s="1"/>
      <c r="Y634" s="1"/>
      <c r="Z634" s="1"/>
    </row>
    <row r="635" ht="12.75" customHeight="1">
      <c r="A635" s="1"/>
      <c r="B635" s="3"/>
      <c r="C635" s="3"/>
      <c r="D635" s="3"/>
      <c r="E635" s="3"/>
      <c r="F635" s="3"/>
      <c r="G635" s="3"/>
      <c r="H635" s="3"/>
      <c r="I635" s="3"/>
      <c r="J635" s="3"/>
      <c r="K635" s="3"/>
      <c r="L635" s="3"/>
      <c r="M635" s="3"/>
      <c r="N635" s="3"/>
      <c r="O635" s="3"/>
      <c r="P635" s="3"/>
      <c r="Q635" s="3"/>
      <c r="R635" s="3"/>
      <c r="S635" s="3"/>
      <c r="T635" s="3"/>
      <c r="U635" s="3"/>
      <c r="V635" s="3"/>
      <c r="W635" s="3"/>
      <c r="X635" s="1"/>
      <c r="Y635" s="1"/>
      <c r="Z635" s="1"/>
    </row>
    <row r="636" ht="12.75" customHeight="1">
      <c r="A636" s="1"/>
      <c r="B636" s="3"/>
      <c r="C636" s="3"/>
      <c r="D636" s="3"/>
      <c r="E636" s="3"/>
      <c r="F636" s="3"/>
      <c r="G636" s="3"/>
      <c r="H636" s="3"/>
      <c r="I636" s="3"/>
      <c r="J636" s="3"/>
      <c r="K636" s="3"/>
      <c r="L636" s="3"/>
      <c r="M636" s="3"/>
      <c r="N636" s="3"/>
      <c r="O636" s="3"/>
      <c r="P636" s="3"/>
      <c r="Q636" s="3"/>
      <c r="R636" s="3"/>
      <c r="S636" s="3"/>
      <c r="T636" s="3"/>
      <c r="U636" s="3"/>
      <c r="V636" s="3"/>
      <c r="W636" s="3"/>
      <c r="X636" s="1"/>
      <c r="Y636" s="1"/>
      <c r="Z636" s="1"/>
    </row>
    <row r="637" ht="12.75" customHeight="1">
      <c r="A637" s="1"/>
      <c r="B637" s="3"/>
      <c r="C637" s="3"/>
      <c r="D637" s="3"/>
      <c r="E637" s="3"/>
      <c r="F637" s="3"/>
      <c r="G637" s="3"/>
      <c r="H637" s="3"/>
      <c r="I637" s="3"/>
      <c r="J637" s="3"/>
      <c r="K637" s="3"/>
      <c r="L637" s="3"/>
      <c r="M637" s="3"/>
      <c r="N637" s="3"/>
      <c r="O637" s="3"/>
      <c r="P637" s="3"/>
      <c r="Q637" s="3"/>
      <c r="R637" s="3"/>
      <c r="S637" s="3"/>
      <c r="T637" s="3"/>
      <c r="U637" s="3"/>
      <c r="V637" s="3"/>
      <c r="W637" s="3"/>
      <c r="X637" s="1"/>
      <c r="Y637" s="1"/>
      <c r="Z637" s="1"/>
    </row>
    <row r="638" ht="12.75" customHeight="1">
      <c r="A638" s="1"/>
      <c r="B638" s="3"/>
      <c r="C638" s="3"/>
      <c r="D638" s="3"/>
      <c r="E638" s="3"/>
      <c r="F638" s="3"/>
      <c r="G638" s="3"/>
      <c r="H638" s="3"/>
      <c r="I638" s="3"/>
      <c r="J638" s="3"/>
      <c r="K638" s="3"/>
      <c r="L638" s="3"/>
      <c r="M638" s="3"/>
      <c r="N638" s="3"/>
      <c r="O638" s="3"/>
      <c r="P638" s="3"/>
      <c r="Q638" s="3"/>
      <c r="R638" s="3"/>
      <c r="S638" s="3"/>
      <c r="T638" s="3"/>
      <c r="U638" s="3"/>
      <c r="V638" s="3"/>
      <c r="W638" s="3"/>
      <c r="X638" s="1"/>
      <c r="Y638" s="1"/>
      <c r="Z638" s="1"/>
    </row>
    <row r="639" ht="12.75" customHeight="1">
      <c r="A639" s="1"/>
      <c r="B639" s="3"/>
      <c r="C639" s="3"/>
      <c r="D639" s="3"/>
      <c r="E639" s="3"/>
      <c r="F639" s="3"/>
      <c r="G639" s="3"/>
      <c r="H639" s="3"/>
      <c r="I639" s="3"/>
      <c r="J639" s="3"/>
      <c r="K639" s="3"/>
      <c r="L639" s="3"/>
      <c r="M639" s="3"/>
      <c r="N639" s="3"/>
      <c r="O639" s="3"/>
      <c r="P639" s="3"/>
      <c r="Q639" s="3"/>
      <c r="R639" s="3"/>
      <c r="S639" s="3"/>
      <c r="T639" s="3"/>
      <c r="U639" s="3"/>
      <c r="V639" s="3"/>
      <c r="W639" s="3"/>
      <c r="X639" s="1"/>
      <c r="Y639" s="1"/>
      <c r="Z639" s="1"/>
    </row>
    <row r="640" ht="12.75" customHeight="1">
      <c r="A640" s="1"/>
      <c r="B640" s="3"/>
      <c r="C640" s="3"/>
      <c r="D640" s="3"/>
      <c r="E640" s="3"/>
      <c r="F640" s="3"/>
      <c r="G640" s="3"/>
      <c r="H640" s="3"/>
      <c r="I640" s="3"/>
      <c r="J640" s="3"/>
      <c r="K640" s="3"/>
      <c r="L640" s="3"/>
      <c r="M640" s="3"/>
      <c r="N640" s="3"/>
      <c r="O640" s="3"/>
      <c r="P640" s="3"/>
      <c r="Q640" s="3"/>
      <c r="R640" s="3"/>
      <c r="S640" s="3"/>
      <c r="T640" s="3"/>
      <c r="U640" s="3"/>
      <c r="V640" s="3"/>
      <c r="W640" s="3"/>
      <c r="X640" s="1"/>
      <c r="Y640" s="1"/>
      <c r="Z640" s="1"/>
    </row>
    <row r="641" ht="12.75" customHeight="1">
      <c r="A641" s="1"/>
      <c r="B641" s="3"/>
      <c r="C641" s="3"/>
      <c r="D641" s="3"/>
      <c r="E641" s="3"/>
      <c r="F641" s="3"/>
      <c r="G641" s="3"/>
      <c r="H641" s="3"/>
      <c r="I641" s="3"/>
      <c r="J641" s="3"/>
      <c r="K641" s="3"/>
      <c r="L641" s="3"/>
      <c r="M641" s="3"/>
      <c r="N641" s="3"/>
      <c r="O641" s="3"/>
      <c r="P641" s="3"/>
      <c r="Q641" s="3"/>
      <c r="R641" s="3"/>
      <c r="S641" s="3"/>
      <c r="T641" s="3"/>
      <c r="U641" s="3"/>
      <c r="V641" s="3"/>
      <c r="W641" s="3"/>
      <c r="X641" s="1"/>
      <c r="Y641" s="1"/>
      <c r="Z641" s="1"/>
    </row>
    <row r="642" ht="12.75" customHeight="1">
      <c r="A642" s="1"/>
      <c r="B642" s="3"/>
      <c r="C642" s="3"/>
      <c r="D642" s="3"/>
      <c r="E642" s="3"/>
      <c r="F642" s="3"/>
      <c r="G642" s="3"/>
      <c r="H642" s="3"/>
      <c r="I642" s="3"/>
      <c r="J642" s="3"/>
      <c r="K642" s="3"/>
      <c r="L642" s="3"/>
      <c r="M642" s="3"/>
      <c r="N642" s="3"/>
      <c r="O642" s="3"/>
      <c r="P642" s="3"/>
      <c r="Q642" s="3"/>
      <c r="R642" s="3"/>
      <c r="S642" s="3"/>
      <c r="T642" s="3"/>
      <c r="U642" s="3"/>
      <c r="V642" s="3"/>
      <c r="W642" s="3"/>
      <c r="X642" s="1"/>
      <c r="Y642" s="1"/>
      <c r="Z642" s="1"/>
    </row>
    <row r="643" ht="12.75" customHeight="1">
      <c r="A643" s="1"/>
      <c r="B643" s="3"/>
      <c r="C643" s="3"/>
      <c r="D643" s="3"/>
      <c r="E643" s="3"/>
      <c r="F643" s="3"/>
      <c r="G643" s="3"/>
      <c r="H643" s="3"/>
      <c r="I643" s="3"/>
      <c r="J643" s="3"/>
      <c r="K643" s="3"/>
      <c r="L643" s="3"/>
      <c r="M643" s="3"/>
      <c r="N643" s="3"/>
      <c r="O643" s="3"/>
      <c r="P643" s="3"/>
      <c r="Q643" s="3"/>
      <c r="R643" s="3"/>
      <c r="S643" s="3"/>
      <c r="T643" s="3"/>
      <c r="U643" s="3"/>
      <c r="V643" s="3"/>
      <c r="W643" s="3"/>
      <c r="X643" s="1"/>
      <c r="Y643" s="1"/>
      <c r="Z643" s="1"/>
    </row>
    <row r="644" ht="12.75" customHeight="1">
      <c r="A644" s="1"/>
      <c r="B644" s="3"/>
      <c r="C644" s="3"/>
      <c r="D644" s="3"/>
      <c r="E644" s="3"/>
      <c r="F644" s="3"/>
      <c r="G644" s="3"/>
      <c r="H644" s="3"/>
      <c r="I644" s="3"/>
      <c r="J644" s="3"/>
      <c r="K644" s="3"/>
      <c r="L644" s="3"/>
      <c r="M644" s="3"/>
      <c r="N644" s="3"/>
      <c r="O644" s="3"/>
      <c r="P644" s="3"/>
      <c r="Q644" s="3"/>
      <c r="R644" s="3"/>
      <c r="S644" s="3"/>
      <c r="T644" s="3"/>
      <c r="U644" s="3"/>
      <c r="V644" s="3"/>
      <c r="W644" s="3"/>
      <c r="X644" s="1"/>
      <c r="Y644" s="1"/>
      <c r="Z644" s="1"/>
    </row>
    <row r="645" ht="12.75" customHeight="1">
      <c r="A645" s="1"/>
      <c r="B645" s="3"/>
      <c r="C645" s="3"/>
      <c r="D645" s="3"/>
      <c r="E645" s="3"/>
      <c r="F645" s="3"/>
      <c r="G645" s="3"/>
      <c r="H645" s="3"/>
      <c r="I645" s="3"/>
      <c r="J645" s="3"/>
      <c r="K645" s="3"/>
      <c r="L645" s="3"/>
      <c r="M645" s="3"/>
      <c r="N645" s="3"/>
      <c r="O645" s="3"/>
      <c r="P645" s="3"/>
      <c r="Q645" s="3"/>
      <c r="R645" s="3"/>
      <c r="S645" s="3"/>
      <c r="T645" s="3"/>
      <c r="U645" s="3"/>
      <c r="V645" s="3"/>
      <c r="W645" s="3"/>
      <c r="X645" s="1"/>
      <c r="Y645" s="1"/>
      <c r="Z645" s="1"/>
    </row>
    <row r="646" ht="12.75" customHeight="1">
      <c r="A646" s="1"/>
      <c r="B646" s="3"/>
      <c r="C646" s="3"/>
      <c r="D646" s="3"/>
      <c r="E646" s="3"/>
      <c r="F646" s="3"/>
      <c r="G646" s="3"/>
      <c r="H646" s="3"/>
      <c r="I646" s="3"/>
      <c r="J646" s="3"/>
      <c r="K646" s="3"/>
      <c r="L646" s="3"/>
      <c r="M646" s="3"/>
      <c r="N646" s="3"/>
      <c r="O646" s="3"/>
      <c r="P646" s="3"/>
      <c r="Q646" s="3"/>
      <c r="R646" s="3"/>
      <c r="S646" s="3"/>
      <c r="T646" s="3"/>
      <c r="U646" s="3"/>
      <c r="V646" s="3"/>
      <c r="W646" s="3"/>
      <c r="X646" s="1"/>
      <c r="Y646" s="1"/>
      <c r="Z646" s="1"/>
    </row>
    <row r="647" ht="12.75" customHeight="1">
      <c r="A647" s="1"/>
      <c r="B647" s="3"/>
      <c r="C647" s="3"/>
      <c r="D647" s="3"/>
      <c r="E647" s="3"/>
      <c r="F647" s="3"/>
      <c r="G647" s="3"/>
      <c r="H647" s="3"/>
      <c r="I647" s="3"/>
      <c r="J647" s="3"/>
      <c r="K647" s="3"/>
      <c r="L647" s="3"/>
      <c r="M647" s="3"/>
      <c r="N647" s="3"/>
      <c r="O647" s="3"/>
      <c r="P647" s="3"/>
      <c r="Q647" s="3"/>
      <c r="R647" s="3"/>
      <c r="S647" s="3"/>
      <c r="T647" s="3"/>
      <c r="U647" s="3"/>
      <c r="V647" s="3"/>
      <c r="W647" s="3"/>
      <c r="X647" s="1"/>
      <c r="Y647" s="1"/>
      <c r="Z647" s="1"/>
    </row>
    <row r="648" ht="12.75" customHeight="1">
      <c r="A648" s="1"/>
      <c r="B648" s="3"/>
      <c r="C648" s="3"/>
      <c r="D648" s="3"/>
      <c r="E648" s="3"/>
      <c r="F648" s="3"/>
      <c r="G648" s="3"/>
      <c r="H648" s="3"/>
      <c r="I648" s="3"/>
      <c r="J648" s="3"/>
      <c r="K648" s="3"/>
      <c r="L648" s="3"/>
      <c r="M648" s="3"/>
      <c r="N648" s="3"/>
      <c r="O648" s="3"/>
      <c r="P648" s="3"/>
      <c r="Q648" s="3"/>
      <c r="R648" s="3"/>
      <c r="S648" s="3"/>
      <c r="T648" s="3"/>
      <c r="U648" s="3"/>
      <c r="V648" s="3"/>
      <c r="W648" s="3"/>
      <c r="X648" s="1"/>
      <c r="Y648" s="1"/>
      <c r="Z648" s="1"/>
    </row>
    <row r="649" ht="12.75" customHeight="1">
      <c r="A649" s="1"/>
      <c r="B649" s="3"/>
      <c r="C649" s="3"/>
      <c r="D649" s="3"/>
      <c r="E649" s="3"/>
      <c r="F649" s="3"/>
      <c r="G649" s="3"/>
      <c r="H649" s="3"/>
      <c r="I649" s="3"/>
      <c r="J649" s="3"/>
      <c r="K649" s="3"/>
      <c r="L649" s="3"/>
      <c r="M649" s="3"/>
      <c r="N649" s="3"/>
      <c r="O649" s="3"/>
      <c r="P649" s="3"/>
      <c r="Q649" s="3"/>
      <c r="R649" s="3"/>
      <c r="S649" s="3"/>
      <c r="T649" s="3"/>
      <c r="U649" s="3"/>
      <c r="V649" s="3"/>
      <c r="W649" s="3"/>
      <c r="X649" s="1"/>
      <c r="Y649" s="1"/>
      <c r="Z649" s="1"/>
    </row>
    <row r="650" ht="12.75" customHeight="1">
      <c r="A650" s="1"/>
      <c r="B650" s="3"/>
      <c r="C650" s="3"/>
      <c r="D650" s="3"/>
      <c r="E650" s="3"/>
      <c r="F650" s="3"/>
      <c r="G650" s="3"/>
      <c r="H650" s="3"/>
      <c r="I650" s="3"/>
      <c r="J650" s="3"/>
      <c r="K650" s="3"/>
      <c r="L650" s="3"/>
      <c r="M650" s="3"/>
      <c r="N650" s="3"/>
      <c r="O650" s="3"/>
      <c r="P650" s="3"/>
      <c r="Q650" s="3"/>
      <c r="R650" s="3"/>
      <c r="S650" s="3"/>
      <c r="T650" s="3"/>
      <c r="U650" s="3"/>
      <c r="V650" s="3"/>
      <c r="W650" s="3"/>
      <c r="X650" s="1"/>
      <c r="Y650" s="1"/>
      <c r="Z650" s="1"/>
    </row>
    <row r="651" ht="12.75" customHeight="1">
      <c r="A651" s="1"/>
      <c r="B651" s="3"/>
      <c r="C651" s="3"/>
      <c r="D651" s="3"/>
      <c r="E651" s="3"/>
      <c r="F651" s="3"/>
      <c r="G651" s="3"/>
      <c r="H651" s="3"/>
      <c r="I651" s="3"/>
      <c r="J651" s="3"/>
      <c r="K651" s="3"/>
      <c r="L651" s="3"/>
      <c r="M651" s="3"/>
      <c r="N651" s="3"/>
      <c r="O651" s="3"/>
      <c r="P651" s="3"/>
      <c r="Q651" s="3"/>
      <c r="R651" s="3"/>
      <c r="S651" s="3"/>
      <c r="T651" s="3"/>
      <c r="U651" s="3"/>
      <c r="V651" s="3"/>
      <c r="W651" s="3"/>
      <c r="X651" s="1"/>
      <c r="Y651" s="1"/>
      <c r="Z651" s="1"/>
    </row>
    <row r="652" ht="12.75" customHeight="1">
      <c r="A652" s="1"/>
      <c r="B652" s="3"/>
      <c r="C652" s="3"/>
      <c r="D652" s="3"/>
      <c r="E652" s="3"/>
      <c r="F652" s="3"/>
      <c r="G652" s="3"/>
      <c r="H652" s="3"/>
      <c r="I652" s="3"/>
      <c r="J652" s="3"/>
      <c r="K652" s="3"/>
      <c r="L652" s="3"/>
      <c r="M652" s="3"/>
      <c r="N652" s="3"/>
      <c r="O652" s="3"/>
      <c r="P652" s="3"/>
      <c r="Q652" s="3"/>
      <c r="R652" s="3"/>
      <c r="S652" s="3"/>
      <c r="T652" s="3"/>
      <c r="U652" s="3"/>
      <c r="V652" s="3"/>
      <c r="W652" s="3"/>
      <c r="X652" s="1"/>
      <c r="Y652" s="1"/>
      <c r="Z652" s="1"/>
    </row>
    <row r="653" ht="12.75" customHeight="1">
      <c r="A653" s="1"/>
      <c r="B653" s="3"/>
      <c r="C653" s="3"/>
      <c r="D653" s="3"/>
      <c r="E653" s="3"/>
      <c r="F653" s="3"/>
      <c r="G653" s="3"/>
      <c r="H653" s="3"/>
      <c r="I653" s="3"/>
      <c r="J653" s="3"/>
      <c r="K653" s="3"/>
      <c r="L653" s="3"/>
      <c r="M653" s="3"/>
      <c r="N653" s="3"/>
      <c r="O653" s="3"/>
      <c r="P653" s="3"/>
      <c r="Q653" s="3"/>
      <c r="R653" s="3"/>
      <c r="S653" s="3"/>
      <c r="T653" s="3"/>
      <c r="U653" s="3"/>
      <c r="V653" s="3"/>
      <c r="W653" s="3"/>
      <c r="X653" s="1"/>
      <c r="Y653" s="1"/>
      <c r="Z653" s="1"/>
    </row>
    <row r="654" ht="12.75" customHeight="1">
      <c r="A654" s="1"/>
      <c r="B654" s="3"/>
      <c r="C654" s="3"/>
      <c r="D654" s="3"/>
      <c r="E654" s="3"/>
      <c r="F654" s="3"/>
      <c r="G654" s="3"/>
      <c r="H654" s="3"/>
      <c r="I654" s="3"/>
      <c r="J654" s="3"/>
      <c r="K654" s="3"/>
      <c r="L654" s="3"/>
      <c r="M654" s="3"/>
      <c r="N654" s="3"/>
      <c r="O654" s="3"/>
      <c r="P654" s="3"/>
      <c r="Q654" s="3"/>
      <c r="R654" s="3"/>
      <c r="S654" s="3"/>
      <c r="T654" s="3"/>
      <c r="U654" s="3"/>
      <c r="V654" s="3"/>
      <c r="W654" s="3"/>
      <c r="X654" s="1"/>
      <c r="Y654" s="1"/>
      <c r="Z654" s="1"/>
    </row>
    <row r="655" ht="12.75" customHeight="1">
      <c r="A655" s="1"/>
      <c r="B655" s="3"/>
      <c r="C655" s="3"/>
      <c r="D655" s="3"/>
      <c r="E655" s="3"/>
      <c r="F655" s="3"/>
      <c r="G655" s="3"/>
      <c r="H655" s="3"/>
      <c r="I655" s="3"/>
      <c r="J655" s="3"/>
      <c r="K655" s="3"/>
      <c r="L655" s="3"/>
      <c r="M655" s="3"/>
      <c r="N655" s="3"/>
      <c r="O655" s="3"/>
      <c r="P655" s="3"/>
      <c r="Q655" s="3"/>
      <c r="R655" s="3"/>
      <c r="S655" s="3"/>
      <c r="T655" s="3"/>
      <c r="U655" s="3"/>
      <c r="V655" s="3"/>
      <c r="W655" s="3"/>
      <c r="X655" s="1"/>
      <c r="Y655" s="1"/>
      <c r="Z655" s="1"/>
    </row>
    <row r="656" ht="12.75" customHeight="1">
      <c r="A656" s="1"/>
      <c r="B656" s="3"/>
      <c r="C656" s="3"/>
      <c r="D656" s="3"/>
      <c r="E656" s="3"/>
      <c r="F656" s="3"/>
      <c r="G656" s="3"/>
      <c r="H656" s="3"/>
      <c r="I656" s="3"/>
      <c r="J656" s="3"/>
      <c r="K656" s="3"/>
      <c r="L656" s="3"/>
      <c r="M656" s="3"/>
      <c r="N656" s="3"/>
      <c r="O656" s="3"/>
      <c r="P656" s="3"/>
      <c r="Q656" s="3"/>
      <c r="R656" s="3"/>
      <c r="S656" s="3"/>
      <c r="T656" s="3"/>
      <c r="U656" s="3"/>
      <c r="V656" s="3"/>
      <c r="W656" s="3"/>
      <c r="X656" s="1"/>
      <c r="Y656" s="1"/>
      <c r="Z656" s="1"/>
    </row>
    <row r="657" ht="12.75" customHeight="1">
      <c r="A657" s="1"/>
      <c r="B657" s="3"/>
      <c r="C657" s="3"/>
      <c r="D657" s="3"/>
      <c r="E657" s="3"/>
      <c r="F657" s="3"/>
      <c r="G657" s="3"/>
      <c r="H657" s="3"/>
      <c r="I657" s="3"/>
      <c r="J657" s="3"/>
      <c r="K657" s="3"/>
      <c r="L657" s="3"/>
      <c r="M657" s="3"/>
      <c r="N657" s="3"/>
      <c r="O657" s="3"/>
      <c r="P657" s="3"/>
      <c r="Q657" s="3"/>
      <c r="R657" s="3"/>
      <c r="S657" s="3"/>
      <c r="T657" s="3"/>
      <c r="U657" s="3"/>
      <c r="V657" s="3"/>
      <c r="W657" s="3"/>
      <c r="X657" s="1"/>
      <c r="Y657" s="1"/>
      <c r="Z657" s="1"/>
    </row>
    <row r="658" ht="12.75" customHeight="1">
      <c r="A658" s="1"/>
      <c r="B658" s="3"/>
      <c r="C658" s="3"/>
      <c r="D658" s="3"/>
      <c r="E658" s="3"/>
      <c r="F658" s="3"/>
      <c r="G658" s="3"/>
      <c r="H658" s="3"/>
      <c r="I658" s="3"/>
      <c r="J658" s="3"/>
      <c r="K658" s="3"/>
      <c r="L658" s="3"/>
      <c r="M658" s="3"/>
      <c r="N658" s="3"/>
      <c r="O658" s="3"/>
      <c r="P658" s="3"/>
      <c r="Q658" s="3"/>
      <c r="R658" s="3"/>
      <c r="S658" s="3"/>
      <c r="T658" s="3"/>
      <c r="U658" s="3"/>
      <c r="V658" s="3"/>
      <c r="W658" s="3"/>
      <c r="X658" s="1"/>
      <c r="Y658" s="1"/>
      <c r="Z658" s="1"/>
    </row>
    <row r="659" ht="12.75" customHeight="1">
      <c r="A659" s="1"/>
      <c r="B659" s="3"/>
      <c r="C659" s="3"/>
      <c r="D659" s="3"/>
      <c r="E659" s="3"/>
      <c r="F659" s="3"/>
      <c r="G659" s="3"/>
      <c r="H659" s="3"/>
      <c r="I659" s="3"/>
      <c r="J659" s="3"/>
      <c r="K659" s="3"/>
      <c r="L659" s="3"/>
      <c r="M659" s="3"/>
      <c r="N659" s="3"/>
      <c r="O659" s="3"/>
      <c r="P659" s="3"/>
      <c r="Q659" s="3"/>
      <c r="R659" s="3"/>
      <c r="S659" s="3"/>
      <c r="T659" s="3"/>
      <c r="U659" s="3"/>
      <c r="V659" s="3"/>
      <c r="W659" s="3"/>
      <c r="X659" s="1"/>
      <c r="Y659" s="1"/>
      <c r="Z659" s="1"/>
    </row>
    <row r="660" ht="12.75" customHeight="1">
      <c r="A660" s="1"/>
      <c r="B660" s="3"/>
      <c r="C660" s="3"/>
      <c r="D660" s="3"/>
      <c r="E660" s="3"/>
      <c r="F660" s="3"/>
      <c r="G660" s="3"/>
      <c r="H660" s="3"/>
      <c r="I660" s="3"/>
      <c r="J660" s="3"/>
      <c r="K660" s="3"/>
      <c r="L660" s="3"/>
      <c r="M660" s="3"/>
      <c r="N660" s="3"/>
      <c r="O660" s="3"/>
      <c r="P660" s="3"/>
      <c r="Q660" s="3"/>
      <c r="R660" s="3"/>
      <c r="S660" s="3"/>
      <c r="T660" s="3"/>
      <c r="U660" s="3"/>
      <c r="V660" s="3"/>
      <c r="W660" s="3"/>
      <c r="X660" s="1"/>
      <c r="Y660" s="1"/>
      <c r="Z660" s="1"/>
    </row>
    <row r="661" ht="12.75" customHeight="1">
      <c r="A661" s="1"/>
      <c r="B661" s="3"/>
      <c r="C661" s="3"/>
      <c r="D661" s="3"/>
      <c r="E661" s="3"/>
      <c r="F661" s="3"/>
      <c r="G661" s="3"/>
      <c r="H661" s="3"/>
      <c r="I661" s="3"/>
      <c r="J661" s="3"/>
      <c r="K661" s="3"/>
      <c r="L661" s="3"/>
      <c r="M661" s="3"/>
      <c r="N661" s="3"/>
      <c r="O661" s="3"/>
      <c r="P661" s="3"/>
      <c r="Q661" s="3"/>
      <c r="R661" s="3"/>
      <c r="S661" s="3"/>
      <c r="T661" s="3"/>
      <c r="U661" s="3"/>
      <c r="V661" s="3"/>
      <c r="W661" s="3"/>
      <c r="X661" s="1"/>
      <c r="Y661" s="1"/>
      <c r="Z661" s="1"/>
    </row>
    <row r="662" ht="12.75" customHeight="1">
      <c r="A662" s="1"/>
      <c r="B662" s="3"/>
      <c r="C662" s="3"/>
      <c r="D662" s="3"/>
      <c r="E662" s="3"/>
      <c r="F662" s="3"/>
      <c r="G662" s="3"/>
      <c r="H662" s="3"/>
      <c r="I662" s="3"/>
      <c r="J662" s="3"/>
      <c r="K662" s="3"/>
      <c r="L662" s="3"/>
      <c r="M662" s="3"/>
      <c r="N662" s="3"/>
      <c r="O662" s="3"/>
      <c r="P662" s="3"/>
      <c r="Q662" s="3"/>
      <c r="R662" s="3"/>
      <c r="S662" s="3"/>
      <c r="T662" s="3"/>
      <c r="U662" s="3"/>
      <c r="V662" s="3"/>
      <c r="W662" s="3"/>
      <c r="X662" s="1"/>
      <c r="Y662" s="1"/>
      <c r="Z662" s="1"/>
    </row>
    <row r="663" ht="12.75" customHeight="1">
      <c r="A663" s="1"/>
      <c r="B663" s="3"/>
      <c r="C663" s="3"/>
      <c r="D663" s="3"/>
      <c r="E663" s="3"/>
      <c r="F663" s="3"/>
      <c r="G663" s="3"/>
      <c r="H663" s="3"/>
      <c r="I663" s="3"/>
      <c r="J663" s="3"/>
      <c r="K663" s="3"/>
      <c r="L663" s="3"/>
      <c r="M663" s="3"/>
      <c r="N663" s="3"/>
      <c r="O663" s="3"/>
      <c r="P663" s="3"/>
      <c r="Q663" s="3"/>
      <c r="R663" s="3"/>
      <c r="S663" s="3"/>
      <c r="T663" s="3"/>
      <c r="U663" s="3"/>
      <c r="V663" s="3"/>
      <c r="W663" s="3"/>
      <c r="X663" s="1"/>
      <c r="Y663" s="1"/>
      <c r="Z663" s="1"/>
    </row>
    <row r="664" ht="12.75" customHeight="1">
      <c r="A664" s="1"/>
      <c r="B664" s="3"/>
      <c r="C664" s="3"/>
      <c r="D664" s="3"/>
      <c r="E664" s="3"/>
      <c r="F664" s="3"/>
      <c r="G664" s="3"/>
      <c r="H664" s="3"/>
      <c r="I664" s="3"/>
      <c r="J664" s="3"/>
      <c r="K664" s="3"/>
      <c r="L664" s="3"/>
      <c r="M664" s="3"/>
      <c r="N664" s="3"/>
      <c r="O664" s="3"/>
      <c r="P664" s="3"/>
      <c r="Q664" s="3"/>
      <c r="R664" s="3"/>
      <c r="S664" s="3"/>
      <c r="T664" s="3"/>
      <c r="U664" s="3"/>
      <c r="V664" s="3"/>
      <c r="W664" s="3"/>
      <c r="X664" s="1"/>
      <c r="Y664" s="1"/>
      <c r="Z664" s="1"/>
    </row>
    <row r="665" ht="12.75" customHeight="1">
      <c r="A665" s="1"/>
      <c r="B665" s="3"/>
      <c r="C665" s="3"/>
      <c r="D665" s="3"/>
      <c r="E665" s="3"/>
      <c r="F665" s="3"/>
      <c r="G665" s="3"/>
      <c r="H665" s="3"/>
      <c r="I665" s="3"/>
      <c r="J665" s="3"/>
      <c r="K665" s="3"/>
      <c r="L665" s="3"/>
      <c r="M665" s="3"/>
      <c r="N665" s="3"/>
      <c r="O665" s="3"/>
      <c r="P665" s="3"/>
      <c r="Q665" s="3"/>
      <c r="R665" s="3"/>
      <c r="S665" s="3"/>
      <c r="T665" s="3"/>
      <c r="U665" s="3"/>
      <c r="V665" s="3"/>
      <c r="W665" s="3"/>
      <c r="X665" s="1"/>
      <c r="Y665" s="1"/>
      <c r="Z665" s="1"/>
    </row>
    <row r="666" ht="12.75" customHeight="1">
      <c r="A666" s="1"/>
      <c r="B666" s="3"/>
      <c r="C666" s="3"/>
      <c r="D666" s="3"/>
      <c r="E666" s="3"/>
      <c r="F666" s="3"/>
      <c r="G666" s="3"/>
      <c r="H666" s="3"/>
      <c r="I666" s="3"/>
      <c r="J666" s="3"/>
      <c r="K666" s="3"/>
      <c r="L666" s="3"/>
      <c r="M666" s="3"/>
      <c r="N666" s="3"/>
      <c r="O666" s="3"/>
      <c r="P666" s="3"/>
      <c r="Q666" s="3"/>
      <c r="R666" s="3"/>
      <c r="S666" s="3"/>
      <c r="T666" s="3"/>
      <c r="U666" s="3"/>
      <c r="V666" s="3"/>
      <c r="W666" s="3"/>
      <c r="X666" s="1"/>
      <c r="Y666" s="1"/>
      <c r="Z666" s="1"/>
    </row>
    <row r="667" ht="12.75" customHeight="1">
      <c r="A667" s="1"/>
      <c r="B667" s="3"/>
      <c r="C667" s="3"/>
      <c r="D667" s="3"/>
      <c r="E667" s="3"/>
      <c r="F667" s="3"/>
      <c r="G667" s="3"/>
      <c r="H667" s="3"/>
      <c r="I667" s="3"/>
      <c r="J667" s="3"/>
      <c r="K667" s="3"/>
      <c r="L667" s="3"/>
      <c r="M667" s="3"/>
      <c r="N667" s="3"/>
      <c r="O667" s="3"/>
      <c r="P667" s="3"/>
      <c r="Q667" s="3"/>
      <c r="R667" s="3"/>
      <c r="S667" s="3"/>
      <c r="T667" s="3"/>
      <c r="U667" s="3"/>
      <c r="V667" s="3"/>
      <c r="W667" s="3"/>
      <c r="X667" s="1"/>
      <c r="Y667" s="1"/>
      <c r="Z667" s="1"/>
    </row>
    <row r="668" ht="12.75" customHeight="1">
      <c r="A668" s="1"/>
      <c r="B668" s="3"/>
      <c r="C668" s="3"/>
      <c r="D668" s="3"/>
      <c r="E668" s="3"/>
      <c r="F668" s="3"/>
      <c r="G668" s="3"/>
      <c r="H668" s="3"/>
      <c r="I668" s="3"/>
      <c r="J668" s="3"/>
      <c r="K668" s="3"/>
      <c r="L668" s="3"/>
      <c r="M668" s="3"/>
      <c r="N668" s="3"/>
      <c r="O668" s="3"/>
      <c r="P668" s="3"/>
      <c r="Q668" s="3"/>
      <c r="R668" s="3"/>
      <c r="S668" s="3"/>
      <c r="T668" s="3"/>
      <c r="U668" s="3"/>
      <c r="V668" s="3"/>
      <c r="W668" s="3"/>
      <c r="X668" s="1"/>
      <c r="Y668" s="1"/>
      <c r="Z668" s="1"/>
    </row>
    <row r="669" ht="12.75" customHeight="1">
      <c r="A669" s="1"/>
      <c r="B669" s="3"/>
      <c r="C669" s="3"/>
      <c r="D669" s="3"/>
      <c r="E669" s="3"/>
      <c r="F669" s="3"/>
      <c r="G669" s="3"/>
      <c r="H669" s="3"/>
      <c r="I669" s="3"/>
      <c r="J669" s="3"/>
      <c r="K669" s="3"/>
      <c r="L669" s="3"/>
      <c r="M669" s="3"/>
      <c r="N669" s="3"/>
      <c r="O669" s="3"/>
      <c r="P669" s="3"/>
      <c r="Q669" s="3"/>
      <c r="R669" s="3"/>
      <c r="S669" s="3"/>
      <c r="T669" s="3"/>
      <c r="U669" s="3"/>
      <c r="V669" s="3"/>
      <c r="W669" s="3"/>
      <c r="X669" s="1"/>
      <c r="Y669" s="1"/>
      <c r="Z669" s="1"/>
    </row>
    <row r="670" ht="12.75" customHeight="1">
      <c r="A670" s="1"/>
      <c r="B670" s="3"/>
      <c r="C670" s="3"/>
      <c r="D670" s="3"/>
      <c r="E670" s="3"/>
      <c r="F670" s="3"/>
      <c r="G670" s="3"/>
      <c r="H670" s="3"/>
      <c r="I670" s="3"/>
      <c r="J670" s="3"/>
      <c r="K670" s="3"/>
      <c r="L670" s="3"/>
      <c r="M670" s="3"/>
      <c r="N670" s="3"/>
      <c r="O670" s="3"/>
      <c r="P670" s="3"/>
      <c r="Q670" s="3"/>
      <c r="R670" s="3"/>
      <c r="S670" s="3"/>
      <c r="T670" s="3"/>
      <c r="U670" s="3"/>
      <c r="V670" s="3"/>
      <c r="W670" s="3"/>
      <c r="X670" s="1"/>
      <c r="Y670" s="1"/>
      <c r="Z670" s="1"/>
    </row>
    <row r="671" ht="12.75" customHeight="1">
      <c r="A671" s="1"/>
      <c r="B671" s="3"/>
      <c r="C671" s="3"/>
      <c r="D671" s="3"/>
      <c r="E671" s="3"/>
      <c r="F671" s="3"/>
      <c r="G671" s="3"/>
      <c r="H671" s="3"/>
      <c r="I671" s="3"/>
      <c r="J671" s="3"/>
      <c r="K671" s="3"/>
      <c r="L671" s="3"/>
      <c r="M671" s="3"/>
      <c r="N671" s="3"/>
      <c r="O671" s="3"/>
      <c r="P671" s="3"/>
      <c r="Q671" s="3"/>
      <c r="R671" s="3"/>
      <c r="S671" s="3"/>
      <c r="T671" s="3"/>
      <c r="U671" s="3"/>
      <c r="V671" s="3"/>
      <c r="W671" s="3"/>
      <c r="X671" s="1"/>
      <c r="Y671" s="1"/>
      <c r="Z671" s="1"/>
    </row>
    <row r="672" ht="12.75" customHeight="1">
      <c r="A672" s="1"/>
      <c r="B672" s="3"/>
      <c r="C672" s="3"/>
      <c r="D672" s="3"/>
      <c r="E672" s="3"/>
      <c r="F672" s="3"/>
      <c r="G672" s="3"/>
      <c r="H672" s="3"/>
      <c r="I672" s="3"/>
      <c r="J672" s="3"/>
      <c r="K672" s="3"/>
      <c r="L672" s="3"/>
      <c r="M672" s="3"/>
      <c r="N672" s="3"/>
      <c r="O672" s="3"/>
      <c r="P672" s="3"/>
      <c r="Q672" s="3"/>
      <c r="R672" s="3"/>
      <c r="S672" s="3"/>
      <c r="T672" s="3"/>
      <c r="U672" s="3"/>
      <c r="V672" s="3"/>
      <c r="W672" s="3"/>
      <c r="X672" s="1"/>
      <c r="Y672" s="1"/>
      <c r="Z672" s="1"/>
    </row>
    <row r="673" ht="12.75" customHeight="1">
      <c r="A673" s="1"/>
      <c r="B673" s="3"/>
      <c r="C673" s="3"/>
      <c r="D673" s="3"/>
      <c r="E673" s="3"/>
      <c r="F673" s="3"/>
      <c r="G673" s="3"/>
      <c r="H673" s="3"/>
      <c r="I673" s="3"/>
      <c r="J673" s="3"/>
      <c r="K673" s="3"/>
      <c r="L673" s="3"/>
      <c r="M673" s="3"/>
      <c r="N673" s="3"/>
      <c r="O673" s="3"/>
      <c r="P673" s="3"/>
      <c r="Q673" s="3"/>
      <c r="R673" s="3"/>
      <c r="S673" s="3"/>
      <c r="T673" s="3"/>
      <c r="U673" s="3"/>
      <c r="V673" s="3"/>
      <c r="W673" s="3"/>
      <c r="X673" s="1"/>
      <c r="Y673" s="1"/>
      <c r="Z673" s="1"/>
    </row>
    <row r="674" ht="12.75" customHeight="1">
      <c r="A674" s="1"/>
      <c r="B674" s="3"/>
      <c r="C674" s="3"/>
      <c r="D674" s="3"/>
      <c r="E674" s="3"/>
      <c r="F674" s="3"/>
      <c r="G674" s="3"/>
      <c r="H674" s="3"/>
      <c r="I674" s="3"/>
      <c r="J674" s="3"/>
      <c r="K674" s="3"/>
      <c r="L674" s="3"/>
      <c r="M674" s="3"/>
      <c r="N674" s="3"/>
      <c r="O674" s="3"/>
      <c r="P674" s="3"/>
      <c r="Q674" s="3"/>
      <c r="R674" s="3"/>
      <c r="S674" s="3"/>
      <c r="T674" s="3"/>
      <c r="U674" s="3"/>
      <c r="V674" s="3"/>
      <c r="W674" s="3"/>
      <c r="X674" s="1"/>
      <c r="Y674" s="1"/>
      <c r="Z674" s="1"/>
    </row>
    <row r="675" ht="12.75" customHeight="1">
      <c r="A675" s="1"/>
      <c r="B675" s="3"/>
      <c r="C675" s="3"/>
      <c r="D675" s="3"/>
      <c r="E675" s="3"/>
      <c r="F675" s="3"/>
      <c r="G675" s="3"/>
      <c r="H675" s="3"/>
      <c r="I675" s="3"/>
      <c r="J675" s="3"/>
      <c r="K675" s="3"/>
      <c r="L675" s="3"/>
      <c r="M675" s="3"/>
      <c r="N675" s="3"/>
      <c r="O675" s="3"/>
      <c r="P675" s="3"/>
      <c r="Q675" s="3"/>
      <c r="R675" s="3"/>
      <c r="S675" s="3"/>
      <c r="T675" s="3"/>
      <c r="U675" s="3"/>
      <c r="V675" s="3"/>
      <c r="W675" s="3"/>
      <c r="X675" s="1"/>
      <c r="Y675" s="1"/>
      <c r="Z675" s="1"/>
    </row>
    <row r="676" ht="12.75" customHeight="1">
      <c r="A676" s="1"/>
      <c r="B676" s="3"/>
      <c r="C676" s="3"/>
      <c r="D676" s="3"/>
      <c r="E676" s="3"/>
      <c r="F676" s="3"/>
      <c r="G676" s="3"/>
      <c r="H676" s="3"/>
      <c r="I676" s="3"/>
      <c r="J676" s="3"/>
      <c r="K676" s="3"/>
      <c r="L676" s="3"/>
      <c r="M676" s="3"/>
      <c r="N676" s="3"/>
      <c r="O676" s="3"/>
      <c r="P676" s="3"/>
      <c r="Q676" s="3"/>
      <c r="R676" s="3"/>
      <c r="S676" s="3"/>
      <c r="T676" s="3"/>
      <c r="U676" s="3"/>
      <c r="V676" s="3"/>
      <c r="W676" s="3"/>
      <c r="X676" s="1"/>
      <c r="Y676" s="1"/>
      <c r="Z676" s="1"/>
    </row>
    <row r="677" ht="12.75" customHeight="1">
      <c r="A677" s="1"/>
      <c r="B677" s="3"/>
      <c r="C677" s="3"/>
      <c r="D677" s="3"/>
      <c r="E677" s="3"/>
      <c r="F677" s="3"/>
      <c r="G677" s="3"/>
      <c r="H677" s="3"/>
      <c r="I677" s="3"/>
      <c r="J677" s="3"/>
      <c r="K677" s="3"/>
      <c r="L677" s="3"/>
      <c r="M677" s="3"/>
      <c r="N677" s="3"/>
      <c r="O677" s="3"/>
      <c r="P677" s="3"/>
      <c r="Q677" s="3"/>
      <c r="R677" s="3"/>
      <c r="S677" s="3"/>
      <c r="T677" s="3"/>
      <c r="U677" s="3"/>
      <c r="V677" s="3"/>
      <c r="W677" s="3"/>
      <c r="X677" s="1"/>
      <c r="Y677" s="1"/>
      <c r="Z677" s="1"/>
    </row>
    <row r="678" ht="12.75" customHeight="1">
      <c r="A678" s="1"/>
      <c r="B678" s="3"/>
      <c r="C678" s="3"/>
      <c r="D678" s="3"/>
      <c r="E678" s="3"/>
      <c r="F678" s="3"/>
      <c r="G678" s="3"/>
      <c r="H678" s="3"/>
      <c r="I678" s="3"/>
      <c r="J678" s="3"/>
      <c r="K678" s="3"/>
      <c r="L678" s="3"/>
      <c r="M678" s="3"/>
      <c r="N678" s="3"/>
      <c r="O678" s="3"/>
      <c r="P678" s="3"/>
      <c r="Q678" s="3"/>
      <c r="R678" s="3"/>
      <c r="S678" s="3"/>
      <c r="T678" s="3"/>
      <c r="U678" s="3"/>
      <c r="V678" s="3"/>
      <c r="W678" s="3"/>
      <c r="X678" s="1"/>
      <c r="Y678" s="1"/>
      <c r="Z678" s="1"/>
    </row>
    <row r="679" ht="12.75" customHeight="1">
      <c r="A679" s="1"/>
      <c r="B679" s="3"/>
      <c r="C679" s="3"/>
      <c r="D679" s="3"/>
      <c r="E679" s="3"/>
      <c r="F679" s="3"/>
      <c r="G679" s="3"/>
      <c r="H679" s="3"/>
      <c r="I679" s="3"/>
      <c r="J679" s="3"/>
      <c r="K679" s="3"/>
      <c r="L679" s="3"/>
      <c r="M679" s="3"/>
      <c r="N679" s="3"/>
      <c r="O679" s="3"/>
      <c r="P679" s="3"/>
      <c r="Q679" s="3"/>
      <c r="R679" s="3"/>
      <c r="S679" s="3"/>
      <c r="T679" s="3"/>
      <c r="U679" s="3"/>
      <c r="V679" s="3"/>
      <c r="W679" s="3"/>
      <c r="X679" s="1"/>
      <c r="Y679" s="1"/>
      <c r="Z679" s="1"/>
    </row>
    <row r="680" ht="12.75" customHeight="1">
      <c r="A680" s="1"/>
      <c r="B680" s="3"/>
      <c r="C680" s="3"/>
      <c r="D680" s="3"/>
      <c r="E680" s="3"/>
      <c r="F680" s="3"/>
      <c r="G680" s="3"/>
      <c r="H680" s="3"/>
      <c r="I680" s="3"/>
      <c r="J680" s="3"/>
      <c r="K680" s="3"/>
      <c r="L680" s="3"/>
      <c r="M680" s="3"/>
      <c r="N680" s="3"/>
      <c r="O680" s="3"/>
      <c r="P680" s="3"/>
      <c r="Q680" s="3"/>
      <c r="R680" s="3"/>
      <c r="S680" s="3"/>
      <c r="T680" s="3"/>
      <c r="U680" s="3"/>
      <c r="V680" s="3"/>
      <c r="W680" s="3"/>
      <c r="X680" s="1"/>
      <c r="Y680" s="1"/>
      <c r="Z680" s="1"/>
    </row>
    <row r="681" ht="12.75" customHeight="1">
      <c r="A681" s="1"/>
      <c r="B681" s="3"/>
      <c r="C681" s="3"/>
      <c r="D681" s="3"/>
      <c r="E681" s="3"/>
      <c r="F681" s="3"/>
      <c r="G681" s="3"/>
      <c r="H681" s="3"/>
      <c r="I681" s="3"/>
      <c r="J681" s="3"/>
      <c r="K681" s="3"/>
      <c r="L681" s="3"/>
      <c r="M681" s="3"/>
      <c r="N681" s="3"/>
      <c r="O681" s="3"/>
      <c r="P681" s="3"/>
      <c r="Q681" s="3"/>
      <c r="R681" s="3"/>
      <c r="S681" s="3"/>
      <c r="T681" s="3"/>
      <c r="U681" s="3"/>
      <c r="V681" s="3"/>
      <c r="W681" s="3"/>
      <c r="X681" s="1"/>
      <c r="Y681" s="1"/>
      <c r="Z681" s="1"/>
    </row>
    <row r="682" ht="12.75" customHeight="1">
      <c r="A682" s="1"/>
      <c r="B682" s="3"/>
      <c r="C682" s="3"/>
      <c r="D682" s="3"/>
      <c r="E682" s="3"/>
      <c r="F682" s="3"/>
      <c r="G682" s="3"/>
      <c r="H682" s="3"/>
      <c r="I682" s="3"/>
      <c r="J682" s="3"/>
      <c r="K682" s="3"/>
      <c r="L682" s="3"/>
      <c r="M682" s="3"/>
      <c r="N682" s="3"/>
      <c r="O682" s="3"/>
      <c r="P682" s="3"/>
      <c r="Q682" s="3"/>
      <c r="R682" s="3"/>
      <c r="S682" s="3"/>
      <c r="T682" s="3"/>
      <c r="U682" s="3"/>
      <c r="V682" s="3"/>
      <c r="W682" s="3"/>
      <c r="X682" s="1"/>
      <c r="Y682" s="1"/>
      <c r="Z682" s="1"/>
    </row>
    <row r="683" ht="12.75" customHeight="1">
      <c r="A683" s="1"/>
      <c r="B683" s="3"/>
      <c r="C683" s="3"/>
      <c r="D683" s="3"/>
      <c r="E683" s="3"/>
      <c r="F683" s="3"/>
      <c r="G683" s="3"/>
      <c r="H683" s="3"/>
      <c r="I683" s="3"/>
      <c r="J683" s="3"/>
      <c r="K683" s="3"/>
      <c r="L683" s="3"/>
      <c r="M683" s="3"/>
      <c r="N683" s="3"/>
      <c r="O683" s="3"/>
      <c r="P683" s="3"/>
      <c r="Q683" s="3"/>
      <c r="R683" s="3"/>
      <c r="S683" s="3"/>
      <c r="T683" s="3"/>
      <c r="U683" s="3"/>
      <c r="V683" s="3"/>
      <c r="W683" s="3"/>
      <c r="X683" s="1"/>
      <c r="Y683" s="1"/>
      <c r="Z683" s="1"/>
    </row>
    <row r="684" ht="12.75" customHeight="1">
      <c r="A684" s="1"/>
      <c r="B684" s="3"/>
      <c r="C684" s="3"/>
      <c r="D684" s="3"/>
      <c r="E684" s="3"/>
      <c r="F684" s="3"/>
      <c r="G684" s="3"/>
      <c r="H684" s="3"/>
      <c r="I684" s="3"/>
      <c r="J684" s="3"/>
      <c r="K684" s="3"/>
      <c r="L684" s="3"/>
      <c r="M684" s="3"/>
      <c r="N684" s="3"/>
      <c r="O684" s="3"/>
      <c r="P684" s="3"/>
      <c r="Q684" s="3"/>
      <c r="R684" s="3"/>
      <c r="S684" s="3"/>
      <c r="T684" s="3"/>
      <c r="U684" s="3"/>
      <c r="V684" s="3"/>
      <c r="W684" s="3"/>
      <c r="X684" s="1"/>
      <c r="Y684" s="1"/>
      <c r="Z684" s="1"/>
    </row>
    <row r="685" ht="12.75" customHeight="1">
      <c r="A685" s="1"/>
      <c r="B685" s="3"/>
      <c r="C685" s="3"/>
      <c r="D685" s="3"/>
      <c r="E685" s="3"/>
      <c r="F685" s="3"/>
      <c r="G685" s="3"/>
      <c r="H685" s="3"/>
      <c r="I685" s="3"/>
      <c r="J685" s="3"/>
      <c r="K685" s="3"/>
      <c r="L685" s="3"/>
      <c r="M685" s="3"/>
      <c r="N685" s="3"/>
      <c r="O685" s="3"/>
      <c r="P685" s="3"/>
      <c r="Q685" s="3"/>
      <c r="R685" s="3"/>
      <c r="S685" s="3"/>
      <c r="T685" s="3"/>
      <c r="U685" s="3"/>
      <c r="V685" s="3"/>
      <c r="W685" s="3"/>
      <c r="X685" s="1"/>
      <c r="Y685" s="1"/>
      <c r="Z685" s="1"/>
    </row>
    <row r="686" ht="12.75" customHeight="1">
      <c r="A686" s="1"/>
      <c r="B686" s="3"/>
      <c r="C686" s="3"/>
      <c r="D686" s="3"/>
      <c r="E686" s="3"/>
      <c r="F686" s="3"/>
      <c r="G686" s="3"/>
      <c r="H686" s="3"/>
      <c r="I686" s="3"/>
      <c r="J686" s="3"/>
      <c r="K686" s="3"/>
      <c r="L686" s="3"/>
      <c r="M686" s="3"/>
      <c r="N686" s="3"/>
      <c r="O686" s="3"/>
      <c r="P686" s="3"/>
      <c r="Q686" s="3"/>
      <c r="R686" s="3"/>
      <c r="S686" s="3"/>
      <c r="T686" s="3"/>
      <c r="U686" s="3"/>
      <c r="V686" s="3"/>
      <c r="W686" s="3"/>
      <c r="X686" s="1"/>
      <c r="Y686" s="1"/>
      <c r="Z686" s="1"/>
    </row>
    <row r="687" ht="12.75" customHeight="1">
      <c r="A687" s="1"/>
      <c r="B687" s="3"/>
      <c r="C687" s="3"/>
      <c r="D687" s="3"/>
      <c r="E687" s="3"/>
      <c r="F687" s="3"/>
      <c r="G687" s="3"/>
      <c r="H687" s="3"/>
      <c r="I687" s="3"/>
      <c r="J687" s="3"/>
      <c r="K687" s="3"/>
      <c r="L687" s="3"/>
      <c r="M687" s="3"/>
      <c r="N687" s="3"/>
      <c r="O687" s="3"/>
      <c r="P687" s="3"/>
      <c r="Q687" s="3"/>
      <c r="R687" s="3"/>
      <c r="S687" s="3"/>
      <c r="T687" s="3"/>
      <c r="U687" s="3"/>
      <c r="V687" s="3"/>
      <c r="W687" s="3"/>
      <c r="X687" s="1"/>
      <c r="Y687" s="1"/>
      <c r="Z687" s="1"/>
    </row>
    <row r="688" ht="12.75" customHeight="1">
      <c r="A688" s="1"/>
      <c r="B688" s="3"/>
      <c r="C688" s="3"/>
      <c r="D688" s="3"/>
      <c r="E688" s="3"/>
      <c r="F688" s="3"/>
      <c r="G688" s="3"/>
      <c r="H688" s="3"/>
      <c r="I688" s="3"/>
      <c r="J688" s="3"/>
      <c r="K688" s="3"/>
      <c r="L688" s="3"/>
      <c r="M688" s="3"/>
      <c r="N688" s="3"/>
      <c r="O688" s="3"/>
      <c r="P688" s="3"/>
      <c r="Q688" s="3"/>
      <c r="R688" s="3"/>
      <c r="S688" s="3"/>
      <c r="T688" s="3"/>
      <c r="U688" s="3"/>
      <c r="V688" s="3"/>
      <c r="W688" s="3"/>
      <c r="X688" s="1"/>
      <c r="Y688" s="1"/>
      <c r="Z688" s="1"/>
    </row>
    <row r="689" ht="12.75" customHeight="1">
      <c r="A689" s="1"/>
      <c r="B689" s="3"/>
      <c r="C689" s="3"/>
      <c r="D689" s="3"/>
      <c r="E689" s="3"/>
      <c r="F689" s="3"/>
      <c r="G689" s="3"/>
      <c r="H689" s="3"/>
      <c r="I689" s="3"/>
      <c r="J689" s="3"/>
      <c r="K689" s="3"/>
      <c r="L689" s="3"/>
      <c r="M689" s="3"/>
      <c r="N689" s="3"/>
      <c r="O689" s="3"/>
      <c r="P689" s="3"/>
      <c r="Q689" s="3"/>
      <c r="R689" s="3"/>
      <c r="S689" s="3"/>
      <c r="T689" s="3"/>
      <c r="U689" s="3"/>
      <c r="V689" s="3"/>
      <c r="W689" s="3"/>
      <c r="X689" s="1"/>
      <c r="Y689" s="1"/>
      <c r="Z689" s="1"/>
    </row>
    <row r="690" ht="12.75" customHeight="1">
      <c r="A690" s="1"/>
      <c r="B690" s="3"/>
      <c r="C690" s="3"/>
      <c r="D690" s="3"/>
      <c r="E690" s="3"/>
      <c r="F690" s="3"/>
      <c r="G690" s="3"/>
      <c r="H690" s="3"/>
      <c r="I690" s="3"/>
      <c r="J690" s="3"/>
      <c r="K690" s="3"/>
      <c r="L690" s="3"/>
      <c r="M690" s="3"/>
      <c r="N690" s="3"/>
      <c r="O690" s="3"/>
      <c r="P690" s="3"/>
      <c r="Q690" s="3"/>
      <c r="R690" s="3"/>
      <c r="S690" s="3"/>
      <c r="T690" s="3"/>
      <c r="U690" s="3"/>
      <c r="V690" s="3"/>
      <c r="W690" s="3"/>
      <c r="X690" s="1"/>
      <c r="Y690" s="1"/>
      <c r="Z690" s="1"/>
    </row>
    <row r="691" ht="12.75" customHeight="1">
      <c r="A691" s="1"/>
      <c r="B691" s="3"/>
      <c r="C691" s="3"/>
      <c r="D691" s="3"/>
      <c r="E691" s="3"/>
      <c r="F691" s="3"/>
      <c r="G691" s="3"/>
      <c r="H691" s="3"/>
      <c r="I691" s="3"/>
      <c r="J691" s="3"/>
      <c r="K691" s="3"/>
      <c r="L691" s="3"/>
      <c r="M691" s="3"/>
      <c r="N691" s="3"/>
      <c r="O691" s="3"/>
      <c r="P691" s="3"/>
      <c r="Q691" s="3"/>
      <c r="R691" s="3"/>
      <c r="S691" s="3"/>
      <c r="T691" s="3"/>
      <c r="U691" s="3"/>
      <c r="V691" s="3"/>
      <c r="W691" s="3"/>
      <c r="X691" s="1"/>
      <c r="Y691" s="1"/>
      <c r="Z691" s="1"/>
    </row>
    <row r="692" ht="12.75" customHeight="1">
      <c r="A692" s="1"/>
      <c r="B692" s="3"/>
      <c r="C692" s="3"/>
      <c r="D692" s="3"/>
      <c r="E692" s="3"/>
      <c r="F692" s="3"/>
      <c r="G692" s="3"/>
      <c r="H692" s="3"/>
      <c r="I692" s="3"/>
      <c r="J692" s="3"/>
      <c r="K692" s="3"/>
      <c r="L692" s="3"/>
      <c r="M692" s="3"/>
      <c r="N692" s="3"/>
      <c r="O692" s="3"/>
      <c r="P692" s="3"/>
      <c r="Q692" s="3"/>
      <c r="R692" s="3"/>
      <c r="S692" s="3"/>
      <c r="T692" s="3"/>
      <c r="U692" s="3"/>
      <c r="V692" s="3"/>
      <c r="W692" s="3"/>
      <c r="X692" s="1"/>
      <c r="Y692" s="1"/>
      <c r="Z692" s="1"/>
    </row>
    <row r="693" ht="12.75" customHeight="1">
      <c r="A693" s="1"/>
      <c r="B693" s="3"/>
      <c r="C693" s="3"/>
      <c r="D693" s="3"/>
      <c r="E693" s="3"/>
      <c r="F693" s="3"/>
      <c r="G693" s="3"/>
      <c r="H693" s="3"/>
      <c r="I693" s="3"/>
      <c r="J693" s="3"/>
      <c r="K693" s="3"/>
      <c r="L693" s="3"/>
      <c r="M693" s="3"/>
      <c r="N693" s="3"/>
      <c r="O693" s="3"/>
      <c r="P693" s="3"/>
      <c r="Q693" s="3"/>
      <c r="R693" s="3"/>
      <c r="S693" s="3"/>
      <c r="T693" s="3"/>
      <c r="U693" s="3"/>
      <c r="V693" s="3"/>
      <c r="W693" s="3"/>
      <c r="X693" s="1"/>
      <c r="Y693" s="1"/>
      <c r="Z693" s="1"/>
    </row>
    <row r="694" ht="12.75" customHeight="1">
      <c r="A694" s="1"/>
      <c r="B694" s="3"/>
      <c r="C694" s="3"/>
      <c r="D694" s="3"/>
      <c r="E694" s="3"/>
      <c r="F694" s="3"/>
      <c r="G694" s="3"/>
      <c r="H694" s="3"/>
      <c r="I694" s="3"/>
      <c r="J694" s="3"/>
      <c r="K694" s="3"/>
      <c r="L694" s="3"/>
      <c r="M694" s="3"/>
      <c r="N694" s="3"/>
      <c r="O694" s="3"/>
      <c r="P694" s="3"/>
      <c r="Q694" s="3"/>
      <c r="R694" s="3"/>
      <c r="S694" s="3"/>
      <c r="T694" s="3"/>
      <c r="U694" s="3"/>
      <c r="V694" s="3"/>
      <c r="W694" s="3"/>
      <c r="X694" s="1"/>
      <c r="Y694" s="1"/>
      <c r="Z694" s="1"/>
    </row>
    <row r="695" ht="12.75" customHeight="1">
      <c r="A695" s="1"/>
      <c r="B695" s="3"/>
      <c r="C695" s="3"/>
      <c r="D695" s="3"/>
      <c r="E695" s="3"/>
      <c r="F695" s="3"/>
      <c r="G695" s="3"/>
      <c r="H695" s="3"/>
      <c r="I695" s="3"/>
      <c r="J695" s="3"/>
      <c r="K695" s="3"/>
      <c r="L695" s="3"/>
      <c r="M695" s="3"/>
      <c r="N695" s="3"/>
      <c r="O695" s="3"/>
      <c r="P695" s="3"/>
      <c r="Q695" s="3"/>
      <c r="R695" s="3"/>
      <c r="S695" s="3"/>
      <c r="T695" s="3"/>
      <c r="U695" s="3"/>
      <c r="V695" s="3"/>
      <c r="W695" s="3"/>
      <c r="X695" s="1"/>
      <c r="Y695" s="1"/>
      <c r="Z695" s="1"/>
    </row>
    <row r="696" ht="12.75" customHeight="1">
      <c r="A696" s="1"/>
      <c r="B696" s="3"/>
      <c r="C696" s="3"/>
      <c r="D696" s="3"/>
      <c r="E696" s="3"/>
      <c r="F696" s="3"/>
      <c r="G696" s="3"/>
      <c r="H696" s="3"/>
      <c r="I696" s="3"/>
      <c r="J696" s="3"/>
      <c r="K696" s="3"/>
      <c r="L696" s="3"/>
      <c r="M696" s="3"/>
      <c r="N696" s="3"/>
      <c r="O696" s="3"/>
      <c r="P696" s="3"/>
      <c r="Q696" s="3"/>
      <c r="R696" s="3"/>
      <c r="S696" s="3"/>
      <c r="T696" s="3"/>
      <c r="U696" s="3"/>
      <c r="V696" s="3"/>
      <c r="W696" s="3"/>
      <c r="X696" s="1"/>
      <c r="Y696" s="1"/>
      <c r="Z696" s="1"/>
    </row>
    <row r="697" ht="12.75" customHeight="1">
      <c r="A697" s="1"/>
      <c r="B697" s="3"/>
      <c r="C697" s="3"/>
      <c r="D697" s="3"/>
      <c r="E697" s="3"/>
      <c r="F697" s="3"/>
      <c r="G697" s="3"/>
      <c r="H697" s="3"/>
      <c r="I697" s="3"/>
      <c r="J697" s="3"/>
      <c r="K697" s="3"/>
      <c r="L697" s="3"/>
      <c r="M697" s="3"/>
      <c r="N697" s="3"/>
      <c r="O697" s="3"/>
      <c r="P697" s="3"/>
      <c r="Q697" s="3"/>
      <c r="R697" s="3"/>
      <c r="S697" s="3"/>
      <c r="T697" s="3"/>
      <c r="U697" s="3"/>
      <c r="V697" s="3"/>
      <c r="W697" s="3"/>
      <c r="X697" s="1"/>
      <c r="Y697" s="1"/>
      <c r="Z697" s="1"/>
    </row>
    <row r="698" ht="12.75" customHeight="1">
      <c r="A698" s="1"/>
      <c r="B698" s="3"/>
      <c r="C698" s="3"/>
      <c r="D698" s="3"/>
      <c r="E698" s="3"/>
      <c r="F698" s="3"/>
      <c r="G698" s="3"/>
      <c r="H698" s="3"/>
      <c r="I698" s="3"/>
      <c r="J698" s="3"/>
      <c r="K698" s="3"/>
      <c r="L698" s="3"/>
      <c r="M698" s="3"/>
      <c r="N698" s="3"/>
      <c r="O698" s="3"/>
      <c r="P698" s="3"/>
      <c r="Q698" s="3"/>
      <c r="R698" s="3"/>
      <c r="S698" s="3"/>
      <c r="T698" s="3"/>
      <c r="U698" s="3"/>
      <c r="V698" s="3"/>
      <c r="W698" s="3"/>
      <c r="X698" s="1"/>
      <c r="Y698" s="1"/>
      <c r="Z698" s="1"/>
    </row>
    <row r="699" ht="12.75" customHeight="1">
      <c r="A699" s="1"/>
      <c r="B699" s="3"/>
      <c r="C699" s="3"/>
      <c r="D699" s="3"/>
      <c r="E699" s="3"/>
      <c r="F699" s="3"/>
      <c r="G699" s="3"/>
      <c r="H699" s="3"/>
      <c r="I699" s="3"/>
      <c r="J699" s="3"/>
      <c r="K699" s="3"/>
      <c r="L699" s="3"/>
      <c r="M699" s="3"/>
      <c r="N699" s="3"/>
      <c r="O699" s="3"/>
      <c r="P699" s="3"/>
      <c r="Q699" s="3"/>
      <c r="R699" s="3"/>
      <c r="S699" s="3"/>
      <c r="T699" s="3"/>
      <c r="U699" s="3"/>
      <c r="V699" s="3"/>
      <c r="W699" s="3"/>
      <c r="X699" s="1"/>
      <c r="Y699" s="1"/>
      <c r="Z699" s="1"/>
    </row>
    <row r="700" ht="12.75" customHeight="1">
      <c r="A700" s="1"/>
      <c r="B700" s="3"/>
      <c r="C700" s="3"/>
      <c r="D700" s="3"/>
      <c r="E700" s="3"/>
      <c r="F700" s="3"/>
      <c r="G700" s="3"/>
      <c r="H700" s="3"/>
      <c r="I700" s="3"/>
      <c r="J700" s="3"/>
      <c r="K700" s="3"/>
      <c r="L700" s="3"/>
      <c r="M700" s="3"/>
      <c r="N700" s="3"/>
      <c r="O700" s="3"/>
      <c r="P700" s="3"/>
      <c r="Q700" s="3"/>
      <c r="R700" s="3"/>
      <c r="S700" s="3"/>
      <c r="T700" s="3"/>
      <c r="U700" s="3"/>
      <c r="V700" s="3"/>
      <c r="W700" s="3"/>
      <c r="X700" s="1"/>
      <c r="Y700" s="1"/>
      <c r="Z700" s="1"/>
    </row>
    <row r="701" ht="12.75" customHeight="1">
      <c r="A701" s="1"/>
      <c r="B701" s="3"/>
      <c r="C701" s="3"/>
      <c r="D701" s="3"/>
      <c r="E701" s="3"/>
      <c r="F701" s="3"/>
      <c r="G701" s="3"/>
      <c r="H701" s="3"/>
      <c r="I701" s="3"/>
      <c r="J701" s="3"/>
      <c r="K701" s="3"/>
      <c r="L701" s="3"/>
      <c r="M701" s="3"/>
      <c r="N701" s="3"/>
      <c r="O701" s="3"/>
      <c r="P701" s="3"/>
      <c r="Q701" s="3"/>
      <c r="R701" s="3"/>
      <c r="S701" s="3"/>
      <c r="T701" s="3"/>
      <c r="U701" s="3"/>
      <c r="V701" s="3"/>
      <c r="W701" s="3"/>
      <c r="X701" s="1"/>
      <c r="Y701" s="1"/>
      <c r="Z701" s="1"/>
    </row>
    <row r="702" ht="12.75" customHeight="1">
      <c r="A702" s="1"/>
      <c r="B702" s="3"/>
      <c r="C702" s="3"/>
      <c r="D702" s="3"/>
      <c r="E702" s="3"/>
      <c r="F702" s="3"/>
      <c r="G702" s="3"/>
      <c r="H702" s="3"/>
      <c r="I702" s="3"/>
      <c r="J702" s="3"/>
      <c r="K702" s="3"/>
      <c r="L702" s="3"/>
      <c r="M702" s="3"/>
      <c r="N702" s="3"/>
      <c r="O702" s="3"/>
      <c r="P702" s="3"/>
      <c r="Q702" s="3"/>
      <c r="R702" s="3"/>
      <c r="S702" s="3"/>
      <c r="T702" s="3"/>
      <c r="U702" s="3"/>
      <c r="V702" s="3"/>
      <c r="W702" s="3"/>
      <c r="X702" s="1"/>
      <c r="Y702" s="1"/>
      <c r="Z702" s="1"/>
    </row>
    <row r="703" ht="12.75" customHeight="1">
      <c r="A703" s="1"/>
      <c r="B703" s="3"/>
      <c r="C703" s="3"/>
      <c r="D703" s="3"/>
      <c r="E703" s="3"/>
      <c r="F703" s="3"/>
      <c r="G703" s="3"/>
      <c r="H703" s="3"/>
      <c r="I703" s="3"/>
      <c r="J703" s="3"/>
      <c r="K703" s="3"/>
      <c r="L703" s="3"/>
      <c r="M703" s="3"/>
      <c r="N703" s="3"/>
      <c r="O703" s="3"/>
      <c r="P703" s="3"/>
      <c r="Q703" s="3"/>
      <c r="R703" s="3"/>
      <c r="S703" s="3"/>
      <c r="T703" s="3"/>
      <c r="U703" s="3"/>
      <c r="V703" s="3"/>
      <c r="W703" s="3"/>
      <c r="X703" s="1"/>
      <c r="Y703" s="1"/>
      <c r="Z703" s="1"/>
    </row>
    <row r="704" ht="12.75" customHeight="1">
      <c r="A704" s="1"/>
      <c r="B704" s="3"/>
      <c r="C704" s="3"/>
      <c r="D704" s="3"/>
      <c r="E704" s="3"/>
      <c r="F704" s="3"/>
      <c r="G704" s="3"/>
      <c r="H704" s="3"/>
      <c r="I704" s="3"/>
      <c r="J704" s="3"/>
      <c r="K704" s="3"/>
      <c r="L704" s="3"/>
      <c r="M704" s="3"/>
      <c r="N704" s="3"/>
      <c r="O704" s="3"/>
      <c r="P704" s="3"/>
      <c r="Q704" s="3"/>
      <c r="R704" s="3"/>
      <c r="S704" s="3"/>
      <c r="T704" s="3"/>
      <c r="U704" s="3"/>
      <c r="V704" s="3"/>
      <c r="W704" s="3"/>
      <c r="X704" s="1"/>
      <c r="Y704" s="1"/>
      <c r="Z704" s="1"/>
    </row>
    <row r="705" ht="12.75" customHeight="1">
      <c r="A705" s="1"/>
      <c r="B705" s="3"/>
      <c r="C705" s="3"/>
      <c r="D705" s="3"/>
      <c r="E705" s="3"/>
      <c r="F705" s="3"/>
      <c r="G705" s="3"/>
      <c r="H705" s="3"/>
      <c r="I705" s="3"/>
      <c r="J705" s="3"/>
      <c r="K705" s="3"/>
      <c r="L705" s="3"/>
      <c r="M705" s="3"/>
      <c r="N705" s="3"/>
      <c r="O705" s="3"/>
      <c r="P705" s="3"/>
      <c r="Q705" s="3"/>
      <c r="R705" s="3"/>
      <c r="S705" s="3"/>
      <c r="T705" s="3"/>
      <c r="U705" s="3"/>
      <c r="V705" s="3"/>
      <c r="W705" s="3"/>
      <c r="X705" s="1"/>
      <c r="Y705" s="1"/>
      <c r="Z705" s="1"/>
    </row>
    <row r="706" ht="12.75" customHeight="1">
      <c r="A706" s="1"/>
      <c r="B706" s="3"/>
      <c r="C706" s="3"/>
      <c r="D706" s="3"/>
      <c r="E706" s="3"/>
      <c r="F706" s="3"/>
      <c r="G706" s="3"/>
      <c r="H706" s="3"/>
      <c r="I706" s="3"/>
      <c r="J706" s="3"/>
      <c r="K706" s="3"/>
      <c r="L706" s="3"/>
      <c r="M706" s="3"/>
      <c r="N706" s="3"/>
      <c r="O706" s="3"/>
      <c r="P706" s="3"/>
      <c r="Q706" s="3"/>
      <c r="R706" s="3"/>
      <c r="S706" s="3"/>
      <c r="T706" s="3"/>
      <c r="U706" s="3"/>
      <c r="V706" s="3"/>
      <c r="W706" s="3"/>
      <c r="X706" s="1"/>
      <c r="Y706" s="1"/>
      <c r="Z706" s="1"/>
    </row>
    <row r="707" ht="12.75" customHeight="1">
      <c r="A707" s="1"/>
      <c r="B707" s="3"/>
      <c r="C707" s="3"/>
      <c r="D707" s="3"/>
      <c r="E707" s="3"/>
      <c r="F707" s="3"/>
      <c r="G707" s="3"/>
      <c r="H707" s="3"/>
      <c r="I707" s="3"/>
      <c r="J707" s="3"/>
      <c r="K707" s="3"/>
      <c r="L707" s="3"/>
      <c r="M707" s="3"/>
      <c r="N707" s="3"/>
      <c r="O707" s="3"/>
      <c r="P707" s="3"/>
      <c r="Q707" s="3"/>
      <c r="R707" s="3"/>
      <c r="S707" s="3"/>
      <c r="T707" s="3"/>
      <c r="U707" s="3"/>
      <c r="V707" s="3"/>
      <c r="W707" s="3"/>
      <c r="X707" s="1"/>
      <c r="Y707" s="1"/>
      <c r="Z707" s="1"/>
    </row>
    <row r="708" ht="12.75" customHeight="1">
      <c r="A708" s="1"/>
      <c r="B708" s="3"/>
      <c r="C708" s="3"/>
      <c r="D708" s="3"/>
      <c r="E708" s="3"/>
      <c r="F708" s="3"/>
      <c r="G708" s="3"/>
      <c r="H708" s="3"/>
      <c r="I708" s="3"/>
      <c r="J708" s="3"/>
      <c r="K708" s="3"/>
      <c r="L708" s="3"/>
      <c r="M708" s="3"/>
      <c r="N708" s="3"/>
      <c r="O708" s="3"/>
      <c r="P708" s="3"/>
      <c r="Q708" s="3"/>
      <c r="R708" s="3"/>
      <c r="S708" s="3"/>
      <c r="T708" s="3"/>
      <c r="U708" s="3"/>
      <c r="V708" s="3"/>
      <c r="W708" s="3"/>
      <c r="X708" s="1"/>
      <c r="Y708" s="1"/>
      <c r="Z708" s="1"/>
    </row>
    <row r="709" ht="12.75" customHeight="1">
      <c r="A709" s="1"/>
      <c r="B709" s="3"/>
      <c r="C709" s="3"/>
      <c r="D709" s="3"/>
      <c r="E709" s="3"/>
      <c r="F709" s="3"/>
      <c r="G709" s="3"/>
      <c r="H709" s="3"/>
      <c r="I709" s="3"/>
      <c r="J709" s="3"/>
      <c r="K709" s="3"/>
      <c r="L709" s="3"/>
      <c r="M709" s="3"/>
      <c r="N709" s="3"/>
      <c r="O709" s="3"/>
      <c r="P709" s="3"/>
      <c r="Q709" s="3"/>
      <c r="R709" s="3"/>
      <c r="S709" s="3"/>
      <c r="T709" s="3"/>
      <c r="U709" s="3"/>
      <c r="V709" s="3"/>
      <c r="W709" s="3"/>
      <c r="X709" s="1"/>
      <c r="Y709" s="1"/>
      <c r="Z709" s="1"/>
    </row>
    <row r="710" ht="12.75" customHeight="1">
      <c r="A710" s="1"/>
      <c r="B710" s="3"/>
      <c r="C710" s="3"/>
      <c r="D710" s="3"/>
      <c r="E710" s="3"/>
      <c r="F710" s="3"/>
      <c r="G710" s="3"/>
      <c r="H710" s="3"/>
      <c r="I710" s="3"/>
      <c r="J710" s="3"/>
      <c r="K710" s="3"/>
      <c r="L710" s="3"/>
      <c r="M710" s="3"/>
      <c r="N710" s="3"/>
      <c r="O710" s="3"/>
      <c r="P710" s="3"/>
      <c r="Q710" s="3"/>
      <c r="R710" s="3"/>
      <c r="S710" s="3"/>
      <c r="T710" s="3"/>
      <c r="U710" s="3"/>
      <c r="V710" s="3"/>
      <c r="W710" s="3"/>
      <c r="X710" s="1"/>
      <c r="Y710" s="1"/>
      <c r="Z710" s="1"/>
    </row>
    <row r="711" ht="12.75" customHeight="1">
      <c r="A711" s="1"/>
      <c r="B711" s="3"/>
      <c r="C711" s="3"/>
      <c r="D711" s="3"/>
      <c r="E711" s="3"/>
      <c r="F711" s="3"/>
      <c r="G711" s="3"/>
      <c r="H711" s="3"/>
      <c r="I711" s="3"/>
      <c r="J711" s="3"/>
      <c r="K711" s="3"/>
      <c r="L711" s="3"/>
      <c r="M711" s="3"/>
      <c r="N711" s="3"/>
      <c r="O711" s="3"/>
      <c r="P711" s="3"/>
      <c r="Q711" s="3"/>
      <c r="R711" s="3"/>
      <c r="S711" s="3"/>
      <c r="T711" s="3"/>
      <c r="U711" s="3"/>
      <c r="V711" s="3"/>
      <c r="W711" s="3"/>
      <c r="X711" s="1"/>
      <c r="Y711" s="1"/>
      <c r="Z711" s="1"/>
    </row>
    <row r="712" ht="12.75" customHeight="1">
      <c r="A712" s="1"/>
      <c r="B712" s="3"/>
      <c r="C712" s="3"/>
      <c r="D712" s="3"/>
      <c r="E712" s="3"/>
      <c r="F712" s="3"/>
      <c r="G712" s="3"/>
      <c r="H712" s="3"/>
      <c r="I712" s="3"/>
      <c r="J712" s="3"/>
      <c r="K712" s="3"/>
      <c r="L712" s="3"/>
      <c r="M712" s="3"/>
      <c r="N712" s="3"/>
      <c r="O712" s="3"/>
      <c r="P712" s="3"/>
      <c r="Q712" s="3"/>
      <c r="R712" s="3"/>
      <c r="S712" s="3"/>
      <c r="T712" s="3"/>
      <c r="U712" s="3"/>
      <c r="V712" s="3"/>
      <c r="W712" s="3"/>
      <c r="X712" s="1"/>
      <c r="Y712" s="1"/>
      <c r="Z712" s="1"/>
    </row>
    <row r="713" ht="12.75" customHeight="1">
      <c r="A713" s="1"/>
      <c r="B713" s="3"/>
      <c r="C713" s="3"/>
      <c r="D713" s="3"/>
      <c r="E713" s="3"/>
      <c r="F713" s="3"/>
      <c r="G713" s="3"/>
      <c r="H713" s="3"/>
      <c r="I713" s="3"/>
      <c r="J713" s="3"/>
      <c r="K713" s="3"/>
      <c r="L713" s="3"/>
      <c r="M713" s="3"/>
      <c r="N713" s="3"/>
      <c r="O713" s="3"/>
      <c r="P713" s="3"/>
      <c r="Q713" s="3"/>
      <c r="R713" s="3"/>
      <c r="S713" s="3"/>
      <c r="T713" s="3"/>
      <c r="U713" s="3"/>
      <c r="V713" s="3"/>
      <c r="W713" s="3"/>
      <c r="X713" s="1"/>
      <c r="Y713" s="1"/>
      <c r="Z713" s="1"/>
    </row>
    <row r="714" ht="12.75" customHeight="1">
      <c r="A714" s="1"/>
      <c r="B714" s="3"/>
      <c r="C714" s="3"/>
      <c r="D714" s="3"/>
      <c r="E714" s="3"/>
      <c r="F714" s="3"/>
      <c r="G714" s="3"/>
      <c r="H714" s="3"/>
      <c r="I714" s="3"/>
      <c r="J714" s="3"/>
      <c r="K714" s="3"/>
      <c r="L714" s="3"/>
      <c r="M714" s="3"/>
      <c r="N714" s="3"/>
      <c r="O714" s="3"/>
      <c r="P714" s="3"/>
      <c r="Q714" s="3"/>
      <c r="R714" s="3"/>
      <c r="S714" s="3"/>
      <c r="T714" s="3"/>
      <c r="U714" s="3"/>
      <c r="V714" s="3"/>
      <c r="W714" s="3"/>
      <c r="X714" s="1"/>
      <c r="Y714" s="1"/>
      <c r="Z714" s="1"/>
    </row>
    <row r="715" ht="12.75" customHeight="1">
      <c r="A715" s="1"/>
      <c r="B715" s="3"/>
      <c r="C715" s="3"/>
      <c r="D715" s="3"/>
      <c r="E715" s="3"/>
      <c r="F715" s="3"/>
      <c r="G715" s="3"/>
      <c r="H715" s="3"/>
      <c r="I715" s="3"/>
      <c r="J715" s="3"/>
      <c r="K715" s="3"/>
      <c r="L715" s="3"/>
      <c r="M715" s="3"/>
      <c r="N715" s="3"/>
      <c r="O715" s="3"/>
      <c r="P715" s="3"/>
      <c r="Q715" s="3"/>
      <c r="R715" s="3"/>
      <c r="S715" s="3"/>
      <c r="T715" s="3"/>
      <c r="U715" s="3"/>
      <c r="V715" s="3"/>
      <c r="W715" s="3"/>
      <c r="X715" s="1"/>
      <c r="Y715" s="1"/>
      <c r="Z715" s="1"/>
    </row>
    <row r="716" ht="12.75" customHeight="1">
      <c r="A716" s="1"/>
      <c r="B716" s="3"/>
      <c r="C716" s="3"/>
      <c r="D716" s="3"/>
      <c r="E716" s="3"/>
      <c r="F716" s="3"/>
      <c r="G716" s="3"/>
      <c r="H716" s="3"/>
      <c r="I716" s="3"/>
      <c r="J716" s="3"/>
      <c r="K716" s="3"/>
      <c r="L716" s="3"/>
      <c r="M716" s="3"/>
      <c r="N716" s="3"/>
      <c r="O716" s="3"/>
      <c r="P716" s="3"/>
      <c r="Q716" s="3"/>
      <c r="R716" s="3"/>
      <c r="S716" s="3"/>
      <c r="T716" s="3"/>
      <c r="U716" s="3"/>
      <c r="V716" s="3"/>
      <c r="W716" s="3"/>
      <c r="X716" s="1"/>
      <c r="Y716" s="1"/>
      <c r="Z716" s="1"/>
    </row>
    <row r="717" ht="12.75" customHeight="1">
      <c r="A717" s="1"/>
      <c r="B717" s="3"/>
      <c r="C717" s="3"/>
      <c r="D717" s="3"/>
      <c r="E717" s="3"/>
      <c r="F717" s="3"/>
      <c r="G717" s="3"/>
      <c r="H717" s="3"/>
      <c r="I717" s="3"/>
      <c r="J717" s="3"/>
      <c r="K717" s="3"/>
      <c r="L717" s="3"/>
      <c r="M717" s="3"/>
      <c r="N717" s="3"/>
      <c r="O717" s="3"/>
      <c r="P717" s="3"/>
      <c r="Q717" s="3"/>
      <c r="R717" s="3"/>
      <c r="S717" s="3"/>
      <c r="T717" s="3"/>
      <c r="U717" s="3"/>
      <c r="V717" s="3"/>
      <c r="W717" s="3"/>
      <c r="X717" s="1"/>
      <c r="Y717" s="1"/>
      <c r="Z717" s="1"/>
    </row>
    <row r="718" ht="12.75" customHeight="1">
      <c r="A718" s="1"/>
      <c r="B718" s="3"/>
      <c r="C718" s="3"/>
      <c r="D718" s="3"/>
      <c r="E718" s="3"/>
      <c r="F718" s="3"/>
      <c r="G718" s="3"/>
      <c r="H718" s="3"/>
      <c r="I718" s="3"/>
      <c r="J718" s="3"/>
      <c r="K718" s="3"/>
      <c r="L718" s="3"/>
      <c r="M718" s="3"/>
      <c r="N718" s="3"/>
      <c r="O718" s="3"/>
      <c r="P718" s="3"/>
      <c r="Q718" s="3"/>
      <c r="R718" s="3"/>
      <c r="S718" s="3"/>
      <c r="T718" s="3"/>
      <c r="U718" s="3"/>
      <c r="V718" s="3"/>
      <c r="W718" s="3"/>
      <c r="X718" s="1"/>
      <c r="Y718" s="1"/>
      <c r="Z718" s="1"/>
    </row>
    <row r="719" ht="12.75" customHeight="1">
      <c r="A719" s="1"/>
      <c r="B719" s="3"/>
      <c r="C719" s="3"/>
      <c r="D719" s="3"/>
      <c r="E719" s="3"/>
      <c r="F719" s="3"/>
      <c r="G719" s="3"/>
      <c r="H719" s="3"/>
      <c r="I719" s="3"/>
      <c r="J719" s="3"/>
      <c r="K719" s="3"/>
      <c r="L719" s="3"/>
      <c r="M719" s="3"/>
      <c r="N719" s="3"/>
      <c r="O719" s="3"/>
      <c r="P719" s="3"/>
      <c r="Q719" s="3"/>
      <c r="R719" s="3"/>
      <c r="S719" s="3"/>
      <c r="T719" s="3"/>
      <c r="U719" s="3"/>
      <c r="V719" s="3"/>
      <c r="W719" s="3"/>
      <c r="X719" s="1"/>
      <c r="Y719" s="1"/>
      <c r="Z719" s="1"/>
    </row>
    <row r="720" ht="12.75" customHeight="1">
      <c r="A720" s="1"/>
      <c r="B720" s="3"/>
      <c r="C720" s="3"/>
      <c r="D720" s="3"/>
      <c r="E720" s="3"/>
      <c r="F720" s="3"/>
      <c r="G720" s="3"/>
      <c r="H720" s="3"/>
      <c r="I720" s="3"/>
      <c r="J720" s="3"/>
      <c r="K720" s="3"/>
      <c r="L720" s="3"/>
      <c r="M720" s="3"/>
      <c r="N720" s="3"/>
      <c r="O720" s="3"/>
      <c r="P720" s="3"/>
      <c r="Q720" s="3"/>
      <c r="R720" s="3"/>
      <c r="S720" s="3"/>
      <c r="T720" s="3"/>
      <c r="U720" s="3"/>
      <c r="V720" s="3"/>
      <c r="W720" s="3"/>
      <c r="X720" s="1"/>
      <c r="Y720" s="1"/>
      <c r="Z720" s="1"/>
    </row>
    <row r="721" ht="12.75" customHeight="1">
      <c r="A721" s="1"/>
      <c r="B721" s="3"/>
      <c r="C721" s="3"/>
      <c r="D721" s="3"/>
      <c r="E721" s="3"/>
      <c r="F721" s="3"/>
      <c r="G721" s="3"/>
      <c r="H721" s="3"/>
      <c r="I721" s="3"/>
      <c r="J721" s="3"/>
      <c r="K721" s="3"/>
      <c r="L721" s="3"/>
      <c r="M721" s="3"/>
      <c r="N721" s="3"/>
      <c r="O721" s="3"/>
      <c r="P721" s="3"/>
      <c r="Q721" s="3"/>
      <c r="R721" s="3"/>
      <c r="S721" s="3"/>
      <c r="T721" s="3"/>
      <c r="U721" s="3"/>
      <c r="V721" s="3"/>
      <c r="W721" s="3"/>
      <c r="X721" s="1"/>
      <c r="Y721" s="1"/>
      <c r="Z721" s="1"/>
    </row>
    <row r="722" ht="12.75" customHeight="1">
      <c r="A722" s="1"/>
      <c r="B722" s="3"/>
      <c r="C722" s="3"/>
      <c r="D722" s="3"/>
      <c r="E722" s="3"/>
      <c r="F722" s="3"/>
      <c r="G722" s="3"/>
      <c r="H722" s="3"/>
      <c r="I722" s="3"/>
      <c r="J722" s="3"/>
      <c r="K722" s="3"/>
      <c r="L722" s="3"/>
      <c r="M722" s="3"/>
      <c r="N722" s="3"/>
      <c r="O722" s="3"/>
      <c r="P722" s="3"/>
      <c r="Q722" s="3"/>
      <c r="R722" s="3"/>
      <c r="S722" s="3"/>
      <c r="T722" s="3"/>
      <c r="U722" s="3"/>
      <c r="V722" s="3"/>
      <c r="W722" s="3"/>
      <c r="X722" s="1"/>
      <c r="Y722" s="1"/>
      <c r="Z722" s="1"/>
    </row>
    <row r="723" ht="12.75" customHeight="1">
      <c r="A723" s="1"/>
      <c r="B723" s="3"/>
      <c r="C723" s="3"/>
      <c r="D723" s="3"/>
      <c r="E723" s="3"/>
      <c r="F723" s="3"/>
      <c r="G723" s="3"/>
      <c r="H723" s="3"/>
      <c r="I723" s="3"/>
      <c r="J723" s="3"/>
      <c r="K723" s="3"/>
      <c r="L723" s="3"/>
      <c r="M723" s="3"/>
      <c r="N723" s="3"/>
      <c r="O723" s="3"/>
      <c r="P723" s="3"/>
      <c r="Q723" s="3"/>
      <c r="R723" s="3"/>
      <c r="S723" s="3"/>
      <c r="T723" s="3"/>
      <c r="U723" s="3"/>
      <c r="V723" s="3"/>
      <c r="W723" s="3"/>
      <c r="X723" s="1"/>
      <c r="Y723" s="1"/>
      <c r="Z723" s="1"/>
    </row>
    <row r="724" ht="12.75" customHeight="1">
      <c r="A724" s="1"/>
      <c r="B724" s="3"/>
      <c r="C724" s="3"/>
      <c r="D724" s="3"/>
      <c r="E724" s="3"/>
      <c r="F724" s="3"/>
      <c r="G724" s="3"/>
      <c r="H724" s="3"/>
      <c r="I724" s="3"/>
      <c r="J724" s="3"/>
      <c r="K724" s="3"/>
      <c r="L724" s="3"/>
      <c r="M724" s="3"/>
      <c r="N724" s="3"/>
      <c r="O724" s="3"/>
      <c r="P724" s="3"/>
      <c r="Q724" s="3"/>
      <c r="R724" s="3"/>
      <c r="S724" s="3"/>
      <c r="T724" s="3"/>
      <c r="U724" s="3"/>
      <c r="V724" s="3"/>
      <c r="W724" s="3"/>
      <c r="X724" s="1"/>
      <c r="Y724" s="1"/>
      <c r="Z724" s="1"/>
    </row>
    <row r="725" ht="12.75" customHeight="1">
      <c r="A725" s="1"/>
      <c r="B725" s="3"/>
      <c r="C725" s="3"/>
      <c r="D725" s="3"/>
      <c r="E725" s="3"/>
      <c r="F725" s="3"/>
      <c r="G725" s="3"/>
      <c r="H725" s="3"/>
      <c r="I725" s="3"/>
      <c r="J725" s="3"/>
      <c r="K725" s="3"/>
      <c r="L725" s="3"/>
      <c r="M725" s="3"/>
      <c r="N725" s="3"/>
      <c r="O725" s="3"/>
      <c r="P725" s="3"/>
      <c r="Q725" s="3"/>
      <c r="R725" s="3"/>
      <c r="S725" s="3"/>
      <c r="T725" s="3"/>
      <c r="U725" s="3"/>
      <c r="V725" s="3"/>
      <c r="W725" s="3"/>
      <c r="X725" s="1"/>
      <c r="Y725" s="1"/>
      <c r="Z725" s="1"/>
    </row>
    <row r="726" ht="12.75" customHeight="1">
      <c r="A726" s="1"/>
      <c r="B726" s="3"/>
      <c r="C726" s="3"/>
      <c r="D726" s="3"/>
      <c r="E726" s="3"/>
      <c r="F726" s="3"/>
      <c r="G726" s="3"/>
      <c r="H726" s="3"/>
      <c r="I726" s="3"/>
      <c r="J726" s="3"/>
      <c r="K726" s="3"/>
      <c r="L726" s="3"/>
      <c r="M726" s="3"/>
      <c r="N726" s="3"/>
      <c r="O726" s="3"/>
      <c r="P726" s="3"/>
      <c r="Q726" s="3"/>
      <c r="R726" s="3"/>
      <c r="S726" s="3"/>
      <c r="T726" s="3"/>
      <c r="U726" s="3"/>
      <c r="V726" s="3"/>
      <c r="W726" s="3"/>
      <c r="X726" s="1"/>
      <c r="Y726" s="1"/>
      <c r="Z726" s="1"/>
    </row>
    <row r="727" ht="12.75" customHeight="1">
      <c r="A727" s="1"/>
      <c r="B727" s="3"/>
      <c r="C727" s="3"/>
      <c r="D727" s="3"/>
      <c r="E727" s="3"/>
      <c r="F727" s="3"/>
      <c r="G727" s="3"/>
      <c r="H727" s="3"/>
      <c r="I727" s="3"/>
      <c r="J727" s="3"/>
      <c r="K727" s="3"/>
      <c r="L727" s="3"/>
      <c r="M727" s="3"/>
      <c r="N727" s="3"/>
      <c r="O727" s="3"/>
      <c r="P727" s="3"/>
      <c r="Q727" s="3"/>
      <c r="R727" s="3"/>
      <c r="S727" s="3"/>
      <c r="T727" s="3"/>
      <c r="U727" s="3"/>
      <c r="V727" s="3"/>
      <c r="W727" s="3"/>
      <c r="X727" s="1"/>
      <c r="Y727" s="1"/>
      <c r="Z727" s="1"/>
    </row>
    <row r="728" ht="12.75" customHeight="1">
      <c r="A728" s="1"/>
      <c r="B728" s="3"/>
      <c r="C728" s="3"/>
      <c r="D728" s="3"/>
      <c r="E728" s="3"/>
      <c r="F728" s="3"/>
      <c r="G728" s="3"/>
      <c r="H728" s="3"/>
      <c r="I728" s="3"/>
      <c r="J728" s="3"/>
      <c r="K728" s="3"/>
      <c r="L728" s="3"/>
      <c r="M728" s="3"/>
      <c r="N728" s="3"/>
      <c r="O728" s="3"/>
      <c r="P728" s="3"/>
      <c r="Q728" s="3"/>
      <c r="R728" s="3"/>
      <c r="S728" s="3"/>
      <c r="T728" s="3"/>
      <c r="U728" s="3"/>
      <c r="V728" s="3"/>
      <c r="W728" s="3"/>
      <c r="X728" s="1"/>
      <c r="Y728" s="1"/>
      <c r="Z728" s="1"/>
    </row>
    <row r="729" ht="12.75" customHeight="1">
      <c r="A729" s="1"/>
      <c r="B729" s="3"/>
      <c r="C729" s="3"/>
      <c r="D729" s="3"/>
      <c r="E729" s="3"/>
      <c r="F729" s="3"/>
      <c r="G729" s="3"/>
      <c r="H729" s="3"/>
      <c r="I729" s="3"/>
      <c r="J729" s="3"/>
      <c r="K729" s="3"/>
      <c r="L729" s="3"/>
      <c r="M729" s="3"/>
      <c r="N729" s="3"/>
      <c r="O729" s="3"/>
      <c r="P729" s="3"/>
      <c r="Q729" s="3"/>
      <c r="R729" s="3"/>
      <c r="S729" s="3"/>
      <c r="T729" s="3"/>
      <c r="U729" s="3"/>
      <c r="V729" s="3"/>
      <c r="W729" s="3"/>
      <c r="X729" s="1"/>
      <c r="Y729" s="1"/>
      <c r="Z729" s="1"/>
    </row>
    <row r="730" ht="12.75" customHeight="1">
      <c r="A730" s="1"/>
      <c r="B730" s="3"/>
      <c r="C730" s="3"/>
      <c r="D730" s="3"/>
      <c r="E730" s="3"/>
      <c r="F730" s="3"/>
      <c r="G730" s="3"/>
      <c r="H730" s="3"/>
      <c r="I730" s="3"/>
      <c r="J730" s="3"/>
      <c r="K730" s="3"/>
      <c r="L730" s="3"/>
      <c r="M730" s="3"/>
      <c r="N730" s="3"/>
      <c r="O730" s="3"/>
      <c r="P730" s="3"/>
      <c r="Q730" s="3"/>
      <c r="R730" s="3"/>
      <c r="S730" s="3"/>
      <c r="T730" s="3"/>
      <c r="U730" s="3"/>
      <c r="V730" s="3"/>
      <c r="W730" s="3"/>
      <c r="X730" s="1"/>
      <c r="Y730" s="1"/>
      <c r="Z730" s="1"/>
    </row>
    <row r="731" ht="12.75" customHeight="1">
      <c r="A731" s="1"/>
      <c r="B731" s="3"/>
      <c r="C731" s="3"/>
      <c r="D731" s="3"/>
      <c r="E731" s="3"/>
      <c r="F731" s="3"/>
      <c r="G731" s="3"/>
      <c r="H731" s="3"/>
      <c r="I731" s="3"/>
      <c r="J731" s="3"/>
      <c r="K731" s="3"/>
      <c r="L731" s="3"/>
      <c r="M731" s="3"/>
      <c r="N731" s="3"/>
      <c r="O731" s="3"/>
      <c r="P731" s="3"/>
      <c r="Q731" s="3"/>
      <c r="R731" s="3"/>
      <c r="S731" s="3"/>
      <c r="T731" s="3"/>
      <c r="U731" s="3"/>
      <c r="V731" s="3"/>
      <c r="W731" s="3"/>
      <c r="X731" s="1"/>
      <c r="Y731" s="1"/>
      <c r="Z731" s="1"/>
    </row>
    <row r="732" ht="12.75" customHeight="1">
      <c r="A732" s="1"/>
      <c r="B732" s="3"/>
      <c r="C732" s="3"/>
      <c r="D732" s="3"/>
      <c r="E732" s="3"/>
      <c r="F732" s="3"/>
      <c r="G732" s="3"/>
      <c r="H732" s="3"/>
      <c r="I732" s="3"/>
      <c r="J732" s="3"/>
      <c r="K732" s="3"/>
      <c r="L732" s="3"/>
      <c r="M732" s="3"/>
      <c r="N732" s="3"/>
      <c r="O732" s="3"/>
      <c r="P732" s="3"/>
      <c r="Q732" s="3"/>
      <c r="R732" s="3"/>
      <c r="S732" s="3"/>
      <c r="T732" s="3"/>
      <c r="U732" s="3"/>
      <c r="V732" s="3"/>
      <c r="W732" s="3"/>
      <c r="X732" s="1"/>
      <c r="Y732" s="1"/>
      <c r="Z732" s="1"/>
    </row>
    <row r="733" ht="12.75" customHeight="1">
      <c r="A733" s="1"/>
      <c r="B733" s="3"/>
      <c r="C733" s="3"/>
      <c r="D733" s="3"/>
      <c r="E733" s="3"/>
      <c r="F733" s="3"/>
      <c r="G733" s="3"/>
      <c r="H733" s="3"/>
      <c r="I733" s="3"/>
      <c r="J733" s="3"/>
      <c r="K733" s="3"/>
      <c r="L733" s="3"/>
      <c r="M733" s="3"/>
      <c r="N733" s="3"/>
      <c r="O733" s="3"/>
      <c r="P733" s="3"/>
      <c r="Q733" s="3"/>
      <c r="R733" s="3"/>
      <c r="S733" s="3"/>
      <c r="T733" s="3"/>
      <c r="U733" s="3"/>
      <c r="V733" s="3"/>
      <c r="W733" s="3"/>
      <c r="X733" s="1"/>
      <c r="Y733" s="1"/>
      <c r="Z733" s="1"/>
    </row>
    <row r="734" ht="12.75" customHeight="1">
      <c r="A734" s="1"/>
      <c r="B734" s="3"/>
      <c r="C734" s="3"/>
      <c r="D734" s="3"/>
      <c r="E734" s="3"/>
      <c r="F734" s="3"/>
      <c r="G734" s="3"/>
      <c r="H734" s="3"/>
      <c r="I734" s="3"/>
      <c r="J734" s="3"/>
      <c r="K734" s="3"/>
      <c r="L734" s="3"/>
      <c r="M734" s="3"/>
      <c r="N734" s="3"/>
      <c r="O734" s="3"/>
      <c r="P734" s="3"/>
      <c r="Q734" s="3"/>
      <c r="R734" s="3"/>
      <c r="S734" s="3"/>
      <c r="T734" s="3"/>
      <c r="U734" s="3"/>
      <c r="V734" s="3"/>
      <c r="W734" s="3"/>
      <c r="X734" s="1"/>
      <c r="Y734" s="1"/>
      <c r="Z734" s="1"/>
    </row>
    <row r="735" ht="12.75" customHeight="1">
      <c r="A735" s="1"/>
      <c r="B735" s="3"/>
      <c r="C735" s="3"/>
      <c r="D735" s="3"/>
      <c r="E735" s="3"/>
      <c r="F735" s="3"/>
      <c r="G735" s="3"/>
      <c r="H735" s="3"/>
      <c r="I735" s="3"/>
      <c r="J735" s="3"/>
      <c r="K735" s="3"/>
      <c r="L735" s="3"/>
      <c r="M735" s="3"/>
      <c r="N735" s="3"/>
      <c r="O735" s="3"/>
      <c r="P735" s="3"/>
      <c r="Q735" s="3"/>
      <c r="R735" s="3"/>
      <c r="S735" s="3"/>
      <c r="T735" s="3"/>
      <c r="U735" s="3"/>
      <c r="V735" s="3"/>
      <c r="W735" s="3"/>
      <c r="X735" s="1"/>
      <c r="Y735" s="1"/>
      <c r="Z735" s="1"/>
    </row>
    <row r="736" ht="12.75" customHeight="1">
      <c r="A736" s="1"/>
      <c r="B736" s="3"/>
      <c r="C736" s="3"/>
      <c r="D736" s="3"/>
      <c r="E736" s="3"/>
      <c r="F736" s="3"/>
      <c r="G736" s="3"/>
      <c r="H736" s="3"/>
      <c r="I736" s="3"/>
      <c r="J736" s="3"/>
      <c r="K736" s="3"/>
      <c r="L736" s="3"/>
      <c r="M736" s="3"/>
      <c r="N736" s="3"/>
      <c r="O736" s="3"/>
      <c r="P736" s="3"/>
      <c r="Q736" s="3"/>
      <c r="R736" s="3"/>
      <c r="S736" s="3"/>
      <c r="T736" s="3"/>
      <c r="U736" s="3"/>
      <c r="V736" s="3"/>
      <c r="W736" s="3"/>
      <c r="X736" s="1"/>
      <c r="Y736" s="1"/>
      <c r="Z736" s="1"/>
    </row>
    <row r="737" ht="12.75" customHeight="1">
      <c r="A737" s="1"/>
      <c r="B737" s="3"/>
      <c r="C737" s="3"/>
      <c r="D737" s="3"/>
      <c r="E737" s="3"/>
      <c r="F737" s="3"/>
      <c r="G737" s="3"/>
      <c r="H737" s="3"/>
      <c r="I737" s="3"/>
      <c r="J737" s="3"/>
      <c r="K737" s="3"/>
      <c r="L737" s="3"/>
      <c r="M737" s="3"/>
      <c r="N737" s="3"/>
      <c r="O737" s="3"/>
      <c r="P737" s="3"/>
      <c r="Q737" s="3"/>
      <c r="R737" s="3"/>
      <c r="S737" s="3"/>
      <c r="T737" s="3"/>
      <c r="U737" s="3"/>
      <c r="V737" s="3"/>
      <c r="W737" s="3"/>
      <c r="X737" s="1"/>
      <c r="Y737" s="1"/>
      <c r="Z737" s="1"/>
    </row>
    <row r="738" ht="12.75" customHeight="1">
      <c r="A738" s="1"/>
      <c r="B738" s="3"/>
      <c r="C738" s="3"/>
      <c r="D738" s="3"/>
      <c r="E738" s="3"/>
      <c r="F738" s="3"/>
      <c r="G738" s="3"/>
      <c r="H738" s="3"/>
      <c r="I738" s="3"/>
      <c r="J738" s="3"/>
      <c r="K738" s="3"/>
      <c r="L738" s="3"/>
      <c r="M738" s="3"/>
      <c r="N738" s="3"/>
      <c r="O738" s="3"/>
      <c r="P738" s="3"/>
      <c r="Q738" s="3"/>
      <c r="R738" s="3"/>
      <c r="S738" s="3"/>
      <c r="T738" s="3"/>
      <c r="U738" s="3"/>
      <c r="V738" s="3"/>
      <c r="W738" s="3"/>
      <c r="X738" s="1"/>
      <c r="Y738" s="1"/>
      <c r="Z738" s="1"/>
    </row>
    <row r="739" ht="12.75" customHeight="1">
      <c r="A739" s="1"/>
      <c r="B739" s="3"/>
      <c r="C739" s="3"/>
      <c r="D739" s="3"/>
      <c r="E739" s="3"/>
      <c r="F739" s="3"/>
      <c r="G739" s="3"/>
      <c r="H739" s="3"/>
      <c r="I739" s="3"/>
      <c r="J739" s="3"/>
      <c r="K739" s="3"/>
      <c r="L739" s="3"/>
      <c r="M739" s="3"/>
      <c r="N739" s="3"/>
      <c r="O739" s="3"/>
      <c r="P739" s="3"/>
      <c r="Q739" s="3"/>
      <c r="R739" s="3"/>
      <c r="S739" s="3"/>
      <c r="T739" s="3"/>
      <c r="U739" s="3"/>
      <c r="V739" s="3"/>
      <c r="W739" s="3"/>
      <c r="X739" s="1"/>
      <c r="Y739" s="1"/>
      <c r="Z739" s="1"/>
    </row>
    <row r="740" ht="12.75" customHeight="1">
      <c r="A740" s="1"/>
      <c r="B740" s="3"/>
      <c r="C740" s="3"/>
      <c r="D740" s="3"/>
      <c r="E740" s="3"/>
      <c r="F740" s="3"/>
      <c r="G740" s="3"/>
      <c r="H740" s="3"/>
      <c r="I740" s="3"/>
      <c r="J740" s="3"/>
      <c r="K740" s="3"/>
      <c r="L740" s="3"/>
      <c r="M740" s="3"/>
      <c r="N740" s="3"/>
      <c r="O740" s="3"/>
      <c r="P740" s="3"/>
      <c r="Q740" s="3"/>
      <c r="R740" s="3"/>
      <c r="S740" s="3"/>
      <c r="T740" s="3"/>
      <c r="U740" s="3"/>
      <c r="V740" s="3"/>
      <c r="W740" s="3"/>
      <c r="X740" s="1"/>
      <c r="Y740" s="1"/>
      <c r="Z740" s="1"/>
    </row>
    <row r="741" ht="12.75" customHeight="1">
      <c r="A741" s="1"/>
      <c r="B741" s="3"/>
      <c r="C741" s="3"/>
      <c r="D741" s="3"/>
      <c r="E741" s="3"/>
      <c r="F741" s="3"/>
      <c r="G741" s="3"/>
      <c r="H741" s="3"/>
      <c r="I741" s="3"/>
      <c r="J741" s="3"/>
      <c r="K741" s="3"/>
      <c r="L741" s="3"/>
      <c r="M741" s="3"/>
      <c r="N741" s="3"/>
      <c r="O741" s="3"/>
      <c r="P741" s="3"/>
      <c r="Q741" s="3"/>
      <c r="R741" s="3"/>
      <c r="S741" s="3"/>
      <c r="T741" s="3"/>
      <c r="U741" s="3"/>
      <c r="V741" s="3"/>
      <c r="W741" s="3"/>
      <c r="X741" s="1"/>
      <c r="Y741" s="1"/>
      <c r="Z741" s="1"/>
    </row>
    <row r="742" ht="12.75" customHeight="1">
      <c r="A742" s="1"/>
      <c r="B742" s="3"/>
      <c r="C742" s="3"/>
      <c r="D742" s="3"/>
      <c r="E742" s="3"/>
      <c r="F742" s="3"/>
      <c r="G742" s="3"/>
      <c r="H742" s="3"/>
      <c r="I742" s="3"/>
      <c r="J742" s="3"/>
      <c r="K742" s="3"/>
      <c r="L742" s="3"/>
      <c r="M742" s="3"/>
      <c r="N742" s="3"/>
      <c r="O742" s="3"/>
      <c r="P742" s="3"/>
      <c r="Q742" s="3"/>
      <c r="R742" s="3"/>
      <c r="S742" s="3"/>
      <c r="T742" s="3"/>
      <c r="U742" s="3"/>
      <c r="V742" s="3"/>
      <c r="W742" s="3"/>
      <c r="X742" s="1"/>
      <c r="Y742" s="1"/>
      <c r="Z742" s="1"/>
    </row>
    <row r="743" ht="12.75" customHeight="1">
      <c r="A743" s="1"/>
      <c r="B743" s="3"/>
      <c r="C743" s="3"/>
      <c r="D743" s="3"/>
      <c r="E743" s="3"/>
      <c r="F743" s="3"/>
      <c r="G743" s="3"/>
      <c r="H743" s="3"/>
      <c r="I743" s="3"/>
      <c r="J743" s="3"/>
      <c r="K743" s="3"/>
      <c r="L743" s="3"/>
      <c r="M743" s="3"/>
      <c r="N743" s="3"/>
      <c r="O743" s="3"/>
      <c r="P743" s="3"/>
      <c r="Q743" s="3"/>
      <c r="R743" s="3"/>
      <c r="S743" s="3"/>
      <c r="T743" s="3"/>
      <c r="U743" s="3"/>
      <c r="V743" s="3"/>
      <c r="W743" s="3"/>
      <c r="X743" s="1"/>
      <c r="Y743" s="1"/>
      <c r="Z743" s="1"/>
    </row>
    <row r="744" ht="12.75" customHeight="1">
      <c r="A744" s="1"/>
      <c r="B744" s="3"/>
      <c r="C744" s="3"/>
      <c r="D744" s="3"/>
      <c r="E744" s="3"/>
      <c r="F744" s="3"/>
      <c r="G744" s="3"/>
      <c r="H744" s="3"/>
      <c r="I744" s="3"/>
      <c r="J744" s="3"/>
      <c r="K744" s="3"/>
      <c r="L744" s="3"/>
      <c r="M744" s="3"/>
      <c r="N744" s="3"/>
      <c r="O744" s="3"/>
      <c r="P744" s="3"/>
      <c r="Q744" s="3"/>
      <c r="R744" s="3"/>
      <c r="S744" s="3"/>
      <c r="T744" s="3"/>
      <c r="U744" s="3"/>
      <c r="V744" s="3"/>
      <c r="W744" s="3"/>
      <c r="X744" s="1"/>
      <c r="Y744" s="1"/>
      <c r="Z744" s="1"/>
    </row>
    <row r="745" ht="12.75" customHeight="1">
      <c r="A745" s="1"/>
      <c r="B745" s="3"/>
      <c r="C745" s="3"/>
      <c r="D745" s="3"/>
      <c r="E745" s="3"/>
      <c r="F745" s="3"/>
      <c r="G745" s="3"/>
      <c r="H745" s="3"/>
      <c r="I745" s="3"/>
      <c r="J745" s="3"/>
      <c r="K745" s="3"/>
      <c r="L745" s="3"/>
      <c r="M745" s="3"/>
      <c r="N745" s="3"/>
      <c r="O745" s="3"/>
      <c r="P745" s="3"/>
      <c r="Q745" s="3"/>
      <c r="R745" s="3"/>
      <c r="S745" s="3"/>
      <c r="T745" s="3"/>
      <c r="U745" s="3"/>
      <c r="V745" s="3"/>
      <c r="W745" s="3"/>
      <c r="X745" s="1"/>
      <c r="Y745" s="1"/>
      <c r="Z745" s="1"/>
    </row>
    <row r="746" ht="12.75" customHeight="1">
      <c r="A746" s="1"/>
      <c r="B746" s="3"/>
      <c r="C746" s="3"/>
      <c r="D746" s="3"/>
      <c r="E746" s="3"/>
      <c r="F746" s="3"/>
      <c r="G746" s="3"/>
      <c r="H746" s="3"/>
      <c r="I746" s="3"/>
      <c r="J746" s="3"/>
      <c r="K746" s="3"/>
      <c r="L746" s="3"/>
      <c r="M746" s="3"/>
      <c r="N746" s="3"/>
      <c r="O746" s="3"/>
      <c r="P746" s="3"/>
      <c r="Q746" s="3"/>
      <c r="R746" s="3"/>
      <c r="S746" s="3"/>
      <c r="T746" s="3"/>
      <c r="U746" s="3"/>
      <c r="V746" s="3"/>
      <c r="W746" s="3"/>
      <c r="X746" s="1"/>
      <c r="Y746" s="1"/>
      <c r="Z746" s="1"/>
    </row>
    <row r="747" ht="12.75" customHeight="1">
      <c r="A747" s="1"/>
      <c r="B747" s="3"/>
      <c r="C747" s="3"/>
      <c r="D747" s="3"/>
      <c r="E747" s="3"/>
      <c r="F747" s="3"/>
      <c r="G747" s="3"/>
      <c r="H747" s="3"/>
      <c r="I747" s="3"/>
      <c r="J747" s="3"/>
      <c r="K747" s="3"/>
      <c r="L747" s="3"/>
      <c r="M747" s="3"/>
      <c r="N747" s="3"/>
      <c r="O747" s="3"/>
      <c r="P747" s="3"/>
      <c r="Q747" s="3"/>
      <c r="R747" s="3"/>
      <c r="S747" s="3"/>
      <c r="T747" s="3"/>
      <c r="U747" s="3"/>
      <c r="V747" s="3"/>
      <c r="W747" s="3"/>
      <c r="X747" s="1"/>
      <c r="Y747" s="1"/>
      <c r="Z747" s="1"/>
    </row>
    <row r="748" ht="12.75" customHeight="1">
      <c r="A748" s="1"/>
      <c r="B748" s="3"/>
      <c r="C748" s="3"/>
      <c r="D748" s="3"/>
      <c r="E748" s="3"/>
      <c r="F748" s="3"/>
      <c r="G748" s="3"/>
      <c r="H748" s="3"/>
      <c r="I748" s="3"/>
      <c r="J748" s="3"/>
      <c r="K748" s="3"/>
      <c r="L748" s="3"/>
      <c r="M748" s="3"/>
      <c r="N748" s="3"/>
      <c r="O748" s="3"/>
      <c r="P748" s="3"/>
      <c r="Q748" s="3"/>
      <c r="R748" s="3"/>
      <c r="S748" s="3"/>
      <c r="T748" s="3"/>
      <c r="U748" s="3"/>
      <c r="V748" s="3"/>
      <c r="W748" s="3"/>
      <c r="X748" s="1"/>
      <c r="Y748" s="1"/>
      <c r="Z748" s="1"/>
    </row>
    <row r="749" ht="12.75" customHeight="1">
      <c r="A749" s="1"/>
      <c r="B749" s="3"/>
      <c r="C749" s="3"/>
      <c r="D749" s="3"/>
      <c r="E749" s="3"/>
      <c r="F749" s="3"/>
      <c r="G749" s="3"/>
      <c r="H749" s="3"/>
      <c r="I749" s="3"/>
      <c r="J749" s="3"/>
      <c r="K749" s="3"/>
      <c r="L749" s="3"/>
      <c r="M749" s="3"/>
      <c r="N749" s="3"/>
      <c r="O749" s="3"/>
      <c r="P749" s="3"/>
      <c r="Q749" s="3"/>
      <c r="R749" s="3"/>
      <c r="S749" s="3"/>
      <c r="T749" s="3"/>
      <c r="U749" s="3"/>
      <c r="V749" s="3"/>
      <c r="W749" s="3"/>
      <c r="X749" s="1"/>
      <c r="Y749" s="1"/>
      <c r="Z749" s="1"/>
    </row>
    <row r="750" ht="12.75" customHeight="1">
      <c r="A750" s="1"/>
      <c r="B750" s="3"/>
      <c r="C750" s="3"/>
      <c r="D750" s="3"/>
      <c r="E750" s="3"/>
      <c r="F750" s="3"/>
      <c r="G750" s="3"/>
      <c r="H750" s="3"/>
      <c r="I750" s="3"/>
      <c r="J750" s="3"/>
      <c r="K750" s="3"/>
      <c r="L750" s="3"/>
      <c r="M750" s="3"/>
      <c r="N750" s="3"/>
      <c r="O750" s="3"/>
      <c r="P750" s="3"/>
      <c r="Q750" s="3"/>
      <c r="R750" s="3"/>
      <c r="S750" s="3"/>
      <c r="T750" s="3"/>
      <c r="U750" s="3"/>
      <c r="V750" s="3"/>
      <c r="W750" s="3"/>
      <c r="X750" s="1"/>
      <c r="Y750" s="1"/>
      <c r="Z750" s="1"/>
    </row>
    <row r="751" ht="12.75" customHeight="1">
      <c r="A751" s="1"/>
      <c r="B751" s="3"/>
      <c r="C751" s="3"/>
      <c r="D751" s="3"/>
      <c r="E751" s="3"/>
      <c r="F751" s="3"/>
      <c r="G751" s="3"/>
      <c r="H751" s="3"/>
      <c r="I751" s="3"/>
      <c r="J751" s="3"/>
      <c r="K751" s="3"/>
      <c r="L751" s="3"/>
      <c r="M751" s="3"/>
      <c r="N751" s="3"/>
      <c r="O751" s="3"/>
      <c r="P751" s="3"/>
      <c r="Q751" s="3"/>
      <c r="R751" s="3"/>
      <c r="S751" s="3"/>
      <c r="T751" s="3"/>
      <c r="U751" s="3"/>
      <c r="V751" s="3"/>
      <c r="W751" s="3"/>
      <c r="X751" s="1"/>
      <c r="Y751" s="1"/>
      <c r="Z751" s="1"/>
    </row>
    <row r="752" ht="12.75" customHeight="1">
      <c r="A752" s="1"/>
      <c r="B752" s="3"/>
      <c r="C752" s="3"/>
      <c r="D752" s="3"/>
      <c r="E752" s="3"/>
      <c r="F752" s="3"/>
      <c r="G752" s="3"/>
      <c r="H752" s="3"/>
      <c r="I752" s="3"/>
      <c r="J752" s="3"/>
      <c r="K752" s="3"/>
      <c r="L752" s="3"/>
      <c r="M752" s="3"/>
      <c r="N752" s="3"/>
      <c r="O752" s="3"/>
      <c r="P752" s="3"/>
      <c r="Q752" s="3"/>
      <c r="R752" s="3"/>
      <c r="S752" s="3"/>
      <c r="T752" s="3"/>
      <c r="U752" s="3"/>
      <c r="V752" s="3"/>
      <c r="W752" s="3"/>
      <c r="X752" s="1"/>
      <c r="Y752" s="1"/>
      <c r="Z752" s="1"/>
    </row>
    <row r="753" ht="12.75" customHeight="1">
      <c r="A753" s="1"/>
      <c r="B753" s="3"/>
      <c r="C753" s="3"/>
      <c r="D753" s="3"/>
      <c r="E753" s="3"/>
      <c r="F753" s="3"/>
      <c r="G753" s="3"/>
      <c r="H753" s="3"/>
      <c r="I753" s="3"/>
      <c r="J753" s="3"/>
      <c r="K753" s="3"/>
      <c r="L753" s="3"/>
      <c r="M753" s="3"/>
      <c r="N753" s="3"/>
      <c r="O753" s="3"/>
      <c r="P753" s="3"/>
      <c r="Q753" s="3"/>
      <c r="R753" s="3"/>
      <c r="S753" s="3"/>
      <c r="T753" s="3"/>
      <c r="U753" s="3"/>
      <c r="V753" s="3"/>
      <c r="W753" s="3"/>
      <c r="X753" s="1"/>
      <c r="Y753" s="1"/>
      <c r="Z753" s="1"/>
    </row>
    <row r="754" ht="12.75" customHeight="1">
      <c r="A754" s="1"/>
      <c r="B754" s="3"/>
      <c r="C754" s="3"/>
      <c r="D754" s="3"/>
      <c r="E754" s="3"/>
      <c r="F754" s="3"/>
      <c r="G754" s="3"/>
      <c r="H754" s="3"/>
      <c r="I754" s="3"/>
      <c r="J754" s="3"/>
      <c r="K754" s="3"/>
      <c r="L754" s="3"/>
      <c r="M754" s="3"/>
      <c r="N754" s="3"/>
      <c r="O754" s="3"/>
      <c r="P754" s="3"/>
      <c r="Q754" s="3"/>
      <c r="R754" s="3"/>
      <c r="S754" s="3"/>
      <c r="T754" s="3"/>
      <c r="U754" s="3"/>
      <c r="V754" s="3"/>
      <c r="W754" s="3"/>
      <c r="X754" s="1"/>
      <c r="Y754" s="1"/>
      <c r="Z754" s="1"/>
    </row>
    <row r="755" ht="12.75" customHeight="1">
      <c r="A755" s="1"/>
      <c r="B755" s="3"/>
      <c r="C755" s="3"/>
      <c r="D755" s="3"/>
      <c r="E755" s="3"/>
      <c r="F755" s="3"/>
      <c r="G755" s="3"/>
      <c r="H755" s="3"/>
      <c r="I755" s="3"/>
      <c r="J755" s="3"/>
      <c r="K755" s="3"/>
      <c r="L755" s="3"/>
      <c r="M755" s="3"/>
      <c r="N755" s="3"/>
      <c r="O755" s="3"/>
      <c r="P755" s="3"/>
      <c r="Q755" s="3"/>
      <c r="R755" s="3"/>
      <c r="S755" s="3"/>
      <c r="T755" s="3"/>
      <c r="U755" s="3"/>
      <c r="V755" s="3"/>
      <c r="W755" s="3"/>
      <c r="X755" s="1"/>
      <c r="Y755" s="1"/>
      <c r="Z755" s="1"/>
    </row>
    <row r="756" ht="12.75" customHeight="1">
      <c r="A756" s="1"/>
      <c r="B756" s="3"/>
      <c r="C756" s="3"/>
      <c r="D756" s="3"/>
      <c r="E756" s="3"/>
      <c r="F756" s="3"/>
      <c r="G756" s="3"/>
      <c r="H756" s="3"/>
      <c r="I756" s="3"/>
      <c r="J756" s="3"/>
      <c r="K756" s="3"/>
      <c r="L756" s="3"/>
      <c r="M756" s="3"/>
      <c r="N756" s="3"/>
      <c r="O756" s="3"/>
      <c r="P756" s="3"/>
      <c r="Q756" s="3"/>
      <c r="R756" s="3"/>
      <c r="S756" s="3"/>
      <c r="T756" s="3"/>
      <c r="U756" s="3"/>
      <c r="V756" s="3"/>
      <c r="W756" s="3"/>
      <c r="X756" s="1"/>
      <c r="Y756" s="1"/>
      <c r="Z756" s="1"/>
    </row>
    <row r="757" ht="12.75" customHeight="1">
      <c r="A757" s="1"/>
      <c r="B757" s="3"/>
      <c r="C757" s="3"/>
      <c r="D757" s="3"/>
      <c r="E757" s="3"/>
      <c r="F757" s="3"/>
      <c r="G757" s="3"/>
      <c r="H757" s="3"/>
      <c r="I757" s="3"/>
      <c r="J757" s="3"/>
      <c r="K757" s="3"/>
      <c r="L757" s="3"/>
      <c r="M757" s="3"/>
      <c r="N757" s="3"/>
      <c r="O757" s="3"/>
      <c r="P757" s="3"/>
      <c r="Q757" s="3"/>
      <c r="R757" s="3"/>
      <c r="S757" s="3"/>
      <c r="T757" s="3"/>
      <c r="U757" s="3"/>
      <c r="V757" s="3"/>
      <c r="W757" s="3"/>
      <c r="X757" s="1"/>
      <c r="Y757" s="1"/>
      <c r="Z757" s="1"/>
    </row>
    <row r="758" ht="12.75" customHeight="1">
      <c r="A758" s="1"/>
      <c r="B758" s="3"/>
      <c r="C758" s="3"/>
      <c r="D758" s="3"/>
      <c r="E758" s="3"/>
      <c r="F758" s="3"/>
      <c r="G758" s="3"/>
      <c r="H758" s="3"/>
      <c r="I758" s="3"/>
      <c r="J758" s="3"/>
      <c r="K758" s="3"/>
      <c r="L758" s="3"/>
      <c r="M758" s="3"/>
      <c r="N758" s="3"/>
      <c r="O758" s="3"/>
      <c r="P758" s="3"/>
      <c r="Q758" s="3"/>
      <c r="R758" s="3"/>
      <c r="S758" s="3"/>
      <c r="T758" s="3"/>
      <c r="U758" s="3"/>
      <c r="V758" s="3"/>
      <c r="W758" s="3"/>
      <c r="X758" s="1"/>
      <c r="Y758" s="1"/>
      <c r="Z758" s="1"/>
    </row>
    <row r="759" ht="12.75" customHeight="1">
      <c r="A759" s="1"/>
      <c r="B759" s="3"/>
      <c r="C759" s="3"/>
      <c r="D759" s="3"/>
      <c r="E759" s="3"/>
      <c r="F759" s="3"/>
      <c r="G759" s="3"/>
      <c r="H759" s="3"/>
      <c r="I759" s="3"/>
      <c r="J759" s="3"/>
      <c r="K759" s="3"/>
      <c r="L759" s="3"/>
      <c r="M759" s="3"/>
      <c r="N759" s="3"/>
      <c r="O759" s="3"/>
      <c r="P759" s="3"/>
      <c r="Q759" s="3"/>
      <c r="R759" s="3"/>
      <c r="S759" s="3"/>
      <c r="T759" s="3"/>
      <c r="U759" s="3"/>
      <c r="V759" s="3"/>
      <c r="W759" s="3"/>
      <c r="X759" s="1"/>
      <c r="Y759" s="1"/>
      <c r="Z759" s="1"/>
    </row>
    <row r="760" ht="12.75" customHeight="1">
      <c r="A760" s="1"/>
      <c r="B760" s="3"/>
      <c r="C760" s="3"/>
      <c r="D760" s="3"/>
      <c r="E760" s="3"/>
      <c r="F760" s="3"/>
      <c r="G760" s="3"/>
      <c r="H760" s="3"/>
      <c r="I760" s="3"/>
      <c r="J760" s="3"/>
      <c r="K760" s="3"/>
      <c r="L760" s="3"/>
      <c r="M760" s="3"/>
      <c r="N760" s="3"/>
      <c r="O760" s="3"/>
      <c r="P760" s="3"/>
      <c r="Q760" s="3"/>
      <c r="R760" s="3"/>
      <c r="S760" s="3"/>
      <c r="T760" s="3"/>
      <c r="U760" s="3"/>
      <c r="V760" s="3"/>
      <c r="W760" s="3"/>
      <c r="X760" s="1"/>
      <c r="Y760" s="1"/>
      <c r="Z760" s="1"/>
    </row>
    <row r="761" ht="12.75" customHeight="1">
      <c r="A761" s="1"/>
      <c r="B761" s="3"/>
      <c r="C761" s="3"/>
      <c r="D761" s="3"/>
      <c r="E761" s="3"/>
      <c r="F761" s="3"/>
      <c r="G761" s="3"/>
      <c r="H761" s="3"/>
      <c r="I761" s="3"/>
      <c r="J761" s="3"/>
      <c r="K761" s="3"/>
      <c r="L761" s="3"/>
      <c r="M761" s="3"/>
      <c r="N761" s="3"/>
      <c r="O761" s="3"/>
      <c r="P761" s="3"/>
      <c r="Q761" s="3"/>
      <c r="R761" s="3"/>
      <c r="S761" s="3"/>
      <c r="T761" s="3"/>
      <c r="U761" s="3"/>
      <c r="V761" s="3"/>
      <c r="W761" s="3"/>
      <c r="X761" s="1"/>
      <c r="Y761" s="1"/>
      <c r="Z761" s="1"/>
    </row>
    <row r="762" ht="12.75" customHeight="1">
      <c r="A762" s="1"/>
      <c r="B762" s="3"/>
      <c r="C762" s="3"/>
      <c r="D762" s="3"/>
      <c r="E762" s="3"/>
      <c r="F762" s="3"/>
      <c r="G762" s="3"/>
      <c r="H762" s="3"/>
      <c r="I762" s="3"/>
      <c r="J762" s="3"/>
      <c r="K762" s="3"/>
      <c r="L762" s="3"/>
      <c r="M762" s="3"/>
      <c r="N762" s="3"/>
      <c r="O762" s="3"/>
      <c r="P762" s="3"/>
      <c r="Q762" s="3"/>
      <c r="R762" s="3"/>
      <c r="S762" s="3"/>
      <c r="T762" s="3"/>
      <c r="U762" s="3"/>
      <c r="V762" s="3"/>
      <c r="W762" s="3"/>
      <c r="X762" s="1"/>
      <c r="Y762" s="1"/>
      <c r="Z762" s="1"/>
    </row>
    <row r="763" ht="12.75" customHeight="1">
      <c r="A763" s="1"/>
      <c r="B763" s="3"/>
      <c r="C763" s="3"/>
      <c r="D763" s="3"/>
      <c r="E763" s="3"/>
      <c r="F763" s="3"/>
      <c r="G763" s="3"/>
      <c r="H763" s="3"/>
      <c r="I763" s="3"/>
      <c r="J763" s="3"/>
      <c r="K763" s="3"/>
      <c r="L763" s="3"/>
      <c r="M763" s="3"/>
      <c r="N763" s="3"/>
      <c r="O763" s="3"/>
      <c r="P763" s="3"/>
      <c r="Q763" s="3"/>
      <c r="R763" s="3"/>
      <c r="S763" s="3"/>
      <c r="T763" s="3"/>
      <c r="U763" s="3"/>
      <c r="V763" s="3"/>
      <c r="W763" s="3"/>
      <c r="X763" s="1"/>
      <c r="Y763" s="1"/>
      <c r="Z763" s="1"/>
    </row>
    <row r="764" ht="12.75" customHeight="1">
      <c r="A764" s="1"/>
      <c r="B764" s="3"/>
      <c r="C764" s="3"/>
      <c r="D764" s="3"/>
      <c r="E764" s="3"/>
      <c r="F764" s="3"/>
      <c r="G764" s="3"/>
      <c r="H764" s="3"/>
      <c r="I764" s="3"/>
      <c r="J764" s="3"/>
      <c r="K764" s="3"/>
      <c r="L764" s="3"/>
      <c r="M764" s="3"/>
      <c r="N764" s="3"/>
      <c r="O764" s="3"/>
      <c r="P764" s="3"/>
      <c r="Q764" s="3"/>
      <c r="R764" s="3"/>
      <c r="S764" s="3"/>
      <c r="T764" s="3"/>
      <c r="U764" s="3"/>
      <c r="V764" s="3"/>
      <c r="W764" s="3"/>
      <c r="X764" s="1"/>
      <c r="Y764" s="1"/>
      <c r="Z764" s="1"/>
    </row>
    <row r="765" ht="12.75" customHeight="1">
      <c r="A765" s="1"/>
      <c r="B765" s="3"/>
      <c r="C765" s="3"/>
      <c r="D765" s="3"/>
      <c r="E765" s="3"/>
      <c r="F765" s="3"/>
      <c r="G765" s="3"/>
      <c r="H765" s="3"/>
      <c r="I765" s="3"/>
      <c r="J765" s="3"/>
      <c r="K765" s="3"/>
      <c r="L765" s="3"/>
      <c r="M765" s="3"/>
      <c r="N765" s="3"/>
      <c r="O765" s="3"/>
      <c r="P765" s="3"/>
      <c r="Q765" s="3"/>
      <c r="R765" s="3"/>
      <c r="S765" s="3"/>
      <c r="T765" s="3"/>
      <c r="U765" s="3"/>
      <c r="V765" s="3"/>
      <c r="W765" s="3"/>
      <c r="X765" s="1"/>
      <c r="Y765" s="1"/>
      <c r="Z765" s="1"/>
    </row>
    <row r="766" ht="12.75" customHeight="1">
      <c r="A766" s="1"/>
      <c r="B766" s="3"/>
      <c r="C766" s="3"/>
      <c r="D766" s="3"/>
      <c r="E766" s="3"/>
      <c r="F766" s="3"/>
      <c r="G766" s="3"/>
      <c r="H766" s="3"/>
      <c r="I766" s="3"/>
      <c r="J766" s="3"/>
      <c r="K766" s="3"/>
      <c r="L766" s="3"/>
      <c r="M766" s="3"/>
      <c r="N766" s="3"/>
      <c r="O766" s="3"/>
      <c r="P766" s="3"/>
      <c r="Q766" s="3"/>
      <c r="R766" s="3"/>
      <c r="S766" s="3"/>
      <c r="T766" s="3"/>
      <c r="U766" s="3"/>
      <c r="V766" s="3"/>
      <c r="W766" s="3"/>
      <c r="X766" s="1"/>
      <c r="Y766" s="1"/>
      <c r="Z766" s="1"/>
    </row>
    <row r="767" ht="12.75" customHeight="1">
      <c r="A767" s="1"/>
      <c r="B767" s="3"/>
      <c r="C767" s="3"/>
      <c r="D767" s="3"/>
      <c r="E767" s="3"/>
      <c r="F767" s="3"/>
      <c r="G767" s="3"/>
      <c r="H767" s="3"/>
      <c r="I767" s="3"/>
      <c r="J767" s="3"/>
      <c r="K767" s="3"/>
      <c r="L767" s="3"/>
      <c r="M767" s="3"/>
      <c r="N767" s="3"/>
      <c r="O767" s="3"/>
      <c r="P767" s="3"/>
      <c r="Q767" s="3"/>
      <c r="R767" s="3"/>
      <c r="S767" s="3"/>
      <c r="T767" s="3"/>
      <c r="U767" s="3"/>
      <c r="V767" s="3"/>
      <c r="W767" s="3"/>
      <c r="X767" s="1"/>
      <c r="Y767" s="1"/>
      <c r="Z767" s="1"/>
    </row>
    <row r="768" ht="12.75" customHeight="1">
      <c r="A768" s="1"/>
      <c r="B768" s="3"/>
      <c r="C768" s="3"/>
      <c r="D768" s="3"/>
      <c r="E768" s="3"/>
      <c r="F768" s="3"/>
      <c r="G768" s="3"/>
      <c r="H768" s="3"/>
      <c r="I768" s="3"/>
      <c r="J768" s="3"/>
      <c r="K768" s="3"/>
      <c r="L768" s="3"/>
      <c r="M768" s="3"/>
      <c r="N768" s="3"/>
      <c r="O768" s="3"/>
      <c r="P768" s="3"/>
      <c r="Q768" s="3"/>
      <c r="R768" s="3"/>
      <c r="S768" s="3"/>
      <c r="T768" s="3"/>
      <c r="U768" s="3"/>
      <c r="V768" s="3"/>
      <c r="W768" s="3"/>
      <c r="X768" s="1"/>
      <c r="Y768" s="1"/>
      <c r="Z768" s="1"/>
    </row>
    <row r="769" ht="12.75" customHeight="1">
      <c r="A769" s="1"/>
      <c r="B769" s="3"/>
      <c r="C769" s="3"/>
      <c r="D769" s="3"/>
      <c r="E769" s="3"/>
      <c r="F769" s="3"/>
      <c r="G769" s="3"/>
      <c r="H769" s="3"/>
      <c r="I769" s="3"/>
      <c r="J769" s="3"/>
      <c r="K769" s="3"/>
      <c r="L769" s="3"/>
      <c r="M769" s="3"/>
      <c r="N769" s="3"/>
      <c r="O769" s="3"/>
      <c r="P769" s="3"/>
      <c r="Q769" s="3"/>
      <c r="R769" s="3"/>
      <c r="S769" s="3"/>
      <c r="T769" s="3"/>
      <c r="U769" s="3"/>
      <c r="V769" s="3"/>
      <c r="W769" s="3"/>
      <c r="X769" s="1"/>
      <c r="Y769" s="1"/>
      <c r="Z769" s="1"/>
    </row>
    <row r="770" ht="12.75" customHeight="1">
      <c r="A770" s="1"/>
      <c r="B770" s="3"/>
      <c r="C770" s="3"/>
      <c r="D770" s="3"/>
      <c r="E770" s="3"/>
      <c r="F770" s="3"/>
      <c r="G770" s="3"/>
      <c r="H770" s="3"/>
      <c r="I770" s="3"/>
      <c r="J770" s="3"/>
      <c r="K770" s="3"/>
      <c r="L770" s="3"/>
      <c r="M770" s="3"/>
      <c r="N770" s="3"/>
      <c r="O770" s="3"/>
      <c r="P770" s="3"/>
      <c r="Q770" s="3"/>
      <c r="R770" s="3"/>
      <c r="S770" s="3"/>
      <c r="T770" s="3"/>
      <c r="U770" s="3"/>
      <c r="V770" s="3"/>
      <c r="W770" s="3"/>
      <c r="X770" s="1"/>
      <c r="Y770" s="1"/>
      <c r="Z770" s="1"/>
    </row>
    <row r="771" ht="12.75" customHeight="1">
      <c r="A771" s="1"/>
      <c r="B771" s="3"/>
      <c r="C771" s="3"/>
      <c r="D771" s="3"/>
      <c r="E771" s="3"/>
      <c r="F771" s="3"/>
      <c r="G771" s="3"/>
      <c r="H771" s="3"/>
      <c r="I771" s="3"/>
      <c r="J771" s="3"/>
      <c r="K771" s="3"/>
      <c r="L771" s="3"/>
      <c r="M771" s="3"/>
      <c r="N771" s="3"/>
      <c r="O771" s="3"/>
      <c r="P771" s="3"/>
      <c r="Q771" s="3"/>
      <c r="R771" s="3"/>
      <c r="S771" s="3"/>
      <c r="T771" s="3"/>
      <c r="U771" s="3"/>
      <c r="V771" s="3"/>
      <c r="W771" s="3"/>
      <c r="X771" s="1"/>
      <c r="Y771" s="1"/>
      <c r="Z771" s="1"/>
    </row>
    <row r="772" ht="12.75" customHeight="1">
      <c r="A772" s="1"/>
      <c r="B772" s="3"/>
      <c r="C772" s="3"/>
      <c r="D772" s="3"/>
      <c r="E772" s="3"/>
      <c r="F772" s="3"/>
      <c r="G772" s="3"/>
      <c r="H772" s="3"/>
      <c r="I772" s="3"/>
      <c r="J772" s="3"/>
      <c r="K772" s="3"/>
      <c r="L772" s="3"/>
      <c r="M772" s="3"/>
      <c r="N772" s="3"/>
      <c r="O772" s="3"/>
      <c r="P772" s="3"/>
      <c r="Q772" s="3"/>
      <c r="R772" s="3"/>
      <c r="S772" s="3"/>
      <c r="T772" s="3"/>
      <c r="U772" s="3"/>
      <c r="V772" s="3"/>
      <c r="W772" s="3"/>
      <c r="X772" s="1"/>
      <c r="Y772" s="1"/>
      <c r="Z772" s="1"/>
    </row>
    <row r="773" ht="12.75" customHeight="1">
      <c r="A773" s="1"/>
      <c r="B773" s="3"/>
      <c r="C773" s="3"/>
      <c r="D773" s="3"/>
      <c r="E773" s="3"/>
      <c r="F773" s="3"/>
      <c r="G773" s="3"/>
      <c r="H773" s="3"/>
      <c r="I773" s="3"/>
      <c r="J773" s="3"/>
      <c r="K773" s="3"/>
      <c r="L773" s="3"/>
      <c r="M773" s="3"/>
      <c r="N773" s="3"/>
      <c r="O773" s="3"/>
      <c r="P773" s="3"/>
      <c r="Q773" s="3"/>
      <c r="R773" s="3"/>
      <c r="S773" s="3"/>
      <c r="T773" s="3"/>
      <c r="U773" s="3"/>
      <c r="V773" s="3"/>
      <c r="W773" s="3"/>
      <c r="X773" s="1"/>
      <c r="Y773" s="1"/>
      <c r="Z773" s="1"/>
    </row>
    <row r="774" ht="12.75" customHeight="1">
      <c r="A774" s="1"/>
      <c r="B774" s="3"/>
      <c r="C774" s="3"/>
      <c r="D774" s="3"/>
      <c r="E774" s="3"/>
      <c r="F774" s="3"/>
      <c r="G774" s="3"/>
      <c r="H774" s="3"/>
      <c r="I774" s="3"/>
      <c r="J774" s="3"/>
      <c r="K774" s="3"/>
      <c r="L774" s="3"/>
      <c r="M774" s="3"/>
      <c r="N774" s="3"/>
      <c r="O774" s="3"/>
      <c r="P774" s="3"/>
      <c r="Q774" s="3"/>
      <c r="R774" s="3"/>
      <c r="S774" s="3"/>
      <c r="T774" s="3"/>
      <c r="U774" s="3"/>
      <c r="V774" s="3"/>
      <c r="W774" s="3"/>
      <c r="X774" s="1"/>
      <c r="Y774" s="1"/>
      <c r="Z774" s="1"/>
    </row>
    <row r="775" ht="12.75" customHeight="1">
      <c r="A775" s="1"/>
      <c r="B775" s="3"/>
      <c r="C775" s="3"/>
      <c r="D775" s="3"/>
      <c r="E775" s="3"/>
      <c r="F775" s="3"/>
      <c r="G775" s="3"/>
      <c r="H775" s="3"/>
      <c r="I775" s="3"/>
      <c r="J775" s="3"/>
      <c r="K775" s="3"/>
      <c r="L775" s="3"/>
      <c r="M775" s="3"/>
      <c r="N775" s="3"/>
      <c r="O775" s="3"/>
      <c r="P775" s="3"/>
      <c r="Q775" s="3"/>
      <c r="R775" s="3"/>
      <c r="S775" s="3"/>
      <c r="T775" s="3"/>
      <c r="U775" s="3"/>
      <c r="V775" s="3"/>
      <c r="W775" s="3"/>
      <c r="X775" s="1"/>
      <c r="Y775" s="1"/>
      <c r="Z775" s="1"/>
    </row>
    <row r="776" ht="12.75" customHeight="1">
      <c r="A776" s="1"/>
      <c r="B776" s="3"/>
      <c r="C776" s="3"/>
      <c r="D776" s="3"/>
      <c r="E776" s="3"/>
      <c r="F776" s="3"/>
      <c r="G776" s="3"/>
      <c r="H776" s="3"/>
      <c r="I776" s="3"/>
      <c r="J776" s="3"/>
      <c r="K776" s="3"/>
      <c r="L776" s="3"/>
      <c r="M776" s="3"/>
      <c r="N776" s="3"/>
      <c r="O776" s="3"/>
      <c r="P776" s="3"/>
      <c r="Q776" s="3"/>
      <c r="R776" s="3"/>
      <c r="S776" s="3"/>
      <c r="T776" s="3"/>
      <c r="U776" s="3"/>
      <c r="V776" s="3"/>
      <c r="W776" s="3"/>
      <c r="X776" s="1"/>
      <c r="Y776" s="1"/>
      <c r="Z776" s="1"/>
    </row>
    <row r="777" ht="12.75" customHeight="1">
      <c r="A777" s="1"/>
      <c r="B777" s="3"/>
      <c r="C777" s="3"/>
      <c r="D777" s="3"/>
      <c r="E777" s="3"/>
      <c r="F777" s="3"/>
      <c r="G777" s="3"/>
      <c r="H777" s="3"/>
      <c r="I777" s="3"/>
      <c r="J777" s="3"/>
      <c r="K777" s="3"/>
      <c r="L777" s="3"/>
      <c r="M777" s="3"/>
      <c r="N777" s="3"/>
      <c r="O777" s="3"/>
      <c r="P777" s="3"/>
      <c r="Q777" s="3"/>
      <c r="R777" s="3"/>
      <c r="S777" s="3"/>
      <c r="T777" s="3"/>
      <c r="U777" s="3"/>
      <c r="V777" s="3"/>
      <c r="W777" s="3"/>
      <c r="X777" s="1"/>
      <c r="Y777" s="1"/>
      <c r="Z777" s="1"/>
    </row>
    <row r="778" ht="12.75" customHeight="1">
      <c r="A778" s="1"/>
      <c r="B778" s="3"/>
      <c r="C778" s="3"/>
      <c r="D778" s="3"/>
      <c r="E778" s="3"/>
      <c r="F778" s="3"/>
      <c r="G778" s="3"/>
      <c r="H778" s="3"/>
      <c r="I778" s="3"/>
      <c r="J778" s="3"/>
      <c r="K778" s="3"/>
      <c r="L778" s="3"/>
      <c r="M778" s="3"/>
      <c r="N778" s="3"/>
      <c r="O778" s="3"/>
      <c r="P778" s="3"/>
      <c r="Q778" s="3"/>
      <c r="R778" s="3"/>
      <c r="S778" s="3"/>
      <c r="T778" s="3"/>
      <c r="U778" s="3"/>
      <c r="V778" s="3"/>
      <c r="W778" s="3"/>
      <c r="X778" s="1"/>
      <c r="Y778" s="1"/>
      <c r="Z778" s="1"/>
    </row>
    <row r="779" ht="12.75" customHeight="1">
      <c r="A779" s="1"/>
      <c r="B779" s="3"/>
      <c r="C779" s="3"/>
      <c r="D779" s="3"/>
      <c r="E779" s="3"/>
      <c r="F779" s="3"/>
      <c r="G779" s="3"/>
      <c r="H779" s="3"/>
      <c r="I779" s="3"/>
      <c r="J779" s="3"/>
      <c r="K779" s="3"/>
      <c r="L779" s="3"/>
      <c r="M779" s="3"/>
      <c r="N779" s="3"/>
      <c r="O779" s="3"/>
      <c r="P779" s="3"/>
      <c r="Q779" s="3"/>
      <c r="R779" s="3"/>
      <c r="S779" s="3"/>
      <c r="T779" s="3"/>
      <c r="U779" s="3"/>
      <c r="V779" s="3"/>
      <c r="W779" s="3"/>
      <c r="X779" s="1"/>
      <c r="Y779" s="1"/>
      <c r="Z779" s="1"/>
    </row>
    <row r="780" ht="12.75" customHeight="1">
      <c r="A780" s="1"/>
      <c r="B780" s="3"/>
      <c r="C780" s="3"/>
      <c r="D780" s="3"/>
      <c r="E780" s="3"/>
      <c r="F780" s="3"/>
      <c r="G780" s="3"/>
      <c r="H780" s="3"/>
      <c r="I780" s="3"/>
      <c r="J780" s="3"/>
      <c r="K780" s="3"/>
      <c r="L780" s="3"/>
      <c r="M780" s="3"/>
      <c r="N780" s="3"/>
      <c r="O780" s="3"/>
      <c r="P780" s="3"/>
      <c r="Q780" s="3"/>
      <c r="R780" s="3"/>
      <c r="S780" s="3"/>
      <c r="T780" s="3"/>
      <c r="U780" s="3"/>
      <c r="V780" s="3"/>
      <c r="W780" s="3"/>
      <c r="X780" s="1"/>
      <c r="Y780" s="1"/>
      <c r="Z780" s="1"/>
    </row>
    <row r="781" ht="12.75" customHeight="1">
      <c r="A781" s="1"/>
      <c r="B781" s="3"/>
      <c r="C781" s="3"/>
      <c r="D781" s="3"/>
      <c r="E781" s="3"/>
      <c r="F781" s="3"/>
      <c r="G781" s="3"/>
      <c r="H781" s="3"/>
      <c r="I781" s="3"/>
      <c r="J781" s="3"/>
      <c r="K781" s="3"/>
      <c r="L781" s="3"/>
      <c r="M781" s="3"/>
      <c r="N781" s="3"/>
      <c r="O781" s="3"/>
      <c r="P781" s="3"/>
      <c r="Q781" s="3"/>
      <c r="R781" s="3"/>
      <c r="S781" s="3"/>
      <c r="T781" s="3"/>
      <c r="U781" s="3"/>
      <c r="V781" s="3"/>
      <c r="W781" s="3"/>
      <c r="X781" s="1"/>
      <c r="Y781" s="1"/>
      <c r="Z781" s="1"/>
    </row>
    <row r="782" ht="12.75" customHeight="1">
      <c r="A782" s="1"/>
      <c r="B782" s="3"/>
      <c r="C782" s="3"/>
      <c r="D782" s="3"/>
      <c r="E782" s="3"/>
      <c r="F782" s="3"/>
      <c r="G782" s="3"/>
      <c r="H782" s="3"/>
      <c r="I782" s="3"/>
      <c r="J782" s="3"/>
      <c r="K782" s="3"/>
      <c r="L782" s="3"/>
      <c r="M782" s="3"/>
      <c r="N782" s="3"/>
      <c r="O782" s="3"/>
      <c r="P782" s="3"/>
      <c r="Q782" s="3"/>
      <c r="R782" s="3"/>
      <c r="S782" s="3"/>
      <c r="T782" s="3"/>
      <c r="U782" s="3"/>
      <c r="V782" s="3"/>
      <c r="W782" s="3"/>
      <c r="X782" s="1"/>
      <c r="Y782" s="1"/>
      <c r="Z782" s="1"/>
    </row>
    <row r="783" ht="12.75" customHeight="1">
      <c r="A783" s="1"/>
      <c r="B783" s="3"/>
      <c r="C783" s="3"/>
      <c r="D783" s="3"/>
      <c r="E783" s="3"/>
      <c r="F783" s="3"/>
      <c r="G783" s="3"/>
      <c r="H783" s="3"/>
      <c r="I783" s="3"/>
      <c r="J783" s="3"/>
      <c r="K783" s="3"/>
      <c r="L783" s="3"/>
      <c r="M783" s="3"/>
      <c r="N783" s="3"/>
      <c r="O783" s="3"/>
      <c r="P783" s="3"/>
      <c r="Q783" s="3"/>
      <c r="R783" s="3"/>
      <c r="S783" s="3"/>
      <c r="T783" s="3"/>
      <c r="U783" s="3"/>
      <c r="V783" s="3"/>
      <c r="W783" s="3"/>
      <c r="X783" s="1"/>
      <c r="Y783" s="1"/>
      <c r="Z783" s="1"/>
    </row>
    <row r="784" ht="12.75" customHeight="1">
      <c r="A784" s="1"/>
      <c r="B784" s="3"/>
      <c r="C784" s="3"/>
      <c r="D784" s="3"/>
      <c r="E784" s="3"/>
      <c r="F784" s="3"/>
      <c r="G784" s="3"/>
      <c r="H784" s="3"/>
      <c r="I784" s="3"/>
      <c r="J784" s="3"/>
      <c r="K784" s="3"/>
      <c r="L784" s="3"/>
      <c r="M784" s="3"/>
      <c r="N784" s="3"/>
      <c r="O784" s="3"/>
      <c r="P784" s="3"/>
      <c r="Q784" s="3"/>
      <c r="R784" s="3"/>
      <c r="S784" s="3"/>
      <c r="T784" s="3"/>
      <c r="U784" s="3"/>
      <c r="V784" s="3"/>
      <c r="W784" s="3"/>
      <c r="X784" s="1"/>
      <c r="Y784" s="1"/>
      <c r="Z784" s="1"/>
    </row>
    <row r="785" ht="12.75" customHeight="1">
      <c r="A785" s="1"/>
      <c r="B785" s="3"/>
      <c r="C785" s="3"/>
      <c r="D785" s="3"/>
      <c r="E785" s="3"/>
      <c r="F785" s="3"/>
      <c r="G785" s="3"/>
      <c r="H785" s="3"/>
      <c r="I785" s="3"/>
      <c r="J785" s="3"/>
      <c r="K785" s="3"/>
      <c r="L785" s="3"/>
      <c r="M785" s="3"/>
      <c r="N785" s="3"/>
      <c r="O785" s="3"/>
      <c r="P785" s="3"/>
      <c r="Q785" s="3"/>
      <c r="R785" s="3"/>
      <c r="S785" s="3"/>
      <c r="T785" s="3"/>
      <c r="U785" s="3"/>
      <c r="V785" s="3"/>
      <c r="W785" s="3"/>
      <c r="X785" s="1"/>
      <c r="Y785" s="1"/>
      <c r="Z785" s="1"/>
    </row>
    <row r="786" ht="12.75" customHeight="1">
      <c r="A786" s="1"/>
      <c r="B786" s="3"/>
      <c r="C786" s="3"/>
      <c r="D786" s="3"/>
      <c r="E786" s="3"/>
      <c r="F786" s="3"/>
      <c r="G786" s="3"/>
      <c r="H786" s="3"/>
      <c r="I786" s="3"/>
      <c r="J786" s="3"/>
      <c r="K786" s="3"/>
      <c r="L786" s="3"/>
      <c r="M786" s="3"/>
      <c r="N786" s="3"/>
      <c r="O786" s="3"/>
      <c r="P786" s="3"/>
      <c r="Q786" s="3"/>
      <c r="R786" s="3"/>
      <c r="S786" s="3"/>
      <c r="T786" s="3"/>
      <c r="U786" s="3"/>
      <c r="V786" s="3"/>
      <c r="W786" s="3"/>
      <c r="X786" s="1"/>
      <c r="Y786" s="1"/>
      <c r="Z786" s="1"/>
    </row>
    <row r="787" ht="12.75" customHeight="1">
      <c r="A787" s="1"/>
      <c r="B787" s="3"/>
      <c r="C787" s="3"/>
      <c r="D787" s="3"/>
      <c r="E787" s="3"/>
      <c r="F787" s="3"/>
      <c r="G787" s="3"/>
      <c r="H787" s="3"/>
      <c r="I787" s="3"/>
      <c r="J787" s="3"/>
      <c r="K787" s="3"/>
      <c r="L787" s="3"/>
      <c r="M787" s="3"/>
      <c r="N787" s="3"/>
      <c r="O787" s="3"/>
      <c r="P787" s="3"/>
      <c r="Q787" s="3"/>
      <c r="R787" s="3"/>
      <c r="S787" s="3"/>
      <c r="T787" s="3"/>
      <c r="U787" s="3"/>
      <c r="V787" s="3"/>
      <c r="W787" s="3"/>
      <c r="X787" s="1"/>
      <c r="Y787" s="1"/>
      <c r="Z787" s="1"/>
    </row>
    <row r="788" ht="12.75" customHeight="1">
      <c r="A788" s="1"/>
      <c r="B788" s="3"/>
      <c r="C788" s="3"/>
      <c r="D788" s="3"/>
      <c r="E788" s="3"/>
      <c r="F788" s="3"/>
      <c r="G788" s="3"/>
      <c r="H788" s="3"/>
      <c r="I788" s="3"/>
      <c r="J788" s="3"/>
      <c r="K788" s="3"/>
      <c r="L788" s="3"/>
      <c r="M788" s="3"/>
      <c r="N788" s="3"/>
      <c r="O788" s="3"/>
      <c r="P788" s="3"/>
      <c r="Q788" s="3"/>
      <c r="R788" s="3"/>
      <c r="S788" s="3"/>
      <c r="T788" s="3"/>
      <c r="U788" s="3"/>
      <c r="V788" s="3"/>
      <c r="W788" s="3"/>
      <c r="X788" s="1"/>
      <c r="Y788" s="1"/>
      <c r="Z788" s="1"/>
    </row>
    <row r="789" ht="12.75" customHeight="1">
      <c r="A789" s="1"/>
      <c r="B789" s="3"/>
      <c r="C789" s="3"/>
      <c r="D789" s="3"/>
      <c r="E789" s="3"/>
      <c r="F789" s="3"/>
      <c r="G789" s="3"/>
      <c r="H789" s="3"/>
      <c r="I789" s="3"/>
      <c r="J789" s="3"/>
      <c r="K789" s="3"/>
      <c r="L789" s="3"/>
      <c r="M789" s="3"/>
      <c r="N789" s="3"/>
      <c r="O789" s="3"/>
      <c r="P789" s="3"/>
      <c r="Q789" s="3"/>
      <c r="R789" s="3"/>
      <c r="S789" s="3"/>
      <c r="T789" s="3"/>
      <c r="U789" s="3"/>
      <c r="V789" s="3"/>
      <c r="W789" s="3"/>
      <c r="X789" s="1"/>
      <c r="Y789" s="1"/>
      <c r="Z789" s="1"/>
    </row>
    <row r="790" ht="12.75" customHeight="1">
      <c r="A790" s="1"/>
      <c r="B790" s="3"/>
      <c r="C790" s="3"/>
      <c r="D790" s="3"/>
      <c r="E790" s="3"/>
      <c r="F790" s="3"/>
      <c r="G790" s="3"/>
      <c r="H790" s="3"/>
      <c r="I790" s="3"/>
      <c r="J790" s="3"/>
      <c r="K790" s="3"/>
      <c r="L790" s="3"/>
      <c r="M790" s="3"/>
      <c r="N790" s="3"/>
      <c r="O790" s="3"/>
      <c r="P790" s="3"/>
      <c r="Q790" s="3"/>
      <c r="R790" s="3"/>
      <c r="S790" s="3"/>
      <c r="T790" s="3"/>
      <c r="U790" s="3"/>
      <c r="V790" s="3"/>
      <c r="W790" s="3"/>
      <c r="X790" s="1"/>
      <c r="Y790" s="1"/>
      <c r="Z790" s="1"/>
    </row>
    <row r="791" ht="12.75" customHeight="1">
      <c r="A791" s="1"/>
      <c r="B791" s="3"/>
      <c r="C791" s="3"/>
      <c r="D791" s="3"/>
      <c r="E791" s="3"/>
      <c r="F791" s="3"/>
      <c r="G791" s="3"/>
      <c r="H791" s="3"/>
      <c r="I791" s="3"/>
      <c r="J791" s="3"/>
      <c r="K791" s="3"/>
      <c r="L791" s="3"/>
      <c r="M791" s="3"/>
      <c r="N791" s="3"/>
      <c r="O791" s="3"/>
      <c r="P791" s="3"/>
      <c r="Q791" s="3"/>
      <c r="R791" s="3"/>
      <c r="S791" s="3"/>
      <c r="T791" s="3"/>
      <c r="U791" s="3"/>
      <c r="V791" s="3"/>
      <c r="W791" s="3"/>
      <c r="X791" s="1"/>
      <c r="Y791" s="1"/>
      <c r="Z791" s="1"/>
    </row>
    <row r="792" ht="12.75" customHeight="1">
      <c r="A792" s="1"/>
      <c r="B792" s="3"/>
      <c r="C792" s="3"/>
      <c r="D792" s="3"/>
      <c r="E792" s="3"/>
      <c r="F792" s="3"/>
      <c r="G792" s="3"/>
      <c r="H792" s="3"/>
      <c r="I792" s="3"/>
      <c r="J792" s="3"/>
      <c r="K792" s="3"/>
      <c r="L792" s="3"/>
      <c r="M792" s="3"/>
      <c r="N792" s="3"/>
      <c r="O792" s="3"/>
      <c r="P792" s="3"/>
      <c r="Q792" s="3"/>
      <c r="R792" s="3"/>
      <c r="S792" s="3"/>
      <c r="T792" s="3"/>
      <c r="U792" s="3"/>
      <c r="V792" s="3"/>
      <c r="W792" s="3"/>
      <c r="X792" s="1"/>
      <c r="Y792" s="1"/>
      <c r="Z792" s="1"/>
    </row>
    <row r="793" ht="12.75" customHeight="1">
      <c r="A793" s="1"/>
      <c r="B793" s="3"/>
      <c r="C793" s="3"/>
      <c r="D793" s="3"/>
      <c r="E793" s="3"/>
      <c r="F793" s="3"/>
      <c r="G793" s="3"/>
      <c r="H793" s="3"/>
      <c r="I793" s="3"/>
      <c r="J793" s="3"/>
      <c r="K793" s="3"/>
      <c r="L793" s="3"/>
      <c r="M793" s="3"/>
      <c r="N793" s="3"/>
      <c r="O793" s="3"/>
      <c r="P793" s="3"/>
      <c r="Q793" s="3"/>
      <c r="R793" s="3"/>
      <c r="S793" s="3"/>
      <c r="T793" s="3"/>
      <c r="U793" s="3"/>
      <c r="V793" s="3"/>
      <c r="W793" s="3"/>
      <c r="X793" s="1"/>
      <c r="Y793" s="1"/>
      <c r="Z793" s="1"/>
    </row>
    <row r="794" ht="12.75" customHeight="1">
      <c r="A794" s="1"/>
      <c r="B794" s="3"/>
      <c r="C794" s="3"/>
      <c r="D794" s="3"/>
      <c r="E794" s="3"/>
      <c r="F794" s="3"/>
      <c r="G794" s="3"/>
      <c r="H794" s="3"/>
      <c r="I794" s="3"/>
      <c r="J794" s="3"/>
      <c r="K794" s="3"/>
      <c r="L794" s="3"/>
      <c r="M794" s="3"/>
      <c r="N794" s="3"/>
      <c r="O794" s="3"/>
      <c r="P794" s="3"/>
      <c r="Q794" s="3"/>
      <c r="R794" s="3"/>
      <c r="S794" s="3"/>
      <c r="T794" s="3"/>
      <c r="U794" s="3"/>
      <c r="V794" s="3"/>
      <c r="W794" s="3"/>
      <c r="X794" s="1"/>
      <c r="Y794" s="1"/>
      <c r="Z794" s="1"/>
    </row>
    <row r="795" ht="12.75" customHeight="1">
      <c r="A795" s="1"/>
      <c r="B795" s="3"/>
      <c r="C795" s="3"/>
      <c r="D795" s="3"/>
      <c r="E795" s="3"/>
      <c r="F795" s="3"/>
      <c r="G795" s="3"/>
      <c r="H795" s="3"/>
      <c r="I795" s="3"/>
      <c r="J795" s="3"/>
      <c r="K795" s="3"/>
      <c r="L795" s="3"/>
      <c r="M795" s="3"/>
      <c r="N795" s="3"/>
      <c r="O795" s="3"/>
      <c r="P795" s="3"/>
      <c r="Q795" s="3"/>
      <c r="R795" s="3"/>
      <c r="S795" s="3"/>
      <c r="T795" s="3"/>
      <c r="U795" s="3"/>
      <c r="V795" s="3"/>
      <c r="W795" s="3"/>
      <c r="X795" s="1"/>
      <c r="Y795" s="1"/>
      <c r="Z795" s="1"/>
    </row>
    <row r="796" ht="12.75" customHeight="1">
      <c r="A796" s="1"/>
      <c r="B796" s="3"/>
      <c r="C796" s="3"/>
      <c r="D796" s="3"/>
      <c r="E796" s="3"/>
      <c r="F796" s="3"/>
      <c r="G796" s="3"/>
      <c r="H796" s="3"/>
      <c r="I796" s="3"/>
      <c r="J796" s="3"/>
      <c r="K796" s="3"/>
      <c r="L796" s="3"/>
      <c r="M796" s="3"/>
      <c r="N796" s="3"/>
      <c r="O796" s="3"/>
      <c r="P796" s="3"/>
      <c r="Q796" s="3"/>
      <c r="R796" s="3"/>
      <c r="S796" s="3"/>
      <c r="T796" s="3"/>
      <c r="U796" s="3"/>
      <c r="V796" s="3"/>
      <c r="W796" s="3"/>
      <c r="X796" s="1"/>
      <c r="Y796" s="1"/>
      <c r="Z796" s="1"/>
    </row>
    <row r="797" ht="12.75" customHeight="1">
      <c r="A797" s="1"/>
      <c r="B797" s="3"/>
      <c r="C797" s="3"/>
      <c r="D797" s="3"/>
      <c r="E797" s="3"/>
      <c r="F797" s="3"/>
      <c r="G797" s="3"/>
      <c r="H797" s="3"/>
      <c r="I797" s="3"/>
      <c r="J797" s="3"/>
      <c r="K797" s="3"/>
      <c r="L797" s="3"/>
      <c r="M797" s="3"/>
      <c r="N797" s="3"/>
      <c r="O797" s="3"/>
      <c r="P797" s="3"/>
      <c r="Q797" s="3"/>
      <c r="R797" s="3"/>
      <c r="S797" s="3"/>
      <c r="T797" s="3"/>
      <c r="U797" s="3"/>
      <c r="V797" s="3"/>
      <c r="W797" s="3"/>
      <c r="X797" s="1"/>
      <c r="Y797" s="1"/>
      <c r="Z797" s="1"/>
    </row>
    <row r="798" ht="12.75" customHeight="1">
      <c r="A798" s="1"/>
      <c r="B798" s="3"/>
      <c r="C798" s="3"/>
      <c r="D798" s="3"/>
      <c r="E798" s="3"/>
      <c r="F798" s="3"/>
      <c r="G798" s="3"/>
      <c r="H798" s="3"/>
      <c r="I798" s="3"/>
      <c r="J798" s="3"/>
      <c r="K798" s="3"/>
      <c r="L798" s="3"/>
      <c r="M798" s="3"/>
      <c r="N798" s="3"/>
      <c r="O798" s="3"/>
      <c r="P798" s="3"/>
      <c r="Q798" s="3"/>
      <c r="R798" s="3"/>
      <c r="S798" s="3"/>
      <c r="T798" s="3"/>
      <c r="U798" s="3"/>
      <c r="V798" s="3"/>
      <c r="W798" s="3"/>
      <c r="X798" s="1"/>
      <c r="Y798" s="1"/>
      <c r="Z798" s="1"/>
    </row>
    <row r="799" ht="12.75" customHeight="1">
      <c r="A799" s="1"/>
      <c r="B799" s="3"/>
      <c r="C799" s="3"/>
      <c r="D799" s="3"/>
      <c r="E799" s="3"/>
      <c r="F799" s="3"/>
      <c r="G799" s="3"/>
      <c r="H799" s="3"/>
      <c r="I799" s="3"/>
      <c r="J799" s="3"/>
      <c r="K799" s="3"/>
      <c r="L799" s="3"/>
      <c r="M799" s="3"/>
      <c r="N799" s="3"/>
      <c r="O799" s="3"/>
      <c r="P799" s="3"/>
      <c r="Q799" s="3"/>
      <c r="R799" s="3"/>
      <c r="S799" s="3"/>
      <c r="T799" s="3"/>
      <c r="U799" s="3"/>
      <c r="V799" s="3"/>
      <c r="W799" s="3"/>
      <c r="X799" s="1"/>
      <c r="Y799" s="1"/>
      <c r="Z799" s="1"/>
    </row>
    <row r="800" ht="12.75" customHeight="1">
      <c r="A800" s="1"/>
      <c r="B800" s="3"/>
      <c r="C800" s="3"/>
      <c r="D800" s="3"/>
      <c r="E800" s="3"/>
      <c r="F800" s="3"/>
      <c r="G800" s="3"/>
      <c r="H800" s="3"/>
      <c r="I800" s="3"/>
      <c r="J800" s="3"/>
      <c r="K800" s="3"/>
      <c r="L800" s="3"/>
      <c r="M800" s="3"/>
      <c r="N800" s="3"/>
      <c r="O800" s="3"/>
      <c r="P800" s="3"/>
      <c r="Q800" s="3"/>
      <c r="R800" s="3"/>
      <c r="S800" s="3"/>
      <c r="T800" s="3"/>
      <c r="U800" s="3"/>
      <c r="V800" s="3"/>
      <c r="W800" s="3"/>
      <c r="X800" s="1"/>
      <c r="Y800" s="1"/>
      <c r="Z800" s="1"/>
    </row>
    <row r="801" ht="12.75" customHeight="1">
      <c r="A801" s="1"/>
      <c r="B801" s="3"/>
      <c r="C801" s="3"/>
      <c r="D801" s="3"/>
      <c r="E801" s="3"/>
      <c r="F801" s="3"/>
      <c r="G801" s="3"/>
      <c r="H801" s="3"/>
      <c r="I801" s="3"/>
      <c r="J801" s="3"/>
      <c r="K801" s="3"/>
      <c r="L801" s="3"/>
      <c r="M801" s="3"/>
      <c r="N801" s="3"/>
      <c r="O801" s="3"/>
      <c r="P801" s="3"/>
      <c r="Q801" s="3"/>
      <c r="R801" s="3"/>
      <c r="S801" s="3"/>
      <c r="T801" s="3"/>
      <c r="U801" s="3"/>
      <c r="V801" s="3"/>
      <c r="W801" s="3"/>
      <c r="X801" s="1"/>
      <c r="Y801" s="1"/>
      <c r="Z801" s="1"/>
    </row>
    <row r="802" ht="12.75" customHeight="1">
      <c r="A802" s="1"/>
      <c r="B802" s="3"/>
      <c r="C802" s="3"/>
      <c r="D802" s="3"/>
      <c r="E802" s="3"/>
      <c r="F802" s="3"/>
      <c r="G802" s="3"/>
      <c r="H802" s="3"/>
      <c r="I802" s="3"/>
      <c r="J802" s="3"/>
      <c r="K802" s="3"/>
      <c r="L802" s="3"/>
      <c r="M802" s="3"/>
      <c r="N802" s="3"/>
      <c r="O802" s="3"/>
      <c r="P802" s="3"/>
      <c r="Q802" s="3"/>
      <c r="R802" s="3"/>
      <c r="S802" s="3"/>
      <c r="T802" s="3"/>
      <c r="U802" s="3"/>
      <c r="V802" s="3"/>
      <c r="W802" s="3"/>
      <c r="X802" s="1"/>
      <c r="Y802" s="1"/>
      <c r="Z802" s="1"/>
    </row>
    <row r="803" ht="12.75" customHeight="1">
      <c r="A803" s="1"/>
      <c r="B803" s="3"/>
      <c r="C803" s="3"/>
      <c r="D803" s="3"/>
      <c r="E803" s="3"/>
      <c r="F803" s="3"/>
      <c r="G803" s="3"/>
      <c r="H803" s="3"/>
      <c r="I803" s="3"/>
      <c r="J803" s="3"/>
      <c r="K803" s="3"/>
      <c r="L803" s="3"/>
      <c r="M803" s="3"/>
      <c r="N803" s="3"/>
      <c r="O803" s="3"/>
      <c r="P803" s="3"/>
      <c r="Q803" s="3"/>
      <c r="R803" s="3"/>
      <c r="S803" s="3"/>
      <c r="T803" s="3"/>
      <c r="U803" s="3"/>
      <c r="V803" s="3"/>
      <c r="W803" s="3"/>
      <c r="X803" s="1"/>
      <c r="Y803" s="1"/>
      <c r="Z803" s="1"/>
    </row>
    <row r="804" ht="12.75" customHeight="1">
      <c r="A804" s="1"/>
      <c r="B804" s="3"/>
      <c r="C804" s="3"/>
      <c r="D804" s="3"/>
      <c r="E804" s="3"/>
      <c r="F804" s="3"/>
      <c r="G804" s="3"/>
      <c r="H804" s="3"/>
      <c r="I804" s="3"/>
      <c r="J804" s="3"/>
      <c r="K804" s="3"/>
      <c r="L804" s="3"/>
      <c r="M804" s="3"/>
      <c r="N804" s="3"/>
      <c r="O804" s="3"/>
      <c r="P804" s="3"/>
      <c r="Q804" s="3"/>
      <c r="R804" s="3"/>
      <c r="S804" s="3"/>
      <c r="T804" s="3"/>
      <c r="U804" s="3"/>
      <c r="V804" s="3"/>
      <c r="W804" s="3"/>
      <c r="X804" s="1"/>
      <c r="Y804" s="1"/>
      <c r="Z804" s="1"/>
    </row>
    <row r="805" ht="12.75" customHeight="1">
      <c r="A805" s="1"/>
      <c r="B805" s="3"/>
      <c r="C805" s="3"/>
      <c r="D805" s="3"/>
      <c r="E805" s="3"/>
      <c r="F805" s="3"/>
      <c r="G805" s="3"/>
      <c r="H805" s="3"/>
      <c r="I805" s="3"/>
      <c r="J805" s="3"/>
      <c r="K805" s="3"/>
      <c r="L805" s="3"/>
      <c r="M805" s="3"/>
      <c r="N805" s="3"/>
      <c r="O805" s="3"/>
      <c r="P805" s="3"/>
      <c r="Q805" s="3"/>
      <c r="R805" s="3"/>
      <c r="S805" s="3"/>
      <c r="T805" s="3"/>
      <c r="U805" s="3"/>
      <c r="V805" s="3"/>
      <c r="W805" s="3"/>
      <c r="X805" s="1"/>
      <c r="Y805" s="1"/>
      <c r="Z805" s="1"/>
    </row>
    <row r="806" ht="12.75" customHeight="1">
      <c r="A806" s="1"/>
      <c r="B806" s="3"/>
      <c r="C806" s="3"/>
      <c r="D806" s="3"/>
      <c r="E806" s="3"/>
      <c r="F806" s="3"/>
      <c r="G806" s="3"/>
      <c r="H806" s="3"/>
      <c r="I806" s="3"/>
      <c r="J806" s="3"/>
      <c r="K806" s="3"/>
      <c r="L806" s="3"/>
      <c r="M806" s="3"/>
      <c r="N806" s="3"/>
      <c r="O806" s="3"/>
      <c r="P806" s="3"/>
      <c r="Q806" s="3"/>
      <c r="R806" s="3"/>
      <c r="S806" s="3"/>
      <c r="T806" s="3"/>
      <c r="U806" s="3"/>
      <c r="V806" s="3"/>
      <c r="W806" s="3"/>
      <c r="X806" s="1"/>
      <c r="Y806" s="1"/>
      <c r="Z806" s="1"/>
    </row>
    <row r="807" ht="12.75" customHeight="1">
      <c r="A807" s="1"/>
      <c r="B807" s="3"/>
      <c r="C807" s="3"/>
      <c r="D807" s="3"/>
      <c r="E807" s="3"/>
      <c r="F807" s="3"/>
      <c r="G807" s="3"/>
      <c r="H807" s="3"/>
      <c r="I807" s="3"/>
      <c r="J807" s="3"/>
      <c r="K807" s="3"/>
      <c r="L807" s="3"/>
      <c r="M807" s="3"/>
      <c r="N807" s="3"/>
      <c r="O807" s="3"/>
      <c r="P807" s="3"/>
      <c r="Q807" s="3"/>
      <c r="R807" s="3"/>
      <c r="S807" s="3"/>
      <c r="T807" s="3"/>
      <c r="U807" s="3"/>
      <c r="V807" s="3"/>
      <c r="W807" s="3"/>
      <c r="X807" s="1"/>
      <c r="Y807" s="1"/>
      <c r="Z807" s="1"/>
    </row>
    <row r="808" ht="12.75" customHeight="1">
      <c r="A808" s="1"/>
      <c r="B808" s="3"/>
      <c r="C808" s="3"/>
      <c r="D808" s="3"/>
      <c r="E808" s="3"/>
      <c r="F808" s="3"/>
      <c r="G808" s="3"/>
      <c r="H808" s="3"/>
      <c r="I808" s="3"/>
      <c r="J808" s="3"/>
      <c r="K808" s="3"/>
      <c r="L808" s="3"/>
      <c r="M808" s="3"/>
      <c r="N808" s="3"/>
      <c r="O808" s="3"/>
      <c r="P808" s="3"/>
      <c r="Q808" s="3"/>
      <c r="R808" s="3"/>
      <c r="S808" s="3"/>
      <c r="T808" s="3"/>
      <c r="U808" s="3"/>
      <c r="V808" s="3"/>
      <c r="W808" s="3"/>
      <c r="X808" s="1"/>
      <c r="Y808" s="1"/>
      <c r="Z808" s="1"/>
    </row>
    <row r="809" ht="12.75" customHeight="1">
      <c r="A809" s="1"/>
      <c r="B809" s="3"/>
      <c r="C809" s="3"/>
      <c r="D809" s="3"/>
      <c r="E809" s="3"/>
      <c r="F809" s="3"/>
      <c r="G809" s="3"/>
      <c r="H809" s="3"/>
      <c r="I809" s="3"/>
      <c r="J809" s="3"/>
      <c r="K809" s="3"/>
      <c r="L809" s="3"/>
      <c r="M809" s="3"/>
      <c r="N809" s="3"/>
      <c r="O809" s="3"/>
      <c r="P809" s="3"/>
      <c r="Q809" s="3"/>
      <c r="R809" s="3"/>
      <c r="S809" s="3"/>
      <c r="T809" s="3"/>
      <c r="U809" s="3"/>
      <c r="V809" s="3"/>
      <c r="W809" s="3"/>
      <c r="X809" s="1"/>
      <c r="Y809" s="1"/>
      <c r="Z809" s="1"/>
    </row>
    <row r="810" ht="12.75" customHeight="1">
      <c r="A810" s="1"/>
      <c r="B810" s="3"/>
      <c r="C810" s="3"/>
      <c r="D810" s="3"/>
      <c r="E810" s="3"/>
      <c r="F810" s="3"/>
      <c r="G810" s="3"/>
      <c r="H810" s="3"/>
      <c r="I810" s="3"/>
      <c r="J810" s="3"/>
      <c r="K810" s="3"/>
      <c r="L810" s="3"/>
      <c r="M810" s="3"/>
      <c r="N810" s="3"/>
      <c r="O810" s="3"/>
      <c r="P810" s="3"/>
      <c r="Q810" s="3"/>
      <c r="R810" s="3"/>
      <c r="S810" s="3"/>
      <c r="T810" s="3"/>
      <c r="U810" s="3"/>
      <c r="V810" s="3"/>
      <c r="W810" s="3"/>
      <c r="X810" s="1"/>
      <c r="Y810" s="1"/>
      <c r="Z810" s="1"/>
    </row>
    <row r="811" ht="12.75" customHeight="1">
      <c r="A811" s="1"/>
      <c r="B811" s="3"/>
      <c r="C811" s="3"/>
      <c r="D811" s="3"/>
      <c r="E811" s="3"/>
      <c r="F811" s="3"/>
      <c r="G811" s="3"/>
      <c r="H811" s="3"/>
      <c r="I811" s="3"/>
      <c r="J811" s="3"/>
      <c r="K811" s="3"/>
      <c r="L811" s="3"/>
      <c r="M811" s="3"/>
      <c r="N811" s="3"/>
      <c r="O811" s="3"/>
      <c r="P811" s="3"/>
      <c r="Q811" s="3"/>
      <c r="R811" s="3"/>
      <c r="S811" s="3"/>
      <c r="T811" s="3"/>
      <c r="U811" s="3"/>
      <c r="V811" s="3"/>
      <c r="W811" s="3"/>
      <c r="X811" s="1"/>
      <c r="Y811" s="1"/>
      <c r="Z811" s="1"/>
    </row>
    <row r="812" ht="12.75" customHeight="1">
      <c r="A812" s="1"/>
      <c r="B812" s="3"/>
      <c r="C812" s="3"/>
      <c r="D812" s="3"/>
      <c r="E812" s="3"/>
      <c r="F812" s="3"/>
      <c r="G812" s="3"/>
      <c r="H812" s="3"/>
      <c r="I812" s="3"/>
      <c r="J812" s="3"/>
      <c r="K812" s="3"/>
      <c r="L812" s="3"/>
      <c r="M812" s="3"/>
      <c r="N812" s="3"/>
      <c r="O812" s="3"/>
      <c r="P812" s="3"/>
      <c r="Q812" s="3"/>
      <c r="R812" s="3"/>
      <c r="S812" s="3"/>
      <c r="T812" s="3"/>
      <c r="U812" s="3"/>
      <c r="V812" s="3"/>
      <c r="W812" s="3"/>
      <c r="X812" s="1"/>
      <c r="Y812" s="1"/>
      <c r="Z812" s="1"/>
    </row>
    <row r="813" ht="12.75" customHeight="1">
      <c r="A813" s="1"/>
      <c r="B813" s="3"/>
      <c r="C813" s="3"/>
      <c r="D813" s="3"/>
      <c r="E813" s="3"/>
      <c r="F813" s="3"/>
      <c r="G813" s="3"/>
      <c r="H813" s="3"/>
      <c r="I813" s="3"/>
      <c r="J813" s="3"/>
      <c r="K813" s="3"/>
      <c r="L813" s="3"/>
      <c r="M813" s="3"/>
      <c r="N813" s="3"/>
      <c r="O813" s="3"/>
      <c r="P813" s="3"/>
      <c r="Q813" s="3"/>
      <c r="R813" s="3"/>
      <c r="S813" s="3"/>
      <c r="T813" s="3"/>
      <c r="U813" s="3"/>
      <c r="V813" s="3"/>
      <c r="W813" s="3"/>
      <c r="X813" s="1"/>
      <c r="Y813" s="1"/>
      <c r="Z813" s="1"/>
    </row>
    <row r="814" ht="12.75" customHeight="1">
      <c r="A814" s="1"/>
      <c r="B814" s="3"/>
      <c r="C814" s="3"/>
      <c r="D814" s="3"/>
      <c r="E814" s="3"/>
      <c r="F814" s="3"/>
      <c r="G814" s="3"/>
      <c r="H814" s="3"/>
      <c r="I814" s="3"/>
      <c r="J814" s="3"/>
      <c r="K814" s="3"/>
      <c r="L814" s="3"/>
      <c r="M814" s="3"/>
      <c r="N814" s="3"/>
      <c r="O814" s="3"/>
      <c r="P814" s="3"/>
      <c r="Q814" s="3"/>
      <c r="R814" s="3"/>
      <c r="S814" s="3"/>
      <c r="T814" s="3"/>
      <c r="U814" s="3"/>
      <c r="V814" s="3"/>
      <c r="W814" s="3"/>
      <c r="X814" s="1"/>
      <c r="Y814" s="1"/>
      <c r="Z814" s="1"/>
    </row>
    <row r="815" ht="12.75" customHeight="1">
      <c r="A815" s="1"/>
      <c r="B815" s="3"/>
      <c r="C815" s="3"/>
      <c r="D815" s="3"/>
      <c r="E815" s="3"/>
      <c r="F815" s="3"/>
      <c r="G815" s="3"/>
      <c r="H815" s="3"/>
      <c r="I815" s="3"/>
      <c r="J815" s="3"/>
      <c r="K815" s="3"/>
      <c r="L815" s="3"/>
      <c r="M815" s="3"/>
      <c r="N815" s="3"/>
      <c r="O815" s="3"/>
      <c r="P815" s="3"/>
      <c r="Q815" s="3"/>
      <c r="R815" s="3"/>
      <c r="S815" s="3"/>
      <c r="T815" s="3"/>
      <c r="U815" s="3"/>
      <c r="V815" s="3"/>
      <c r="W815" s="3"/>
      <c r="X815" s="1"/>
      <c r="Y815" s="1"/>
      <c r="Z815" s="1"/>
    </row>
    <row r="816" ht="12.75" customHeight="1">
      <c r="A816" s="1"/>
      <c r="B816" s="3"/>
      <c r="C816" s="3"/>
      <c r="D816" s="3"/>
      <c r="E816" s="3"/>
      <c r="F816" s="3"/>
      <c r="G816" s="3"/>
      <c r="H816" s="3"/>
      <c r="I816" s="3"/>
      <c r="J816" s="3"/>
      <c r="K816" s="3"/>
      <c r="L816" s="3"/>
      <c r="M816" s="3"/>
      <c r="N816" s="3"/>
      <c r="O816" s="3"/>
      <c r="P816" s="3"/>
      <c r="Q816" s="3"/>
      <c r="R816" s="3"/>
      <c r="S816" s="3"/>
      <c r="T816" s="3"/>
      <c r="U816" s="3"/>
      <c r="V816" s="3"/>
      <c r="W816" s="3"/>
      <c r="X816" s="1"/>
      <c r="Y816" s="1"/>
      <c r="Z816" s="1"/>
    </row>
    <row r="817" ht="12.75" customHeight="1">
      <c r="A817" s="1"/>
      <c r="B817" s="3"/>
      <c r="C817" s="3"/>
      <c r="D817" s="3"/>
      <c r="E817" s="3"/>
      <c r="F817" s="3"/>
      <c r="G817" s="3"/>
      <c r="H817" s="3"/>
      <c r="I817" s="3"/>
      <c r="J817" s="3"/>
      <c r="K817" s="3"/>
      <c r="L817" s="3"/>
      <c r="M817" s="3"/>
      <c r="N817" s="3"/>
      <c r="O817" s="3"/>
      <c r="P817" s="3"/>
      <c r="Q817" s="3"/>
      <c r="R817" s="3"/>
      <c r="S817" s="3"/>
      <c r="T817" s="3"/>
      <c r="U817" s="3"/>
      <c r="V817" s="3"/>
      <c r="W817" s="3"/>
      <c r="X817" s="1"/>
      <c r="Y817" s="1"/>
      <c r="Z817" s="1"/>
    </row>
    <row r="818" ht="12.75" customHeight="1">
      <c r="A818" s="1"/>
      <c r="B818" s="3"/>
      <c r="C818" s="3"/>
      <c r="D818" s="3"/>
      <c r="E818" s="3"/>
      <c r="F818" s="3"/>
      <c r="G818" s="3"/>
      <c r="H818" s="3"/>
      <c r="I818" s="3"/>
      <c r="J818" s="3"/>
      <c r="K818" s="3"/>
      <c r="L818" s="3"/>
      <c r="M818" s="3"/>
      <c r="N818" s="3"/>
      <c r="O818" s="3"/>
      <c r="P818" s="3"/>
      <c r="Q818" s="3"/>
      <c r="R818" s="3"/>
      <c r="S818" s="3"/>
      <c r="T818" s="3"/>
      <c r="U818" s="3"/>
      <c r="V818" s="3"/>
      <c r="W818" s="3"/>
      <c r="X818" s="1"/>
      <c r="Y818" s="1"/>
      <c r="Z818" s="1"/>
    </row>
    <row r="819" ht="12.75" customHeight="1">
      <c r="A819" s="1"/>
      <c r="B819" s="3"/>
      <c r="C819" s="3"/>
      <c r="D819" s="3"/>
      <c r="E819" s="3"/>
      <c r="F819" s="3"/>
      <c r="G819" s="3"/>
      <c r="H819" s="3"/>
      <c r="I819" s="3"/>
      <c r="J819" s="3"/>
      <c r="K819" s="3"/>
      <c r="L819" s="3"/>
      <c r="M819" s="3"/>
      <c r="N819" s="3"/>
      <c r="O819" s="3"/>
      <c r="P819" s="3"/>
      <c r="Q819" s="3"/>
      <c r="R819" s="3"/>
      <c r="S819" s="3"/>
      <c r="T819" s="3"/>
      <c r="U819" s="3"/>
      <c r="V819" s="3"/>
      <c r="W819" s="3"/>
      <c r="X819" s="1"/>
      <c r="Y819" s="1"/>
      <c r="Z819" s="1"/>
    </row>
    <row r="820" ht="12.75" customHeight="1">
      <c r="A820" s="1"/>
      <c r="B820" s="3"/>
      <c r="C820" s="3"/>
      <c r="D820" s="3"/>
      <c r="E820" s="3"/>
      <c r="F820" s="3"/>
      <c r="G820" s="3"/>
      <c r="H820" s="3"/>
      <c r="I820" s="3"/>
      <c r="J820" s="3"/>
      <c r="K820" s="3"/>
      <c r="L820" s="3"/>
      <c r="M820" s="3"/>
      <c r="N820" s="3"/>
      <c r="O820" s="3"/>
      <c r="P820" s="3"/>
      <c r="Q820" s="3"/>
      <c r="R820" s="3"/>
      <c r="S820" s="3"/>
      <c r="T820" s="3"/>
      <c r="U820" s="3"/>
      <c r="V820" s="3"/>
      <c r="W820" s="3"/>
      <c r="X820" s="1"/>
      <c r="Y820" s="1"/>
      <c r="Z820" s="1"/>
    </row>
    <row r="821" ht="12.75" customHeight="1">
      <c r="A821" s="1"/>
      <c r="B821" s="3"/>
      <c r="C821" s="3"/>
      <c r="D821" s="3"/>
      <c r="E821" s="3"/>
      <c r="F821" s="3"/>
      <c r="G821" s="3"/>
      <c r="H821" s="3"/>
      <c r="I821" s="3"/>
      <c r="J821" s="3"/>
      <c r="K821" s="3"/>
      <c r="L821" s="3"/>
      <c r="M821" s="3"/>
      <c r="N821" s="3"/>
      <c r="O821" s="3"/>
      <c r="P821" s="3"/>
      <c r="Q821" s="3"/>
      <c r="R821" s="3"/>
      <c r="S821" s="3"/>
      <c r="T821" s="3"/>
      <c r="U821" s="3"/>
      <c r="V821" s="3"/>
      <c r="W821" s="3"/>
      <c r="X821" s="1"/>
      <c r="Y821" s="1"/>
      <c r="Z821" s="1"/>
    </row>
    <row r="822" ht="12.75" customHeight="1">
      <c r="A822" s="1"/>
      <c r="B822" s="3"/>
      <c r="C822" s="3"/>
      <c r="D822" s="3"/>
      <c r="E822" s="3"/>
      <c r="F822" s="3"/>
      <c r="G822" s="3"/>
      <c r="H822" s="3"/>
      <c r="I822" s="3"/>
      <c r="J822" s="3"/>
      <c r="K822" s="3"/>
      <c r="L822" s="3"/>
      <c r="M822" s="3"/>
      <c r="N822" s="3"/>
      <c r="O822" s="3"/>
      <c r="P822" s="3"/>
      <c r="Q822" s="3"/>
      <c r="R822" s="3"/>
      <c r="S822" s="3"/>
      <c r="T822" s="3"/>
      <c r="U822" s="3"/>
      <c r="V822" s="3"/>
      <c r="W822" s="3"/>
      <c r="X822" s="1"/>
      <c r="Y822" s="1"/>
      <c r="Z822" s="1"/>
    </row>
    <row r="823" ht="12.75" customHeight="1">
      <c r="A823" s="1"/>
      <c r="B823" s="3"/>
      <c r="C823" s="3"/>
      <c r="D823" s="3"/>
      <c r="E823" s="3"/>
      <c r="F823" s="3"/>
      <c r="G823" s="3"/>
      <c r="H823" s="3"/>
      <c r="I823" s="3"/>
      <c r="J823" s="3"/>
      <c r="K823" s="3"/>
      <c r="L823" s="3"/>
      <c r="M823" s="3"/>
      <c r="N823" s="3"/>
      <c r="O823" s="3"/>
      <c r="P823" s="3"/>
      <c r="Q823" s="3"/>
      <c r="R823" s="3"/>
      <c r="S823" s="3"/>
      <c r="T823" s="3"/>
      <c r="U823" s="3"/>
      <c r="V823" s="3"/>
      <c r="W823" s="3"/>
      <c r="X823" s="1"/>
      <c r="Y823" s="1"/>
      <c r="Z823" s="1"/>
    </row>
    <row r="824" ht="12.75" customHeight="1">
      <c r="A824" s="1"/>
      <c r="B824" s="3"/>
      <c r="C824" s="3"/>
      <c r="D824" s="3"/>
      <c r="E824" s="3"/>
      <c r="F824" s="3"/>
      <c r="G824" s="3"/>
      <c r="H824" s="3"/>
      <c r="I824" s="3"/>
      <c r="J824" s="3"/>
      <c r="K824" s="3"/>
      <c r="L824" s="3"/>
      <c r="M824" s="3"/>
      <c r="N824" s="3"/>
      <c r="O824" s="3"/>
      <c r="P824" s="3"/>
      <c r="Q824" s="3"/>
      <c r="R824" s="3"/>
      <c r="S824" s="3"/>
      <c r="T824" s="3"/>
      <c r="U824" s="3"/>
      <c r="V824" s="3"/>
      <c r="W824" s="3"/>
      <c r="X824" s="1"/>
      <c r="Y824" s="1"/>
      <c r="Z824" s="1"/>
    </row>
    <row r="825" ht="12.75" customHeight="1">
      <c r="A825" s="1"/>
      <c r="B825" s="3"/>
      <c r="C825" s="3"/>
      <c r="D825" s="3"/>
      <c r="E825" s="3"/>
      <c r="F825" s="3"/>
      <c r="G825" s="3"/>
      <c r="H825" s="3"/>
      <c r="I825" s="3"/>
      <c r="J825" s="3"/>
      <c r="K825" s="3"/>
      <c r="L825" s="3"/>
      <c r="M825" s="3"/>
      <c r="N825" s="3"/>
      <c r="O825" s="3"/>
      <c r="P825" s="3"/>
      <c r="Q825" s="3"/>
      <c r="R825" s="3"/>
      <c r="S825" s="3"/>
      <c r="T825" s="3"/>
      <c r="U825" s="3"/>
      <c r="V825" s="3"/>
      <c r="W825" s="3"/>
      <c r="X825" s="1"/>
      <c r="Y825" s="1"/>
      <c r="Z825" s="1"/>
    </row>
    <row r="826" ht="12.75" customHeight="1">
      <c r="A826" s="1"/>
      <c r="B826" s="3"/>
      <c r="C826" s="3"/>
      <c r="D826" s="3"/>
      <c r="E826" s="3"/>
      <c r="F826" s="3"/>
      <c r="G826" s="3"/>
      <c r="H826" s="3"/>
      <c r="I826" s="3"/>
      <c r="J826" s="3"/>
      <c r="K826" s="3"/>
      <c r="L826" s="3"/>
      <c r="M826" s="3"/>
      <c r="N826" s="3"/>
      <c r="O826" s="3"/>
      <c r="P826" s="3"/>
      <c r="Q826" s="3"/>
      <c r="R826" s="3"/>
      <c r="S826" s="3"/>
      <c r="T826" s="3"/>
      <c r="U826" s="3"/>
      <c r="V826" s="3"/>
      <c r="W826" s="3"/>
      <c r="X826" s="1"/>
      <c r="Y826" s="1"/>
      <c r="Z826" s="1"/>
    </row>
    <row r="827" ht="12.75" customHeight="1">
      <c r="A827" s="1"/>
      <c r="B827" s="3"/>
      <c r="C827" s="3"/>
      <c r="D827" s="3"/>
      <c r="E827" s="3"/>
      <c r="F827" s="3"/>
      <c r="G827" s="3"/>
      <c r="H827" s="3"/>
      <c r="I827" s="3"/>
      <c r="J827" s="3"/>
      <c r="K827" s="3"/>
      <c r="L827" s="3"/>
      <c r="M827" s="3"/>
      <c r="N827" s="3"/>
      <c r="O827" s="3"/>
      <c r="P827" s="3"/>
      <c r="Q827" s="3"/>
      <c r="R827" s="3"/>
      <c r="S827" s="3"/>
      <c r="T827" s="3"/>
      <c r="U827" s="3"/>
      <c r="V827" s="3"/>
      <c r="W827" s="3"/>
      <c r="X827" s="1"/>
      <c r="Y827" s="1"/>
      <c r="Z827" s="1"/>
    </row>
    <row r="828" ht="12.75" customHeight="1">
      <c r="A828" s="1"/>
      <c r="B828" s="3"/>
      <c r="C828" s="3"/>
      <c r="D828" s="3"/>
      <c r="E828" s="3"/>
      <c r="F828" s="3"/>
      <c r="G828" s="3"/>
      <c r="H828" s="3"/>
      <c r="I828" s="3"/>
      <c r="J828" s="3"/>
      <c r="K828" s="3"/>
      <c r="L828" s="3"/>
      <c r="M828" s="3"/>
      <c r="N828" s="3"/>
      <c r="O828" s="3"/>
      <c r="P828" s="3"/>
      <c r="Q828" s="3"/>
      <c r="R828" s="3"/>
      <c r="S828" s="3"/>
      <c r="T828" s="3"/>
      <c r="U828" s="3"/>
      <c r="V828" s="3"/>
      <c r="W828" s="3"/>
      <c r="X828" s="1"/>
      <c r="Y828" s="1"/>
      <c r="Z828" s="1"/>
    </row>
    <row r="829" ht="12.75" customHeight="1">
      <c r="A829" s="1"/>
      <c r="B829" s="3"/>
      <c r="C829" s="3"/>
      <c r="D829" s="3"/>
      <c r="E829" s="3"/>
      <c r="F829" s="3"/>
      <c r="G829" s="3"/>
      <c r="H829" s="3"/>
      <c r="I829" s="3"/>
      <c r="J829" s="3"/>
      <c r="K829" s="3"/>
      <c r="L829" s="3"/>
      <c r="M829" s="3"/>
      <c r="N829" s="3"/>
      <c r="O829" s="3"/>
      <c r="P829" s="3"/>
      <c r="Q829" s="3"/>
      <c r="R829" s="3"/>
      <c r="S829" s="3"/>
      <c r="T829" s="3"/>
      <c r="U829" s="3"/>
      <c r="V829" s="3"/>
      <c r="W829" s="3"/>
      <c r="X829" s="1"/>
      <c r="Y829" s="1"/>
      <c r="Z829" s="1"/>
    </row>
    <row r="830" ht="12.75" customHeight="1">
      <c r="A830" s="1"/>
      <c r="B830" s="3"/>
      <c r="C830" s="3"/>
      <c r="D830" s="3"/>
      <c r="E830" s="3"/>
      <c r="F830" s="3"/>
      <c r="G830" s="3"/>
      <c r="H830" s="3"/>
      <c r="I830" s="3"/>
      <c r="J830" s="3"/>
      <c r="K830" s="3"/>
      <c r="L830" s="3"/>
      <c r="M830" s="3"/>
      <c r="N830" s="3"/>
      <c r="O830" s="3"/>
      <c r="P830" s="3"/>
      <c r="Q830" s="3"/>
      <c r="R830" s="3"/>
      <c r="S830" s="3"/>
      <c r="T830" s="3"/>
      <c r="U830" s="3"/>
      <c r="V830" s="3"/>
      <c r="W830" s="3"/>
      <c r="X830" s="1"/>
      <c r="Y830" s="1"/>
      <c r="Z830" s="1"/>
    </row>
    <row r="831" ht="12.75" customHeight="1">
      <c r="A831" s="1"/>
      <c r="B831" s="3"/>
      <c r="C831" s="3"/>
      <c r="D831" s="3"/>
      <c r="E831" s="3"/>
      <c r="F831" s="3"/>
      <c r="G831" s="3"/>
      <c r="H831" s="3"/>
      <c r="I831" s="3"/>
      <c r="J831" s="3"/>
      <c r="K831" s="3"/>
      <c r="L831" s="3"/>
      <c r="M831" s="3"/>
      <c r="N831" s="3"/>
      <c r="O831" s="3"/>
      <c r="P831" s="3"/>
      <c r="Q831" s="3"/>
      <c r="R831" s="3"/>
      <c r="S831" s="3"/>
      <c r="T831" s="3"/>
      <c r="U831" s="3"/>
      <c r="V831" s="3"/>
      <c r="W831" s="3"/>
      <c r="X831" s="1"/>
      <c r="Y831" s="1"/>
      <c r="Z831" s="1"/>
    </row>
    <row r="832" ht="12.75" customHeight="1">
      <c r="A832" s="1"/>
      <c r="B832" s="3"/>
      <c r="C832" s="3"/>
      <c r="D832" s="3"/>
      <c r="E832" s="3"/>
      <c r="F832" s="3"/>
      <c r="G832" s="3"/>
      <c r="H832" s="3"/>
      <c r="I832" s="3"/>
      <c r="J832" s="3"/>
      <c r="K832" s="3"/>
      <c r="L832" s="3"/>
      <c r="M832" s="3"/>
      <c r="N832" s="3"/>
      <c r="O832" s="3"/>
      <c r="P832" s="3"/>
      <c r="Q832" s="3"/>
      <c r="R832" s="3"/>
      <c r="S832" s="3"/>
      <c r="T832" s="3"/>
      <c r="U832" s="3"/>
      <c r="V832" s="3"/>
      <c r="W832" s="3"/>
      <c r="X832" s="1"/>
      <c r="Y832" s="1"/>
      <c r="Z832" s="1"/>
    </row>
    <row r="833" ht="12.75" customHeight="1">
      <c r="A833" s="1"/>
      <c r="B833" s="3"/>
      <c r="C833" s="3"/>
      <c r="D833" s="3"/>
      <c r="E833" s="3"/>
      <c r="F833" s="3"/>
      <c r="G833" s="3"/>
      <c r="H833" s="3"/>
      <c r="I833" s="3"/>
      <c r="J833" s="3"/>
      <c r="K833" s="3"/>
      <c r="L833" s="3"/>
      <c r="M833" s="3"/>
      <c r="N833" s="3"/>
      <c r="O833" s="3"/>
      <c r="P833" s="3"/>
      <c r="Q833" s="3"/>
      <c r="R833" s="3"/>
      <c r="S833" s="3"/>
      <c r="T833" s="3"/>
      <c r="U833" s="3"/>
      <c r="V833" s="3"/>
      <c r="W833" s="3"/>
      <c r="X833" s="1"/>
      <c r="Y833" s="1"/>
      <c r="Z833" s="1"/>
    </row>
    <row r="834" ht="12.75" customHeight="1">
      <c r="A834" s="1"/>
      <c r="B834" s="3"/>
      <c r="C834" s="3"/>
      <c r="D834" s="3"/>
      <c r="E834" s="3"/>
      <c r="F834" s="3"/>
      <c r="G834" s="3"/>
      <c r="H834" s="3"/>
      <c r="I834" s="3"/>
      <c r="J834" s="3"/>
      <c r="K834" s="3"/>
      <c r="L834" s="3"/>
      <c r="M834" s="3"/>
      <c r="N834" s="3"/>
      <c r="O834" s="3"/>
      <c r="P834" s="3"/>
      <c r="Q834" s="3"/>
      <c r="R834" s="3"/>
      <c r="S834" s="3"/>
      <c r="T834" s="3"/>
      <c r="U834" s="3"/>
      <c r="V834" s="3"/>
      <c r="W834" s="3"/>
      <c r="X834" s="1"/>
      <c r="Y834" s="1"/>
      <c r="Z834" s="1"/>
    </row>
    <row r="835" ht="12.75" customHeight="1">
      <c r="A835" s="1"/>
      <c r="B835" s="3"/>
      <c r="C835" s="3"/>
      <c r="D835" s="3"/>
      <c r="E835" s="3"/>
      <c r="F835" s="3"/>
      <c r="G835" s="3"/>
      <c r="H835" s="3"/>
      <c r="I835" s="3"/>
      <c r="J835" s="3"/>
      <c r="K835" s="3"/>
      <c r="L835" s="3"/>
      <c r="M835" s="3"/>
      <c r="N835" s="3"/>
      <c r="O835" s="3"/>
      <c r="P835" s="3"/>
      <c r="Q835" s="3"/>
      <c r="R835" s="3"/>
      <c r="S835" s="3"/>
      <c r="T835" s="3"/>
      <c r="U835" s="3"/>
      <c r="V835" s="3"/>
      <c r="W835" s="3"/>
      <c r="X835" s="1"/>
      <c r="Y835" s="1"/>
      <c r="Z835" s="1"/>
    </row>
    <row r="836" ht="12.75" customHeight="1">
      <c r="A836" s="1"/>
      <c r="B836" s="3"/>
      <c r="C836" s="3"/>
      <c r="D836" s="3"/>
      <c r="E836" s="3"/>
      <c r="F836" s="3"/>
      <c r="G836" s="3"/>
      <c r="H836" s="3"/>
      <c r="I836" s="3"/>
      <c r="J836" s="3"/>
      <c r="K836" s="3"/>
      <c r="L836" s="3"/>
      <c r="M836" s="3"/>
      <c r="N836" s="3"/>
      <c r="O836" s="3"/>
      <c r="P836" s="3"/>
      <c r="Q836" s="3"/>
      <c r="R836" s="3"/>
      <c r="S836" s="3"/>
      <c r="T836" s="3"/>
      <c r="U836" s="3"/>
      <c r="V836" s="3"/>
      <c r="W836" s="3"/>
      <c r="X836" s="1"/>
      <c r="Y836" s="1"/>
      <c r="Z836" s="1"/>
    </row>
    <row r="837" ht="12.75" customHeight="1">
      <c r="A837" s="1"/>
      <c r="B837" s="3"/>
      <c r="C837" s="3"/>
      <c r="D837" s="3"/>
      <c r="E837" s="3"/>
      <c r="F837" s="3"/>
      <c r="G837" s="3"/>
      <c r="H837" s="3"/>
      <c r="I837" s="3"/>
      <c r="J837" s="3"/>
      <c r="K837" s="3"/>
      <c r="L837" s="3"/>
      <c r="M837" s="3"/>
      <c r="N837" s="3"/>
      <c r="O837" s="3"/>
      <c r="P837" s="3"/>
      <c r="Q837" s="3"/>
      <c r="R837" s="3"/>
      <c r="S837" s="3"/>
      <c r="T837" s="3"/>
      <c r="U837" s="3"/>
      <c r="V837" s="3"/>
      <c r="W837" s="3"/>
      <c r="X837" s="1"/>
      <c r="Y837" s="1"/>
      <c r="Z837" s="1"/>
    </row>
    <row r="838" ht="12.75" customHeight="1">
      <c r="A838" s="1"/>
      <c r="B838" s="3"/>
      <c r="C838" s="3"/>
      <c r="D838" s="3"/>
      <c r="E838" s="3"/>
      <c r="F838" s="3"/>
      <c r="G838" s="3"/>
      <c r="H838" s="3"/>
      <c r="I838" s="3"/>
      <c r="J838" s="3"/>
      <c r="K838" s="3"/>
      <c r="L838" s="3"/>
      <c r="M838" s="3"/>
      <c r="N838" s="3"/>
      <c r="O838" s="3"/>
      <c r="P838" s="3"/>
      <c r="Q838" s="3"/>
      <c r="R838" s="3"/>
      <c r="S838" s="3"/>
      <c r="T838" s="3"/>
      <c r="U838" s="3"/>
      <c r="V838" s="3"/>
      <c r="W838" s="3"/>
      <c r="X838" s="1"/>
      <c r="Y838" s="1"/>
      <c r="Z838" s="1"/>
    </row>
    <row r="839" ht="12.75" customHeight="1">
      <c r="A839" s="1"/>
      <c r="B839" s="3"/>
      <c r="C839" s="3"/>
      <c r="D839" s="3"/>
      <c r="E839" s="3"/>
      <c r="F839" s="3"/>
      <c r="G839" s="3"/>
      <c r="H839" s="3"/>
      <c r="I839" s="3"/>
      <c r="J839" s="3"/>
      <c r="K839" s="3"/>
      <c r="L839" s="3"/>
      <c r="M839" s="3"/>
      <c r="N839" s="3"/>
      <c r="O839" s="3"/>
      <c r="P839" s="3"/>
      <c r="Q839" s="3"/>
      <c r="R839" s="3"/>
      <c r="S839" s="3"/>
      <c r="T839" s="3"/>
      <c r="U839" s="3"/>
      <c r="V839" s="3"/>
      <c r="W839" s="3"/>
      <c r="X839" s="1"/>
      <c r="Y839" s="1"/>
      <c r="Z839" s="1"/>
    </row>
    <row r="840" ht="12.75" customHeight="1">
      <c r="A840" s="1"/>
      <c r="B840" s="3"/>
      <c r="C840" s="3"/>
      <c r="D840" s="3"/>
      <c r="E840" s="3"/>
      <c r="F840" s="3"/>
      <c r="G840" s="3"/>
      <c r="H840" s="3"/>
      <c r="I840" s="3"/>
      <c r="J840" s="3"/>
      <c r="K840" s="3"/>
      <c r="L840" s="3"/>
      <c r="M840" s="3"/>
      <c r="N840" s="3"/>
      <c r="O840" s="3"/>
      <c r="P840" s="3"/>
      <c r="Q840" s="3"/>
      <c r="R840" s="3"/>
      <c r="S840" s="3"/>
      <c r="T840" s="3"/>
      <c r="U840" s="3"/>
      <c r="V840" s="3"/>
      <c r="W840" s="3"/>
      <c r="X840" s="1"/>
      <c r="Y840" s="1"/>
      <c r="Z840" s="1"/>
    </row>
    <row r="841" ht="12.75" customHeight="1">
      <c r="A841" s="1"/>
      <c r="B841" s="3"/>
      <c r="C841" s="3"/>
      <c r="D841" s="3"/>
      <c r="E841" s="3"/>
      <c r="F841" s="3"/>
      <c r="G841" s="3"/>
      <c r="H841" s="3"/>
      <c r="I841" s="3"/>
      <c r="J841" s="3"/>
      <c r="K841" s="3"/>
      <c r="L841" s="3"/>
      <c r="M841" s="3"/>
      <c r="N841" s="3"/>
      <c r="O841" s="3"/>
      <c r="P841" s="3"/>
      <c r="Q841" s="3"/>
      <c r="R841" s="3"/>
      <c r="S841" s="3"/>
      <c r="T841" s="3"/>
      <c r="U841" s="3"/>
      <c r="V841" s="3"/>
      <c r="W841" s="3"/>
      <c r="X841" s="1"/>
      <c r="Y841" s="1"/>
      <c r="Z841" s="1"/>
    </row>
    <row r="842" ht="12.75" customHeight="1">
      <c r="A842" s="1"/>
      <c r="B842" s="3"/>
      <c r="C842" s="3"/>
      <c r="D842" s="3"/>
      <c r="E842" s="3"/>
      <c r="F842" s="3"/>
      <c r="G842" s="3"/>
      <c r="H842" s="3"/>
      <c r="I842" s="3"/>
      <c r="J842" s="3"/>
      <c r="K842" s="3"/>
      <c r="L842" s="3"/>
      <c r="M842" s="3"/>
      <c r="N842" s="3"/>
      <c r="O842" s="3"/>
      <c r="P842" s="3"/>
      <c r="Q842" s="3"/>
      <c r="R842" s="3"/>
      <c r="S842" s="3"/>
      <c r="T842" s="3"/>
      <c r="U842" s="3"/>
      <c r="V842" s="3"/>
      <c r="W842" s="3"/>
      <c r="X842" s="1"/>
      <c r="Y842" s="1"/>
      <c r="Z842" s="1"/>
    </row>
    <row r="843" ht="12.75" customHeight="1">
      <c r="A843" s="1"/>
      <c r="B843" s="3"/>
      <c r="C843" s="3"/>
      <c r="D843" s="3"/>
      <c r="E843" s="3"/>
      <c r="F843" s="3"/>
      <c r="G843" s="3"/>
      <c r="H843" s="3"/>
      <c r="I843" s="3"/>
      <c r="J843" s="3"/>
      <c r="K843" s="3"/>
      <c r="L843" s="3"/>
      <c r="M843" s="3"/>
      <c r="N843" s="3"/>
      <c r="O843" s="3"/>
      <c r="P843" s="3"/>
      <c r="Q843" s="3"/>
      <c r="R843" s="3"/>
      <c r="S843" s="3"/>
      <c r="T843" s="3"/>
      <c r="U843" s="3"/>
      <c r="V843" s="3"/>
      <c r="W843" s="3"/>
      <c r="X843" s="1"/>
      <c r="Y843" s="1"/>
      <c r="Z843" s="1"/>
    </row>
    <row r="844" ht="12.75" customHeight="1">
      <c r="A844" s="1"/>
      <c r="B844" s="3"/>
      <c r="C844" s="3"/>
      <c r="D844" s="3"/>
      <c r="E844" s="3"/>
      <c r="F844" s="3"/>
      <c r="G844" s="3"/>
      <c r="H844" s="3"/>
      <c r="I844" s="3"/>
      <c r="J844" s="3"/>
      <c r="K844" s="3"/>
      <c r="L844" s="3"/>
      <c r="M844" s="3"/>
      <c r="N844" s="3"/>
      <c r="O844" s="3"/>
      <c r="P844" s="3"/>
      <c r="Q844" s="3"/>
      <c r="R844" s="3"/>
      <c r="S844" s="3"/>
      <c r="T844" s="3"/>
      <c r="U844" s="3"/>
      <c r="V844" s="3"/>
      <c r="W844" s="3"/>
      <c r="X844" s="1"/>
      <c r="Y844" s="1"/>
      <c r="Z844" s="1"/>
    </row>
    <row r="845" ht="12.75" customHeight="1">
      <c r="A845" s="1"/>
      <c r="B845" s="3"/>
      <c r="C845" s="3"/>
      <c r="D845" s="3"/>
      <c r="E845" s="3"/>
      <c r="F845" s="3"/>
      <c r="G845" s="3"/>
      <c r="H845" s="3"/>
      <c r="I845" s="3"/>
      <c r="J845" s="3"/>
      <c r="K845" s="3"/>
      <c r="L845" s="3"/>
      <c r="M845" s="3"/>
      <c r="N845" s="3"/>
      <c r="O845" s="3"/>
      <c r="P845" s="3"/>
      <c r="Q845" s="3"/>
      <c r="R845" s="3"/>
      <c r="S845" s="3"/>
      <c r="T845" s="3"/>
      <c r="U845" s="3"/>
      <c r="V845" s="3"/>
      <c r="W845" s="3"/>
      <c r="X845" s="1"/>
      <c r="Y845" s="1"/>
      <c r="Z845" s="1"/>
    </row>
    <row r="846" ht="12.75" customHeight="1">
      <c r="A846" s="1"/>
      <c r="B846" s="3"/>
      <c r="C846" s="3"/>
      <c r="D846" s="3"/>
      <c r="E846" s="3"/>
      <c r="F846" s="3"/>
      <c r="G846" s="3"/>
      <c r="H846" s="3"/>
      <c r="I846" s="3"/>
      <c r="J846" s="3"/>
      <c r="K846" s="3"/>
      <c r="L846" s="3"/>
      <c r="M846" s="3"/>
      <c r="N846" s="3"/>
      <c r="O846" s="3"/>
      <c r="P846" s="3"/>
      <c r="Q846" s="3"/>
      <c r="R846" s="3"/>
      <c r="S846" s="3"/>
      <c r="T846" s="3"/>
      <c r="U846" s="3"/>
      <c r="V846" s="3"/>
      <c r="W846" s="3"/>
      <c r="X846" s="1"/>
      <c r="Y846" s="1"/>
      <c r="Z846" s="1"/>
    </row>
    <row r="847" ht="12.75" customHeight="1">
      <c r="A847" s="1"/>
      <c r="B847" s="3"/>
      <c r="C847" s="3"/>
      <c r="D847" s="3"/>
      <c r="E847" s="3"/>
      <c r="F847" s="3"/>
      <c r="G847" s="3"/>
      <c r="H847" s="3"/>
      <c r="I847" s="3"/>
      <c r="J847" s="3"/>
      <c r="K847" s="3"/>
      <c r="L847" s="3"/>
      <c r="M847" s="3"/>
      <c r="N847" s="3"/>
      <c r="O847" s="3"/>
      <c r="P847" s="3"/>
      <c r="Q847" s="3"/>
      <c r="R847" s="3"/>
      <c r="S847" s="3"/>
      <c r="T847" s="3"/>
      <c r="U847" s="3"/>
      <c r="V847" s="3"/>
      <c r="W847" s="3"/>
      <c r="X847" s="1"/>
      <c r="Y847" s="1"/>
      <c r="Z847" s="1"/>
    </row>
    <row r="848" ht="12.75" customHeight="1">
      <c r="A848" s="1"/>
      <c r="B848" s="3"/>
      <c r="C848" s="3"/>
      <c r="D848" s="3"/>
      <c r="E848" s="3"/>
      <c r="F848" s="3"/>
      <c r="G848" s="3"/>
      <c r="H848" s="3"/>
      <c r="I848" s="3"/>
      <c r="J848" s="3"/>
      <c r="K848" s="3"/>
      <c r="L848" s="3"/>
      <c r="M848" s="3"/>
      <c r="N848" s="3"/>
      <c r="O848" s="3"/>
      <c r="P848" s="3"/>
      <c r="Q848" s="3"/>
      <c r="R848" s="3"/>
      <c r="S848" s="3"/>
      <c r="T848" s="3"/>
      <c r="U848" s="3"/>
      <c r="V848" s="3"/>
      <c r="W848" s="3"/>
      <c r="X848" s="1"/>
      <c r="Y848" s="1"/>
      <c r="Z848" s="1"/>
    </row>
    <row r="849" ht="12.75" customHeight="1">
      <c r="A849" s="1"/>
      <c r="B849" s="3"/>
      <c r="C849" s="3"/>
      <c r="D849" s="3"/>
      <c r="E849" s="3"/>
      <c r="F849" s="3"/>
      <c r="G849" s="3"/>
      <c r="H849" s="3"/>
      <c r="I849" s="3"/>
      <c r="J849" s="3"/>
      <c r="K849" s="3"/>
      <c r="L849" s="3"/>
      <c r="M849" s="3"/>
      <c r="N849" s="3"/>
      <c r="O849" s="3"/>
      <c r="P849" s="3"/>
      <c r="Q849" s="3"/>
      <c r="R849" s="3"/>
      <c r="S849" s="3"/>
      <c r="T849" s="3"/>
      <c r="U849" s="3"/>
      <c r="V849" s="3"/>
      <c r="W849" s="3"/>
      <c r="X849" s="1"/>
      <c r="Y849" s="1"/>
      <c r="Z849" s="1"/>
    </row>
    <row r="850" ht="12.75" customHeight="1">
      <c r="A850" s="1"/>
      <c r="B850" s="3"/>
      <c r="C850" s="3"/>
      <c r="D850" s="3"/>
      <c r="E850" s="3"/>
      <c r="F850" s="3"/>
      <c r="G850" s="3"/>
      <c r="H850" s="3"/>
      <c r="I850" s="3"/>
      <c r="J850" s="3"/>
      <c r="K850" s="3"/>
      <c r="L850" s="3"/>
      <c r="M850" s="3"/>
      <c r="N850" s="3"/>
      <c r="O850" s="3"/>
      <c r="P850" s="3"/>
      <c r="Q850" s="3"/>
      <c r="R850" s="3"/>
      <c r="S850" s="3"/>
      <c r="T850" s="3"/>
      <c r="U850" s="3"/>
      <c r="V850" s="3"/>
      <c r="W850" s="3"/>
      <c r="X850" s="1"/>
      <c r="Y850" s="1"/>
      <c r="Z850" s="1"/>
    </row>
    <row r="851" ht="12.75" customHeight="1">
      <c r="A851" s="1"/>
      <c r="B851" s="3"/>
      <c r="C851" s="3"/>
      <c r="D851" s="3"/>
      <c r="E851" s="3"/>
      <c r="F851" s="3"/>
      <c r="G851" s="3"/>
      <c r="H851" s="3"/>
      <c r="I851" s="3"/>
      <c r="J851" s="3"/>
      <c r="K851" s="3"/>
      <c r="L851" s="3"/>
      <c r="M851" s="3"/>
      <c r="N851" s="3"/>
      <c r="O851" s="3"/>
      <c r="P851" s="3"/>
      <c r="Q851" s="3"/>
      <c r="R851" s="3"/>
      <c r="S851" s="3"/>
      <c r="T851" s="3"/>
      <c r="U851" s="3"/>
      <c r="V851" s="3"/>
      <c r="W851" s="3"/>
      <c r="X851" s="1"/>
      <c r="Y851" s="1"/>
      <c r="Z851" s="1"/>
    </row>
    <row r="852" ht="12.75" customHeight="1">
      <c r="A852" s="1"/>
      <c r="B852" s="3"/>
      <c r="C852" s="3"/>
      <c r="D852" s="3"/>
      <c r="E852" s="3"/>
      <c r="F852" s="3"/>
      <c r="G852" s="3"/>
      <c r="H852" s="3"/>
      <c r="I852" s="3"/>
      <c r="J852" s="3"/>
      <c r="K852" s="3"/>
      <c r="L852" s="3"/>
      <c r="M852" s="3"/>
      <c r="N852" s="3"/>
      <c r="O852" s="3"/>
      <c r="P852" s="3"/>
      <c r="Q852" s="3"/>
      <c r="R852" s="3"/>
      <c r="S852" s="3"/>
      <c r="T852" s="3"/>
      <c r="U852" s="3"/>
      <c r="V852" s="3"/>
      <c r="W852" s="3"/>
      <c r="X852" s="1"/>
      <c r="Y852" s="1"/>
      <c r="Z852" s="1"/>
    </row>
    <row r="853" ht="12.75" customHeight="1">
      <c r="A853" s="1"/>
      <c r="B853" s="3"/>
      <c r="C853" s="3"/>
      <c r="D853" s="3"/>
      <c r="E853" s="3"/>
      <c r="F853" s="3"/>
      <c r="G853" s="3"/>
      <c r="H853" s="3"/>
      <c r="I853" s="3"/>
      <c r="J853" s="3"/>
      <c r="K853" s="3"/>
      <c r="L853" s="3"/>
      <c r="M853" s="3"/>
      <c r="N853" s="3"/>
      <c r="O853" s="3"/>
      <c r="P853" s="3"/>
      <c r="Q853" s="3"/>
      <c r="R853" s="3"/>
      <c r="S853" s="3"/>
      <c r="T853" s="3"/>
      <c r="U853" s="3"/>
      <c r="V853" s="3"/>
      <c r="W853" s="3"/>
      <c r="X853" s="1"/>
      <c r="Y853" s="1"/>
      <c r="Z853" s="1"/>
    </row>
    <row r="854" ht="12.75" customHeight="1">
      <c r="A854" s="1"/>
      <c r="B854" s="3"/>
      <c r="C854" s="3"/>
      <c r="D854" s="3"/>
      <c r="E854" s="3"/>
      <c r="F854" s="3"/>
      <c r="G854" s="3"/>
      <c r="H854" s="3"/>
      <c r="I854" s="3"/>
      <c r="J854" s="3"/>
      <c r="K854" s="3"/>
      <c r="L854" s="3"/>
      <c r="M854" s="3"/>
      <c r="N854" s="3"/>
      <c r="O854" s="3"/>
      <c r="P854" s="3"/>
      <c r="Q854" s="3"/>
      <c r="R854" s="3"/>
      <c r="S854" s="3"/>
      <c r="T854" s="3"/>
      <c r="U854" s="3"/>
      <c r="V854" s="3"/>
      <c r="W854" s="3"/>
      <c r="X854" s="1"/>
      <c r="Y854" s="1"/>
      <c r="Z854" s="1"/>
    </row>
    <row r="855" ht="12.75" customHeight="1">
      <c r="A855" s="1"/>
      <c r="B855" s="3"/>
      <c r="C855" s="3"/>
      <c r="D855" s="3"/>
      <c r="E855" s="3"/>
      <c r="F855" s="3"/>
      <c r="G855" s="3"/>
      <c r="H855" s="3"/>
      <c r="I855" s="3"/>
      <c r="J855" s="3"/>
      <c r="K855" s="3"/>
      <c r="L855" s="3"/>
      <c r="M855" s="3"/>
      <c r="N855" s="3"/>
      <c r="O855" s="3"/>
      <c r="P855" s="3"/>
      <c r="Q855" s="3"/>
      <c r="R855" s="3"/>
      <c r="S855" s="3"/>
      <c r="T855" s="3"/>
      <c r="U855" s="3"/>
      <c r="V855" s="3"/>
      <c r="W855" s="3"/>
      <c r="X855" s="1"/>
      <c r="Y855" s="1"/>
      <c r="Z855" s="1"/>
    </row>
    <row r="856" ht="12.75" customHeight="1">
      <c r="A856" s="1"/>
      <c r="B856" s="3"/>
      <c r="C856" s="3"/>
      <c r="D856" s="3"/>
      <c r="E856" s="3"/>
      <c r="F856" s="3"/>
      <c r="G856" s="3"/>
      <c r="H856" s="3"/>
      <c r="I856" s="3"/>
      <c r="J856" s="3"/>
      <c r="K856" s="3"/>
      <c r="L856" s="3"/>
      <c r="M856" s="3"/>
      <c r="N856" s="3"/>
      <c r="O856" s="3"/>
      <c r="P856" s="3"/>
      <c r="Q856" s="3"/>
      <c r="R856" s="3"/>
      <c r="S856" s="3"/>
      <c r="T856" s="3"/>
      <c r="U856" s="3"/>
      <c r="V856" s="3"/>
      <c r="W856" s="3"/>
      <c r="X856" s="1"/>
      <c r="Y856" s="1"/>
      <c r="Z856" s="1"/>
    </row>
    <row r="857" ht="12.75" customHeight="1">
      <c r="A857" s="1"/>
      <c r="B857" s="3"/>
      <c r="C857" s="3"/>
      <c r="D857" s="3"/>
      <c r="E857" s="3"/>
      <c r="F857" s="3"/>
      <c r="G857" s="3"/>
      <c r="H857" s="3"/>
      <c r="I857" s="3"/>
      <c r="J857" s="3"/>
      <c r="K857" s="3"/>
      <c r="L857" s="3"/>
      <c r="M857" s="3"/>
      <c r="N857" s="3"/>
      <c r="O857" s="3"/>
      <c r="P857" s="3"/>
      <c r="Q857" s="3"/>
      <c r="R857" s="3"/>
      <c r="S857" s="3"/>
      <c r="T857" s="3"/>
      <c r="U857" s="3"/>
      <c r="V857" s="3"/>
      <c r="W857" s="3"/>
      <c r="X857" s="1"/>
      <c r="Y857" s="1"/>
      <c r="Z857" s="1"/>
    </row>
    <row r="858" ht="12.75" customHeight="1">
      <c r="A858" s="1"/>
      <c r="B858" s="3"/>
      <c r="C858" s="3"/>
      <c r="D858" s="3"/>
      <c r="E858" s="3"/>
      <c r="F858" s="3"/>
      <c r="G858" s="3"/>
      <c r="H858" s="3"/>
      <c r="I858" s="3"/>
      <c r="J858" s="3"/>
      <c r="K858" s="3"/>
      <c r="L858" s="3"/>
      <c r="M858" s="3"/>
      <c r="N858" s="3"/>
      <c r="O858" s="3"/>
      <c r="P858" s="3"/>
      <c r="Q858" s="3"/>
      <c r="R858" s="3"/>
      <c r="S858" s="3"/>
      <c r="T858" s="3"/>
      <c r="U858" s="3"/>
      <c r="V858" s="3"/>
      <c r="W858" s="3"/>
      <c r="X858" s="1"/>
      <c r="Y858" s="1"/>
      <c r="Z858" s="1"/>
    </row>
    <row r="859" ht="12.75" customHeight="1">
      <c r="A859" s="1"/>
      <c r="B859" s="3"/>
      <c r="C859" s="3"/>
      <c r="D859" s="3"/>
      <c r="E859" s="3"/>
      <c r="F859" s="3"/>
      <c r="G859" s="3"/>
      <c r="H859" s="3"/>
      <c r="I859" s="3"/>
      <c r="J859" s="3"/>
      <c r="K859" s="3"/>
      <c r="L859" s="3"/>
      <c r="M859" s="3"/>
      <c r="N859" s="3"/>
      <c r="O859" s="3"/>
      <c r="P859" s="3"/>
      <c r="Q859" s="3"/>
      <c r="R859" s="3"/>
      <c r="S859" s="3"/>
      <c r="T859" s="3"/>
      <c r="U859" s="3"/>
      <c r="V859" s="3"/>
      <c r="W859" s="3"/>
      <c r="X859" s="1"/>
      <c r="Y859" s="1"/>
      <c r="Z859" s="1"/>
    </row>
    <row r="860" ht="12.75" customHeight="1">
      <c r="A860" s="1"/>
      <c r="B860" s="3"/>
      <c r="C860" s="3"/>
      <c r="D860" s="3"/>
      <c r="E860" s="3"/>
      <c r="F860" s="3"/>
      <c r="G860" s="3"/>
      <c r="H860" s="3"/>
      <c r="I860" s="3"/>
      <c r="J860" s="3"/>
      <c r="K860" s="3"/>
      <c r="L860" s="3"/>
      <c r="M860" s="3"/>
      <c r="N860" s="3"/>
      <c r="O860" s="3"/>
      <c r="P860" s="3"/>
      <c r="Q860" s="3"/>
      <c r="R860" s="3"/>
      <c r="S860" s="3"/>
      <c r="T860" s="3"/>
      <c r="U860" s="3"/>
      <c r="V860" s="3"/>
      <c r="W860" s="3"/>
      <c r="X860" s="1"/>
      <c r="Y860" s="1"/>
      <c r="Z860" s="1"/>
    </row>
    <row r="861" ht="12.75" customHeight="1">
      <c r="A861" s="1"/>
      <c r="B861" s="3"/>
      <c r="C861" s="3"/>
      <c r="D861" s="3"/>
      <c r="E861" s="3"/>
      <c r="F861" s="3"/>
      <c r="G861" s="3"/>
      <c r="H861" s="3"/>
      <c r="I861" s="3"/>
      <c r="J861" s="3"/>
      <c r="K861" s="3"/>
      <c r="L861" s="3"/>
      <c r="M861" s="3"/>
      <c r="N861" s="3"/>
      <c r="O861" s="3"/>
      <c r="P861" s="3"/>
      <c r="Q861" s="3"/>
      <c r="R861" s="3"/>
      <c r="S861" s="3"/>
      <c r="T861" s="3"/>
      <c r="U861" s="3"/>
      <c r="V861" s="3"/>
      <c r="W861" s="3"/>
      <c r="X861" s="1"/>
      <c r="Y861" s="1"/>
      <c r="Z861" s="1"/>
    </row>
    <row r="862" ht="12.75" customHeight="1">
      <c r="A862" s="1"/>
      <c r="B862" s="3"/>
      <c r="C862" s="3"/>
      <c r="D862" s="3"/>
      <c r="E862" s="3"/>
      <c r="F862" s="3"/>
      <c r="G862" s="3"/>
      <c r="H862" s="3"/>
      <c r="I862" s="3"/>
      <c r="J862" s="3"/>
      <c r="K862" s="3"/>
      <c r="L862" s="3"/>
      <c r="M862" s="3"/>
      <c r="N862" s="3"/>
      <c r="O862" s="3"/>
      <c r="P862" s="3"/>
      <c r="Q862" s="3"/>
      <c r="R862" s="3"/>
      <c r="S862" s="3"/>
      <c r="T862" s="3"/>
      <c r="U862" s="3"/>
      <c r="V862" s="3"/>
      <c r="W862" s="3"/>
      <c r="X862" s="1"/>
      <c r="Y862" s="1"/>
      <c r="Z862" s="1"/>
    </row>
    <row r="863" ht="12.75" customHeight="1">
      <c r="A863" s="1"/>
      <c r="B863" s="3"/>
      <c r="C863" s="3"/>
      <c r="D863" s="3"/>
      <c r="E863" s="3"/>
      <c r="F863" s="3"/>
      <c r="G863" s="3"/>
      <c r="H863" s="3"/>
      <c r="I863" s="3"/>
      <c r="J863" s="3"/>
      <c r="K863" s="3"/>
      <c r="L863" s="3"/>
      <c r="M863" s="3"/>
      <c r="N863" s="3"/>
      <c r="O863" s="3"/>
      <c r="P863" s="3"/>
      <c r="Q863" s="3"/>
      <c r="R863" s="3"/>
      <c r="S863" s="3"/>
      <c r="T863" s="3"/>
      <c r="U863" s="3"/>
      <c r="V863" s="3"/>
      <c r="W863" s="3"/>
      <c r="X863" s="1"/>
      <c r="Y863" s="1"/>
      <c r="Z863" s="1"/>
    </row>
    <row r="864" ht="12.75" customHeight="1">
      <c r="A864" s="1"/>
      <c r="B864" s="3"/>
      <c r="C864" s="3"/>
      <c r="D864" s="3"/>
      <c r="E864" s="3"/>
      <c r="F864" s="3"/>
      <c r="G864" s="3"/>
      <c r="H864" s="3"/>
      <c r="I864" s="3"/>
      <c r="J864" s="3"/>
      <c r="K864" s="3"/>
      <c r="L864" s="3"/>
      <c r="M864" s="3"/>
      <c r="N864" s="3"/>
      <c r="O864" s="3"/>
      <c r="P864" s="3"/>
      <c r="Q864" s="3"/>
      <c r="R864" s="3"/>
      <c r="S864" s="3"/>
      <c r="T864" s="3"/>
      <c r="U864" s="3"/>
      <c r="V864" s="3"/>
      <c r="W864" s="3"/>
      <c r="X864" s="1"/>
      <c r="Y864" s="1"/>
      <c r="Z864" s="1"/>
    </row>
    <row r="865" ht="12.75" customHeight="1">
      <c r="A865" s="1"/>
      <c r="B865" s="3"/>
      <c r="C865" s="3"/>
      <c r="D865" s="3"/>
      <c r="E865" s="3"/>
      <c r="F865" s="3"/>
      <c r="G865" s="3"/>
      <c r="H865" s="3"/>
      <c r="I865" s="3"/>
      <c r="J865" s="3"/>
      <c r="K865" s="3"/>
      <c r="L865" s="3"/>
      <c r="M865" s="3"/>
      <c r="N865" s="3"/>
      <c r="O865" s="3"/>
      <c r="P865" s="3"/>
      <c r="Q865" s="3"/>
      <c r="R865" s="3"/>
      <c r="S865" s="3"/>
      <c r="T865" s="3"/>
      <c r="U865" s="3"/>
      <c r="V865" s="3"/>
      <c r="W865" s="3"/>
      <c r="X865" s="1"/>
      <c r="Y865" s="1"/>
      <c r="Z865" s="1"/>
    </row>
    <row r="866" ht="12.75" customHeight="1">
      <c r="A866" s="1"/>
      <c r="B866" s="3"/>
      <c r="C866" s="3"/>
      <c r="D866" s="3"/>
      <c r="E866" s="3"/>
      <c r="F866" s="3"/>
      <c r="G866" s="3"/>
      <c r="H866" s="3"/>
      <c r="I866" s="3"/>
      <c r="J866" s="3"/>
      <c r="K866" s="3"/>
      <c r="L866" s="3"/>
      <c r="M866" s="3"/>
      <c r="N866" s="3"/>
      <c r="O866" s="3"/>
      <c r="P866" s="3"/>
      <c r="Q866" s="3"/>
      <c r="R866" s="3"/>
      <c r="S866" s="3"/>
      <c r="T866" s="3"/>
      <c r="U866" s="3"/>
      <c r="V866" s="3"/>
      <c r="W866" s="3"/>
      <c r="X866" s="1"/>
      <c r="Y866" s="1"/>
      <c r="Z866" s="1"/>
    </row>
    <row r="867" ht="12.75" customHeight="1">
      <c r="A867" s="1"/>
      <c r="B867" s="3"/>
      <c r="C867" s="3"/>
      <c r="D867" s="3"/>
      <c r="E867" s="3"/>
      <c r="F867" s="3"/>
      <c r="G867" s="3"/>
      <c r="H867" s="3"/>
      <c r="I867" s="3"/>
      <c r="J867" s="3"/>
      <c r="K867" s="3"/>
      <c r="L867" s="3"/>
      <c r="M867" s="3"/>
      <c r="N867" s="3"/>
      <c r="O867" s="3"/>
      <c r="P867" s="3"/>
      <c r="Q867" s="3"/>
      <c r="R867" s="3"/>
      <c r="S867" s="3"/>
      <c r="T867" s="3"/>
      <c r="U867" s="3"/>
      <c r="V867" s="3"/>
      <c r="W867" s="3"/>
      <c r="X867" s="1"/>
      <c r="Y867" s="1"/>
      <c r="Z867" s="1"/>
    </row>
    <row r="868" ht="12.75" customHeight="1">
      <c r="A868" s="1"/>
      <c r="B868" s="3"/>
      <c r="C868" s="3"/>
      <c r="D868" s="3"/>
      <c r="E868" s="3"/>
      <c r="F868" s="3"/>
      <c r="G868" s="3"/>
      <c r="H868" s="3"/>
      <c r="I868" s="3"/>
      <c r="J868" s="3"/>
      <c r="K868" s="3"/>
      <c r="L868" s="3"/>
      <c r="M868" s="3"/>
      <c r="N868" s="3"/>
      <c r="O868" s="3"/>
      <c r="P868" s="3"/>
      <c r="Q868" s="3"/>
      <c r="R868" s="3"/>
      <c r="S868" s="3"/>
      <c r="T868" s="3"/>
      <c r="U868" s="3"/>
      <c r="V868" s="3"/>
      <c r="W868" s="3"/>
      <c r="X868" s="1"/>
      <c r="Y868" s="1"/>
      <c r="Z868" s="1"/>
    </row>
    <row r="869" ht="12.75" customHeight="1">
      <c r="A869" s="1"/>
      <c r="B869" s="3"/>
      <c r="C869" s="3"/>
      <c r="D869" s="3"/>
      <c r="E869" s="3"/>
      <c r="F869" s="3"/>
      <c r="G869" s="3"/>
      <c r="H869" s="3"/>
      <c r="I869" s="3"/>
      <c r="J869" s="3"/>
      <c r="K869" s="3"/>
      <c r="L869" s="3"/>
      <c r="M869" s="3"/>
      <c r="N869" s="3"/>
      <c r="O869" s="3"/>
      <c r="P869" s="3"/>
      <c r="Q869" s="3"/>
      <c r="R869" s="3"/>
      <c r="S869" s="3"/>
      <c r="T869" s="3"/>
      <c r="U869" s="3"/>
      <c r="V869" s="3"/>
      <c r="W869" s="3"/>
      <c r="X869" s="1"/>
      <c r="Y869" s="1"/>
      <c r="Z869" s="1"/>
    </row>
    <row r="870" ht="12.75" customHeight="1">
      <c r="A870" s="1"/>
      <c r="B870" s="3"/>
      <c r="C870" s="3"/>
      <c r="D870" s="3"/>
      <c r="E870" s="3"/>
      <c r="F870" s="3"/>
      <c r="G870" s="3"/>
      <c r="H870" s="3"/>
      <c r="I870" s="3"/>
      <c r="J870" s="3"/>
      <c r="K870" s="3"/>
      <c r="L870" s="3"/>
      <c r="M870" s="3"/>
      <c r="N870" s="3"/>
      <c r="O870" s="3"/>
      <c r="P870" s="3"/>
      <c r="Q870" s="3"/>
      <c r="R870" s="3"/>
      <c r="S870" s="3"/>
      <c r="T870" s="3"/>
      <c r="U870" s="3"/>
      <c r="V870" s="3"/>
      <c r="W870" s="3"/>
      <c r="X870" s="1"/>
      <c r="Y870" s="1"/>
      <c r="Z870" s="1"/>
    </row>
    <row r="871" ht="12.75" customHeight="1">
      <c r="A871" s="1"/>
      <c r="B871" s="3"/>
      <c r="C871" s="3"/>
      <c r="D871" s="3"/>
      <c r="E871" s="3"/>
      <c r="F871" s="3"/>
      <c r="G871" s="3"/>
      <c r="H871" s="3"/>
      <c r="I871" s="3"/>
      <c r="J871" s="3"/>
      <c r="K871" s="3"/>
      <c r="L871" s="3"/>
      <c r="M871" s="3"/>
      <c r="N871" s="3"/>
      <c r="O871" s="3"/>
      <c r="P871" s="3"/>
      <c r="Q871" s="3"/>
      <c r="R871" s="3"/>
      <c r="S871" s="3"/>
      <c r="T871" s="3"/>
      <c r="U871" s="3"/>
      <c r="V871" s="3"/>
      <c r="W871" s="3"/>
      <c r="X871" s="1"/>
      <c r="Y871" s="1"/>
      <c r="Z871" s="1"/>
    </row>
    <row r="872" ht="12.75" customHeight="1">
      <c r="A872" s="1"/>
      <c r="B872" s="3"/>
      <c r="C872" s="3"/>
      <c r="D872" s="3"/>
      <c r="E872" s="3"/>
      <c r="F872" s="3"/>
      <c r="G872" s="3"/>
      <c r="H872" s="3"/>
      <c r="I872" s="3"/>
      <c r="J872" s="3"/>
      <c r="K872" s="3"/>
      <c r="L872" s="3"/>
      <c r="M872" s="3"/>
      <c r="N872" s="3"/>
      <c r="O872" s="3"/>
      <c r="P872" s="3"/>
      <c r="Q872" s="3"/>
      <c r="R872" s="3"/>
      <c r="S872" s="3"/>
      <c r="T872" s="3"/>
      <c r="U872" s="3"/>
      <c r="V872" s="3"/>
      <c r="W872" s="3"/>
      <c r="X872" s="1"/>
      <c r="Y872" s="1"/>
      <c r="Z872" s="1"/>
    </row>
    <row r="873" ht="12.75" customHeight="1">
      <c r="A873" s="1"/>
      <c r="B873" s="3"/>
      <c r="C873" s="3"/>
      <c r="D873" s="3"/>
      <c r="E873" s="3"/>
      <c r="F873" s="3"/>
      <c r="G873" s="3"/>
      <c r="H873" s="3"/>
      <c r="I873" s="3"/>
      <c r="J873" s="3"/>
      <c r="K873" s="3"/>
      <c r="L873" s="3"/>
      <c r="M873" s="3"/>
      <c r="N873" s="3"/>
      <c r="O873" s="3"/>
      <c r="P873" s="3"/>
      <c r="Q873" s="3"/>
      <c r="R873" s="3"/>
      <c r="S873" s="3"/>
      <c r="T873" s="3"/>
      <c r="U873" s="3"/>
      <c r="V873" s="3"/>
      <c r="W873" s="3"/>
      <c r="X873" s="1"/>
      <c r="Y873" s="1"/>
      <c r="Z873" s="1"/>
    </row>
    <row r="874" ht="12.75" customHeight="1">
      <c r="A874" s="1"/>
      <c r="B874" s="3"/>
      <c r="C874" s="3"/>
      <c r="D874" s="3"/>
      <c r="E874" s="3"/>
      <c r="F874" s="3"/>
      <c r="G874" s="3"/>
      <c r="H874" s="3"/>
      <c r="I874" s="3"/>
      <c r="J874" s="3"/>
      <c r="K874" s="3"/>
      <c r="L874" s="3"/>
      <c r="M874" s="3"/>
      <c r="N874" s="3"/>
      <c r="O874" s="3"/>
      <c r="P874" s="3"/>
      <c r="Q874" s="3"/>
      <c r="R874" s="3"/>
      <c r="S874" s="3"/>
      <c r="T874" s="3"/>
      <c r="U874" s="3"/>
      <c r="V874" s="3"/>
      <c r="W874" s="3"/>
      <c r="X874" s="1"/>
      <c r="Y874" s="1"/>
      <c r="Z874" s="1"/>
    </row>
    <row r="875" ht="12.75" customHeight="1">
      <c r="A875" s="1"/>
      <c r="B875" s="3"/>
      <c r="C875" s="3"/>
      <c r="D875" s="3"/>
      <c r="E875" s="3"/>
      <c r="F875" s="3"/>
      <c r="G875" s="3"/>
      <c r="H875" s="3"/>
      <c r="I875" s="3"/>
      <c r="J875" s="3"/>
      <c r="K875" s="3"/>
      <c r="L875" s="3"/>
      <c r="M875" s="3"/>
      <c r="N875" s="3"/>
      <c r="O875" s="3"/>
      <c r="P875" s="3"/>
      <c r="Q875" s="3"/>
      <c r="R875" s="3"/>
      <c r="S875" s="3"/>
      <c r="T875" s="3"/>
      <c r="U875" s="3"/>
      <c r="V875" s="3"/>
      <c r="W875" s="3"/>
      <c r="X875" s="1"/>
      <c r="Y875" s="1"/>
      <c r="Z875" s="1"/>
    </row>
    <row r="876" ht="12.75" customHeight="1">
      <c r="A876" s="1"/>
      <c r="B876" s="3"/>
      <c r="C876" s="3"/>
      <c r="D876" s="3"/>
      <c r="E876" s="3"/>
      <c r="F876" s="3"/>
      <c r="G876" s="3"/>
      <c r="H876" s="3"/>
      <c r="I876" s="3"/>
      <c r="J876" s="3"/>
      <c r="K876" s="3"/>
      <c r="L876" s="3"/>
      <c r="M876" s="3"/>
      <c r="N876" s="3"/>
      <c r="O876" s="3"/>
      <c r="P876" s="3"/>
      <c r="Q876" s="3"/>
      <c r="R876" s="3"/>
      <c r="S876" s="3"/>
      <c r="T876" s="3"/>
      <c r="U876" s="3"/>
      <c r="V876" s="3"/>
      <c r="W876" s="3"/>
      <c r="X876" s="1"/>
      <c r="Y876" s="1"/>
      <c r="Z876" s="1"/>
    </row>
    <row r="877" ht="12.75" customHeight="1">
      <c r="A877" s="1"/>
      <c r="B877" s="3"/>
      <c r="C877" s="3"/>
      <c r="D877" s="3"/>
      <c r="E877" s="3"/>
      <c r="F877" s="3"/>
      <c r="G877" s="3"/>
      <c r="H877" s="3"/>
      <c r="I877" s="3"/>
      <c r="J877" s="3"/>
      <c r="K877" s="3"/>
      <c r="L877" s="3"/>
      <c r="M877" s="3"/>
      <c r="N877" s="3"/>
      <c r="O877" s="3"/>
      <c r="P877" s="3"/>
      <c r="Q877" s="3"/>
      <c r="R877" s="3"/>
      <c r="S877" s="3"/>
      <c r="T877" s="3"/>
      <c r="U877" s="3"/>
      <c r="V877" s="3"/>
      <c r="W877" s="3"/>
      <c r="X877" s="1"/>
      <c r="Y877" s="1"/>
      <c r="Z877" s="1"/>
    </row>
    <row r="878" ht="12.75" customHeight="1">
      <c r="A878" s="1"/>
      <c r="B878" s="3"/>
      <c r="C878" s="3"/>
      <c r="D878" s="3"/>
      <c r="E878" s="3"/>
      <c r="F878" s="3"/>
      <c r="G878" s="3"/>
      <c r="H878" s="3"/>
      <c r="I878" s="3"/>
      <c r="J878" s="3"/>
      <c r="K878" s="3"/>
      <c r="L878" s="3"/>
      <c r="M878" s="3"/>
      <c r="N878" s="3"/>
      <c r="O878" s="3"/>
      <c r="P878" s="3"/>
      <c r="Q878" s="3"/>
      <c r="R878" s="3"/>
      <c r="S878" s="3"/>
      <c r="T878" s="3"/>
      <c r="U878" s="3"/>
      <c r="V878" s="3"/>
      <c r="W878" s="3"/>
      <c r="X878" s="1"/>
      <c r="Y878" s="1"/>
      <c r="Z878" s="1"/>
    </row>
    <row r="879" ht="12.75" customHeight="1">
      <c r="A879" s="1"/>
      <c r="B879" s="3"/>
      <c r="C879" s="3"/>
      <c r="D879" s="3"/>
      <c r="E879" s="3"/>
      <c r="F879" s="3"/>
      <c r="G879" s="3"/>
      <c r="H879" s="3"/>
      <c r="I879" s="3"/>
      <c r="J879" s="3"/>
      <c r="K879" s="3"/>
      <c r="L879" s="3"/>
      <c r="M879" s="3"/>
      <c r="N879" s="3"/>
      <c r="O879" s="3"/>
      <c r="P879" s="3"/>
      <c r="Q879" s="3"/>
      <c r="R879" s="3"/>
      <c r="S879" s="3"/>
      <c r="T879" s="3"/>
      <c r="U879" s="3"/>
      <c r="V879" s="3"/>
      <c r="W879" s="3"/>
      <c r="X879" s="1"/>
      <c r="Y879" s="1"/>
      <c r="Z879" s="1"/>
    </row>
    <row r="880" ht="12.75" customHeight="1">
      <c r="A880" s="1"/>
      <c r="B880" s="3"/>
      <c r="C880" s="3"/>
      <c r="D880" s="3"/>
      <c r="E880" s="3"/>
      <c r="F880" s="3"/>
      <c r="G880" s="3"/>
      <c r="H880" s="3"/>
      <c r="I880" s="3"/>
      <c r="J880" s="3"/>
      <c r="K880" s="3"/>
      <c r="L880" s="3"/>
      <c r="M880" s="3"/>
      <c r="N880" s="3"/>
      <c r="O880" s="3"/>
      <c r="P880" s="3"/>
      <c r="Q880" s="3"/>
      <c r="R880" s="3"/>
      <c r="S880" s="3"/>
      <c r="T880" s="3"/>
      <c r="U880" s="3"/>
      <c r="V880" s="3"/>
      <c r="W880" s="3"/>
      <c r="X880" s="1"/>
      <c r="Y880" s="1"/>
      <c r="Z880" s="1"/>
    </row>
    <row r="881" ht="12.75" customHeight="1">
      <c r="A881" s="1"/>
      <c r="B881" s="3"/>
      <c r="C881" s="3"/>
      <c r="D881" s="3"/>
      <c r="E881" s="3"/>
      <c r="F881" s="3"/>
      <c r="G881" s="3"/>
      <c r="H881" s="3"/>
      <c r="I881" s="3"/>
      <c r="J881" s="3"/>
      <c r="K881" s="3"/>
      <c r="L881" s="3"/>
      <c r="M881" s="3"/>
      <c r="N881" s="3"/>
      <c r="O881" s="3"/>
      <c r="P881" s="3"/>
      <c r="Q881" s="3"/>
      <c r="R881" s="3"/>
      <c r="S881" s="3"/>
      <c r="T881" s="3"/>
      <c r="U881" s="3"/>
      <c r="V881" s="3"/>
      <c r="W881" s="3"/>
      <c r="X881" s="1"/>
      <c r="Y881" s="1"/>
      <c r="Z881" s="1"/>
    </row>
    <row r="882" ht="12.75" customHeight="1">
      <c r="A882" s="1"/>
      <c r="B882" s="3"/>
      <c r="C882" s="3"/>
      <c r="D882" s="3"/>
      <c r="E882" s="3"/>
      <c r="F882" s="3"/>
      <c r="G882" s="3"/>
      <c r="H882" s="3"/>
      <c r="I882" s="3"/>
      <c r="J882" s="3"/>
      <c r="K882" s="3"/>
      <c r="L882" s="3"/>
      <c r="M882" s="3"/>
      <c r="N882" s="3"/>
      <c r="O882" s="3"/>
      <c r="P882" s="3"/>
      <c r="Q882" s="3"/>
      <c r="R882" s="3"/>
      <c r="S882" s="3"/>
      <c r="T882" s="3"/>
      <c r="U882" s="3"/>
      <c r="V882" s="3"/>
      <c r="W882" s="3"/>
      <c r="X882" s="1"/>
      <c r="Y882" s="1"/>
      <c r="Z882" s="1"/>
    </row>
    <row r="883" ht="12.75" customHeight="1">
      <c r="A883" s="1"/>
      <c r="B883" s="3"/>
      <c r="C883" s="3"/>
      <c r="D883" s="3"/>
      <c r="E883" s="3"/>
      <c r="F883" s="3"/>
      <c r="G883" s="3"/>
      <c r="H883" s="3"/>
      <c r="I883" s="3"/>
      <c r="J883" s="3"/>
      <c r="K883" s="3"/>
      <c r="L883" s="3"/>
      <c r="M883" s="3"/>
      <c r="N883" s="3"/>
      <c r="O883" s="3"/>
      <c r="P883" s="3"/>
      <c r="Q883" s="3"/>
      <c r="R883" s="3"/>
      <c r="S883" s="3"/>
      <c r="T883" s="3"/>
      <c r="U883" s="3"/>
      <c r="V883" s="3"/>
      <c r="W883" s="3"/>
      <c r="X883" s="1"/>
      <c r="Y883" s="1"/>
      <c r="Z883" s="1"/>
    </row>
    <row r="884" ht="12.75" customHeight="1">
      <c r="A884" s="1"/>
      <c r="B884" s="3"/>
      <c r="C884" s="3"/>
      <c r="D884" s="3"/>
      <c r="E884" s="3"/>
      <c r="F884" s="3"/>
      <c r="G884" s="3"/>
      <c r="H884" s="3"/>
      <c r="I884" s="3"/>
      <c r="J884" s="3"/>
      <c r="K884" s="3"/>
      <c r="L884" s="3"/>
      <c r="M884" s="3"/>
      <c r="N884" s="3"/>
      <c r="O884" s="3"/>
      <c r="P884" s="3"/>
      <c r="Q884" s="3"/>
      <c r="R884" s="3"/>
      <c r="S884" s="3"/>
      <c r="T884" s="3"/>
      <c r="U884" s="3"/>
      <c r="V884" s="3"/>
      <c r="W884" s="3"/>
      <c r="X884" s="1"/>
      <c r="Y884" s="1"/>
      <c r="Z884" s="1"/>
    </row>
    <row r="885" ht="12.75" customHeight="1">
      <c r="A885" s="1"/>
      <c r="B885" s="3"/>
      <c r="C885" s="3"/>
      <c r="D885" s="3"/>
      <c r="E885" s="3"/>
      <c r="F885" s="3"/>
      <c r="G885" s="3"/>
      <c r="H885" s="3"/>
      <c r="I885" s="3"/>
      <c r="J885" s="3"/>
      <c r="K885" s="3"/>
      <c r="L885" s="3"/>
      <c r="M885" s="3"/>
      <c r="N885" s="3"/>
      <c r="O885" s="3"/>
      <c r="P885" s="3"/>
      <c r="Q885" s="3"/>
      <c r="R885" s="3"/>
      <c r="S885" s="3"/>
      <c r="T885" s="3"/>
      <c r="U885" s="3"/>
      <c r="V885" s="3"/>
      <c r="W885" s="3"/>
      <c r="X885" s="1"/>
      <c r="Y885" s="1"/>
      <c r="Z885" s="1"/>
    </row>
    <row r="886" ht="12.75" customHeight="1">
      <c r="A886" s="1"/>
      <c r="B886" s="3"/>
      <c r="C886" s="3"/>
      <c r="D886" s="3"/>
      <c r="E886" s="3"/>
      <c r="F886" s="3"/>
      <c r="G886" s="3"/>
      <c r="H886" s="3"/>
      <c r="I886" s="3"/>
      <c r="J886" s="3"/>
      <c r="K886" s="3"/>
      <c r="L886" s="3"/>
      <c r="M886" s="3"/>
      <c r="N886" s="3"/>
      <c r="O886" s="3"/>
      <c r="P886" s="3"/>
      <c r="Q886" s="3"/>
      <c r="R886" s="3"/>
      <c r="S886" s="3"/>
      <c r="T886" s="3"/>
      <c r="U886" s="3"/>
      <c r="V886" s="3"/>
      <c r="W886" s="3"/>
      <c r="X886" s="1"/>
      <c r="Y886" s="1"/>
      <c r="Z886" s="1"/>
    </row>
    <row r="887" ht="12.75" customHeight="1">
      <c r="A887" s="1"/>
      <c r="B887" s="3"/>
      <c r="C887" s="3"/>
      <c r="D887" s="3"/>
      <c r="E887" s="3"/>
      <c r="F887" s="3"/>
      <c r="G887" s="3"/>
      <c r="H887" s="3"/>
      <c r="I887" s="3"/>
      <c r="J887" s="3"/>
      <c r="K887" s="3"/>
      <c r="L887" s="3"/>
      <c r="M887" s="3"/>
      <c r="N887" s="3"/>
      <c r="O887" s="3"/>
      <c r="P887" s="3"/>
      <c r="Q887" s="3"/>
      <c r="R887" s="3"/>
      <c r="S887" s="3"/>
      <c r="T887" s="3"/>
      <c r="U887" s="3"/>
      <c r="V887" s="3"/>
      <c r="W887" s="3"/>
      <c r="X887" s="1"/>
      <c r="Y887" s="1"/>
      <c r="Z887" s="1"/>
    </row>
    <row r="888" ht="12.75" customHeight="1">
      <c r="A888" s="1"/>
      <c r="B888" s="3"/>
      <c r="C888" s="3"/>
      <c r="D888" s="3"/>
      <c r="E888" s="3"/>
      <c r="F888" s="3"/>
      <c r="G888" s="3"/>
      <c r="H888" s="3"/>
      <c r="I888" s="3"/>
      <c r="J888" s="3"/>
      <c r="K888" s="3"/>
      <c r="L888" s="3"/>
      <c r="M888" s="3"/>
      <c r="N888" s="3"/>
      <c r="O888" s="3"/>
      <c r="P888" s="3"/>
      <c r="Q888" s="3"/>
      <c r="R888" s="3"/>
      <c r="S888" s="3"/>
      <c r="T888" s="3"/>
      <c r="U888" s="3"/>
      <c r="V888" s="3"/>
      <c r="W888" s="3"/>
      <c r="X888" s="1"/>
      <c r="Y888" s="1"/>
      <c r="Z888" s="1"/>
    </row>
    <row r="889" ht="12.75" customHeight="1">
      <c r="A889" s="1"/>
      <c r="B889" s="3"/>
      <c r="C889" s="3"/>
      <c r="D889" s="3"/>
      <c r="E889" s="3"/>
      <c r="F889" s="3"/>
      <c r="G889" s="3"/>
      <c r="H889" s="3"/>
      <c r="I889" s="3"/>
      <c r="J889" s="3"/>
      <c r="K889" s="3"/>
      <c r="L889" s="3"/>
      <c r="M889" s="3"/>
      <c r="N889" s="3"/>
      <c r="O889" s="3"/>
      <c r="P889" s="3"/>
      <c r="Q889" s="3"/>
      <c r="R889" s="3"/>
      <c r="S889" s="3"/>
      <c r="T889" s="3"/>
      <c r="U889" s="3"/>
      <c r="V889" s="3"/>
      <c r="W889" s="3"/>
      <c r="X889" s="1"/>
      <c r="Y889" s="1"/>
      <c r="Z889" s="1"/>
    </row>
    <row r="890" ht="12.75" customHeight="1">
      <c r="A890" s="1"/>
      <c r="B890" s="3"/>
      <c r="C890" s="3"/>
      <c r="D890" s="3"/>
      <c r="E890" s="3"/>
      <c r="F890" s="3"/>
      <c r="G890" s="3"/>
      <c r="H890" s="3"/>
      <c r="I890" s="3"/>
      <c r="J890" s="3"/>
      <c r="K890" s="3"/>
      <c r="L890" s="3"/>
      <c r="M890" s="3"/>
      <c r="N890" s="3"/>
      <c r="O890" s="3"/>
      <c r="P890" s="3"/>
      <c r="Q890" s="3"/>
      <c r="R890" s="3"/>
      <c r="S890" s="3"/>
      <c r="T890" s="3"/>
      <c r="U890" s="3"/>
      <c r="V890" s="3"/>
      <c r="W890" s="3"/>
      <c r="X890" s="1"/>
      <c r="Y890" s="1"/>
      <c r="Z890" s="1"/>
    </row>
    <row r="891" ht="12.75" customHeight="1">
      <c r="A891" s="1"/>
      <c r="B891" s="3"/>
      <c r="C891" s="3"/>
      <c r="D891" s="3"/>
      <c r="E891" s="3"/>
      <c r="F891" s="3"/>
      <c r="G891" s="3"/>
      <c r="H891" s="3"/>
      <c r="I891" s="3"/>
      <c r="J891" s="3"/>
      <c r="K891" s="3"/>
      <c r="L891" s="3"/>
      <c r="M891" s="3"/>
      <c r="N891" s="3"/>
      <c r="O891" s="3"/>
      <c r="P891" s="3"/>
      <c r="Q891" s="3"/>
      <c r="R891" s="3"/>
      <c r="S891" s="3"/>
      <c r="T891" s="3"/>
      <c r="U891" s="3"/>
      <c r="V891" s="3"/>
      <c r="W891" s="3"/>
      <c r="X891" s="1"/>
      <c r="Y891" s="1"/>
      <c r="Z891" s="1"/>
    </row>
    <row r="892" ht="12.75" customHeight="1">
      <c r="A892" s="1"/>
      <c r="B892" s="3"/>
      <c r="C892" s="3"/>
      <c r="D892" s="3"/>
      <c r="E892" s="3"/>
      <c r="F892" s="3"/>
      <c r="G892" s="3"/>
      <c r="H892" s="3"/>
      <c r="I892" s="3"/>
      <c r="J892" s="3"/>
      <c r="K892" s="3"/>
      <c r="L892" s="3"/>
      <c r="M892" s="3"/>
      <c r="N892" s="3"/>
      <c r="O892" s="3"/>
      <c r="P892" s="3"/>
      <c r="Q892" s="3"/>
      <c r="R892" s="3"/>
      <c r="S892" s="3"/>
      <c r="T892" s="3"/>
      <c r="U892" s="3"/>
      <c r="V892" s="3"/>
      <c r="W892" s="3"/>
      <c r="X892" s="1"/>
      <c r="Y892" s="1"/>
      <c r="Z892" s="1"/>
    </row>
    <row r="893" ht="12.75" customHeight="1">
      <c r="A893" s="1"/>
      <c r="B893" s="3"/>
      <c r="C893" s="3"/>
      <c r="D893" s="3"/>
      <c r="E893" s="3"/>
      <c r="F893" s="3"/>
      <c r="G893" s="3"/>
      <c r="H893" s="3"/>
      <c r="I893" s="3"/>
      <c r="J893" s="3"/>
      <c r="K893" s="3"/>
      <c r="L893" s="3"/>
      <c r="M893" s="3"/>
      <c r="N893" s="3"/>
      <c r="O893" s="3"/>
      <c r="P893" s="3"/>
      <c r="Q893" s="3"/>
      <c r="R893" s="3"/>
      <c r="S893" s="3"/>
      <c r="T893" s="3"/>
      <c r="U893" s="3"/>
      <c r="V893" s="3"/>
      <c r="W893" s="3"/>
      <c r="X893" s="1"/>
      <c r="Y893" s="1"/>
      <c r="Z893" s="1"/>
    </row>
    <row r="894" ht="12.75" customHeight="1">
      <c r="A894" s="1"/>
      <c r="B894" s="3"/>
      <c r="C894" s="3"/>
      <c r="D894" s="3"/>
      <c r="E894" s="3"/>
      <c r="F894" s="3"/>
      <c r="G894" s="3"/>
      <c r="H894" s="3"/>
      <c r="I894" s="3"/>
      <c r="J894" s="3"/>
      <c r="K894" s="3"/>
      <c r="L894" s="3"/>
      <c r="M894" s="3"/>
      <c r="N894" s="3"/>
      <c r="O894" s="3"/>
      <c r="P894" s="3"/>
      <c r="Q894" s="3"/>
      <c r="R894" s="3"/>
      <c r="S894" s="3"/>
      <c r="T894" s="3"/>
      <c r="U894" s="3"/>
      <c r="V894" s="3"/>
      <c r="W894" s="3"/>
      <c r="X894" s="1"/>
      <c r="Y894" s="1"/>
      <c r="Z894" s="1"/>
    </row>
    <row r="895" ht="12.75" customHeight="1">
      <c r="A895" s="1"/>
      <c r="B895" s="3"/>
      <c r="C895" s="3"/>
      <c r="D895" s="3"/>
      <c r="E895" s="3"/>
      <c r="F895" s="3"/>
      <c r="G895" s="3"/>
      <c r="H895" s="3"/>
      <c r="I895" s="3"/>
      <c r="J895" s="3"/>
      <c r="K895" s="3"/>
      <c r="L895" s="3"/>
      <c r="M895" s="3"/>
      <c r="N895" s="3"/>
      <c r="O895" s="3"/>
      <c r="P895" s="3"/>
      <c r="Q895" s="3"/>
      <c r="R895" s="3"/>
      <c r="S895" s="3"/>
      <c r="T895" s="3"/>
      <c r="U895" s="3"/>
      <c r="V895" s="3"/>
      <c r="W895" s="3"/>
      <c r="X895" s="1"/>
      <c r="Y895" s="1"/>
      <c r="Z895" s="1"/>
    </row>
    <row r="896" ht="12.75" customHeight="1">
      <c r="A896" s="1"/>
      <c r="B896" s="3"/>
      <c r="C896" s="3"/>
      <c r="D896" s="3"/>
      <c r="E896" s="3"/>
      <c r="F896" s="3"/>
      <c r="G896" s="3"/>
      <c r="H896" s="3"/>
      <c r="I896" s="3"/>
      <c r="J896" s="3"/>
      <c r="K896" s="3"/>
      <c r="L896" s="3"/>
      <c r="M896" s="3"/>
      <c r="N896" s="3"/>
      <c r="O896" s="3"/>
      <c r="P896" s="3"/>
      <c r="Q896" s="3"/>
      <c r="R896" s="3"/>
      <c r="S896" s="3"/>
      <c r="T896" s="3"/>
      <c r="U896" s="3"/>
      <c r="V896" s="3"/>
      <c r="W896" s="3"/>
      <c r="X896" s="1"/>
      <c r="Y896" s="1"/>
      <c r="Z896" s="1"/>
    </row>
    <row r="897" ht="12.75" customHeight="1">
      <c r="A897" s="1"/>
      <c r="B897" s="3"/>
      <c r="C897" s="3"/>
      <c r="D897" s="3"/>
      <c r="E897" s="3"/>
      <c r="F897" s="3"/>
      <c r="G897" s="3"/>
      <c r="H897" s="3"/>
      <c r="I897" s="3"/>
      <c r="J897" s="3"/>
      <c r="K897" s="3"/>
      <c r="L897" s="3"/>
      <c r="M897" s="3"/>
      <c r="N897" s="3"/>
      <c r="O897" s="3"/>
      <c r="P897" s="3"/>
      <c r="Q897" s="3"/>
      <c r="R897" s="3"/>
      <c r="S897" s="3"/>
      <c r="T897" s="3"/>
      <c r="U897" s="3"/>
      <c r="V897" s="3"/>
      <c r="W897" s="3"/>
      <c r="X897" s="1"/>
      <c r="Y897" s="1"/>
      <c r="Z897" s="1"/>
    </row>
    <row r="898" ht="12.75" customHeight="1">
      <c r="A898" s="1"/>
      <c r="B898" s="3"/>
      <c r="C898" s="3"/>
      <c r="D898" s="3"/>
      <c r="E898" s="3"/>
      <c r="F898" s="3"/>
      <c r="G898" s="3"/>
      <c r="H898" s="3"/>
      <c r="I898" s="3"/>
      <c r="J898" s="3"/>
      <c r="K898" s="3"/>
      <c r="L898" s="3"/>
      <c r="M898" s="3"/>
      <c r="N898" s="3"/>
      <c r="O898" s="3"/>
      <c r="P898" s="3"/>
      <c r="Q898" s="3"/>
      <c r="R898" s="3"/>
      <c r="S898" s="3"/>
      <c r="T898" s="3"/>
      <c r="U898" s="3"/>
      <c r="V898" s="3"/>
      <c r="W898" s="3"/>
      <c r="X898" s="1"/>
      <c r="Y898" s="1"/>
      <c r="Z898" s="1"/>
    </row>
    <row r="899" ht="12.75" customHeight="1">
      <c r="A899" s="1"/>
      <c r="B899" s="3"/>
      <c r="C899" s="3"/>
      <c r="D899" s="3"/>
      <c r="E899" s="3"/>
      <c r="F899" s="3"/>
      <c r="G899" s="3"/>
      <c r="H899" s="3"/>
      <c r="I899" s="3"/>
      <c r="J899" s="3"/>
      <c r="K899" s="3"/>
      <c r="L899" s="3"/>
      <c r="M899" s="3"/>
      <c r="N899" s="3"/>
      <c r="O899" s="3"/>
      <c r="P899" s="3"/>
      <c r="Q899" s="3"/>
      <c r="R899" s="3"/>
      <c r="S899" s="3"/>
      <c r="T899" s="3"/>
      <c r="U899" s="3"/>
      <c r="V899" s="3"/>
      <c r="W899" s="3"/>
      <c r="X899" s="1"/>
      <c r="Y899" s="1"/>
      <c r="Z899" s="1"/>
    </row>
    <row r="900" ht="12.75" customHeight="1">
      <c r="A900" s="1"/>
      <c r="B900" s="3"/>
      <c r="C900" s="3"/>
      <c r="D900" s="3"/>
      <c r="E900" s="3"/>
      <c r="F900" s="3"/>
      <c r="G900" s="3"/>
      <c r="H900" s="3"/>
      <c r="I900" s="3"/>
      <c r="J900" s="3"/>
      <c r="K900" s="3"/>
      <c r="L900" s="3"/>
      <c r="M900" s="3"/>
      <c r="N900" s="3"/>
      <c r="O900" s="3"/>
      <c r="P900" s="3"/>
      <c r="Q900" s="3"/>
      <c r="R900" s="3"/>
      <c r="S900" s="3"/>
      <c r="T900" s="3"/>
      <c r="U900" s="3"/>
      <c r="V900" s="3"/>
      <c r="W900" s="3"/>
      <c r="X900" s="1"/>
      <c r="Y900" s="1"/>
      <c r="Z900" s="1"/>
    </row>
    <row r="901" ht="12.75" customHeight="1">
      <c r="A901" s="1"/>
      <c r="B901" s="3"/>
      <c r="C901" s="3"/>
      <c r="D901" s="3"/>
      <c r="E901" s="3"/>
      <c r="F901" s="3"/>
      <c r="G901" s="3"/>
      <c r="H901" s="3"/>
      <c r="I901" s="3"/>
      <c r="J901" s="3"/>
      <c r="K901" s="3"/>
      <c r="L901" s="3"/>
      <c r="M901" s="3"/>
      <c r="N901" s="3"/>
      <c r="O901" s="3"/>
      <c r="P901" s="3"/>
      <c r="Q901" s="3"/>
      <c r="R901" s="3"/>
      <c r="S901" s="3"/>
      <c r="T901" s="3"/>
      <c r="U901" s="3"/>
      <c r="V901" s="3"/>
      <c r="W901" s="3"/>
      <c r="X901" s="1"/>
      <c r="Y901" s="1"/>
      <c r="Z901" s="1"/>
    </row>
    <row r="902" ht="12.75" customHeight="1">
      <c r="A902" s="1"/>
      <c r="B902" s="3"/>
      <c r="C902" s="3"/>
      <c r="D902" s="3"/>
      <c r="E902" s="3"/>
      <c r="F902" s="3"/>
      <c r="G902" s="3"/>
      <c r="H902" s="3"/>
      <c r="I902" s="3"/>
      <c r="J902" s="3"/>
      <c r="K902" s="3"/>
      <c r="L902" s="3"/>
      <c r="M902" s="3"/>
      <c r="N902" s="3"/>
      <c r="O902" s="3"/>
      <c r="P902" s="3"/>
      <c r="Q902" s="3"/>
      <c r="R902" s="3"/>
      <c r="S902" s="3"/>
      <c r="T902" s="3"/>
      <c r="U902" s="3"/>
      <c r="V902" s="3"/>
      <c r="W902" s="3"/>
      <c r="X902" s="1"/>
      <c r="Y902" s="1"/>
      <c r="Z902" s="1"/>
    </row>
    <row r="903" ht="12.75" customHeight="1">
      <c r="A903" s="1"/>
      <c r="B903" s="3"/>
      <c r="C903" s="3"/>
      <c r="D903" s="3"/>
      <c r="E903" s="3"/>
      <c r="F903" s="3"/>
      <c r="G903" s="3"/>
      <c r="H903" s="3"/>
      <c r="I903" s="3"/>
      <c r="J903" s="3"/>
      <c r="K903" s="3"/>
      <c r="L903" s="3"/>
      <c r="M903" s="3"/>
      <c r="N903" s="3"/>
      <c r="O903" s="3"/>
      <c r="P903" s="3"/>
      <c r="Q903" s="3"/>
      <c r="R903" s="3"/>
      <c r="S903" s="3"/>
      <c r="T903" s="3"/>
      <c r="U903" s="3"/>
      <c r="V903" s="3"/>
      <c r="W903" s="3"/>
      <c r="X903" s="1"/>
      <c r="Y903" s="1"/>
      <c r="Z903" s="1"/>
    </row>
    <row r="904" ht="12.75" customHeight="1">
      <c r="A904" s="1"/>
      <c r="B904" s="3"/>
      <c r="C904" s="3"/>
      <c r="D904" s="3"/>
      <c r="E904" s="3"/>
      <c r="F904" s="3"/>
      <c r="G904" s="3"/>
      <c r="H904" s="3"/>
      <c r="I904" s="3"/>
      <c r="J904" s="3"/>
      <c r="K904" s="3"/>
      <c r="L904" s="3"/>
      <c r="M904" s="3"/>
      <c r="N904" s="3"/>
      <c r="O904" s="3"/>
      <c r="P904" s="3"/>
      <c r="Q904" s="3"/>
      <c r="R904" s="3"/>
      <c r="S904" s="3"/>
      <c r="T904" s="3"/>
      <c r="U904" s="3"/>
      <c r="V904" s="3"/>
      <c r="W904" s="3"/>
      <c r="X904" s="1"/>
      <c r="Y904" s="1"/>
      <c r="Z904" s="1"/>
    </row>
    <row r="905" ht="12.75" customHeight="1">
      <c r="A905" s="1"/>
      <c r="B905" s="3"/>
      <c r="C905" s="3"/>
      <c r="D905" s="3"/>
      <c r="E905" s="3"/>
      <c r="F905" s="3"/>
      <c r="G905" s="3"/>
      <c r="H905" s="3"/>
      <c r="I905" s="3"/>
      <c r="J905" s="3"/>
      <c r="K905" s="3"/>
      <c r="L905" s="3"/>
      <c r="M905" s="3"/>
      <c r="N905" s="3"/>
      <c r="O905" s="3"/>
      <c r="P905" s="3"/>
      <c r="Q905" s="3"/>
      <c r="R905" s="3"/>
      <c r="S905" s="3"/>
      <c r="T905" s="3"/>
      <c r="U905" s="3"/>
      <c r="V905" s="3"/>
      <c r="W905" s="3"/>
      <c r="X905" s="1"/>
      <c r="Y905" s="1"/>
      <c r="Z905" s="1"/>
    </row>
    <row r="906" ht="12.75" customHeight="1">
      <c r="A906" s="1"/>
      <c r="B906" s="3"/>
      <c r="C906" s="3"/>
      <c r="D906" s="3"/>
      <c r="E906" s="3"/>
      <c r="F906" s="3"/>
      <c r="G906" s="3"/>
      <c r="H906" s="3"/>
      <c r="I906" s="3"/>
      <c r="J906" s="3"/>
      <c r="K906" s="3"/>
      <c r="L906" s="3"/>
      <c r="M906" s="3"/>
      <c r="N906" s="3"/>
      <c r="O906" s="3"/>
      <c r="P906" s="3"/>
      <c r="Q906" s="3"/>
      <c r="R906" s="3"/>
      <c r="S906" s="3"/>
      <c r="T906" s="3"/>
      <c r="U906" s="3"/>
      <c r="V906" s="3"/>
      <c r="W906" s="3"/>
      <c r="X906" s="1"/>
      <c r="Y906" s="1"/>
      <c r="Z906" s="1"/>
    </row>
    <row r="907" ht="12.75" customHeight="1">
      <c r="A907" s="1"/>
      <c r="B907" s="3"/>
      <c r="C907" s="3"/>
      <c r="D907" s="3"/>
      <c r="E907" s="3"/>
      <c r="F907" s="3"/>
      <c r="G907" s="3"/>
      <c r="H907" s="3"/>
      <c r="I907" s="3"/>
      <c r="J907" s="3"/>
      <c r="K907" s="3"/>
      <c r="L907" s="3"/>
      <c r="M907" s="3"/>
      <c r="N907" s="3"/>
      <c r="O907" s="3"/>
      <c r="P907" s="3"/>
      <c r="Q907" s="3"/>
      <c r="R907" s="3"/>
      <c r="S907" s="3"/>
      <c r="T907" s="3"/>
      <c r="U907" s="3"/>
      <c r="V907" s="3"/>
      <c r="W907" s="3"/>
      <c r="X907" s="1"/>
      <c r="Y907" s="1"/>
      <c r="Z907" s="1"/>
    </row>
    <row r="908" ht="12.75" customHeight="1">
      <c r="A908" s="1"/>
      <c r="B908" s="3"/>
      <c r="C908" s="3"/>
      <c r="D908" s="3"/>
      <c r="E908" s="3"/>
      <c r="F908" s="3"/>
      <c r="G908" s="3"/>
      <c r="H908" s="3"/>
      <c r="I908" s="3"/>
      <c r="J908" s="3"/>
      <c r="K908" s="3"/>
      <c r="L908" s="3"/>
      <c r="M908" s="3"/>
      <c r="N908" s="3"/>
      <c r="O908" s="3"/>
      <c r="P908" s="3"/>
      <c r="Q908" s="3"/>
      <c r="R908" s="3"/>
      <c r="S908" s="3"/>
      <c r="T908" s="3"/>
      <c r="U908" s="3"/>
      <c r="V908" s="3"/>
      <c r="W908" s="3"/>
      <c r="X908" s="1"/>
      <c r="Y908" s="1"/>
      <c r="Z908" s="1"/>
    </row>
    <row r="909" ht="12.75" customHeight="1">
      <c r="A909" s="1"/>
      <c r="B909" s="3"/>
      <c r="C909" s="3"/>
      <c r="D909" s="3"/>
      <c r="E909" s="3"/>
      <c r="F909" s="3"/>
      <c r="G909" s="3"/>
      <c r="H909" s="3"/>
      <c r="I909" s="3"/>
      <c r="J909" s="3"/>
      <c r="K909" s="3"/>
      <c r="L909" s="3"/>
      <c r="M909" s="3"/>
      <c r="N909" s="3"/>
      <c r="O909" s="3"/>
      <c r="P909" s="3"/>
      <c r="Q909" s="3"/>
      <c r="R909" s="3"/>
      <c r="S909" s="3"/>
      <c r="T909" s="3"/>
      <c r="U909" s="3"/>
      <c r="V909" s="3"/>
      <c r="W909" s="3"/>
      <c r="X909" s="1"/>
      <c r="Y909" s="1"/>
      <c r="Z909" s="1"/>
    </row>
    <row r="910" ht="12.75" customHeight="1">
      <c r="A910" s="1"/>
      <c r="B910" s="3"/>
      <c r="C910" s="3"/>
      <c r="D910" s="3"/>
      <c r="E910" s="3"/>
      <c r="F910" s="3"/>
      <c r="G910" s="3"/>
      <c r="H910" s="3"/>
      <c r="I910" s="3"/>
      <c r="J910" s="3"/>
      <c r="K910" s="3"/>
      <c r="L910" s="3"/>
      <c r="M910" s="3"/>
      <c r="N910" s="3"/>
      <c r="O910" s="3"/>
      <c r="P910" s="3"/>
      <c r="Q910" s="3"/>
      <c r="R910" s="3"/>
      <c r="S910" s="3"/>
      <c r="T910" s="3"/>
      <c r="U910" s="3"/>
      <c r="V910" s="3"/>
      <c r="W910" s="3"/>
      <c r="X910" s="1"/>
      <c r="Y910" s="1"/>
      <c r="Z910" s="1"/>
    </row>
    <row r="911" ht="12.75" customHeight="1">
      <c r="A911" s="1"/>
      <c r="B911" s="3"/>
      <c r="C911" s="3"/>
      <c r="D911" s="3"/>
      <c r="E911" s="3"/>
      <c r="F911" s="3"/>
      <c r="G911" s="3"/>
      <c r="H911" s="3"/>
      <c r="I911" s="3"/>
      <c r="J911" s="3"/>
      <c r="K911" s="3"/>
      <c r="L911" s="3"/>
      <c r="M911" s="3"/>
      <c r="N911" s="3"/>
      <c r="O911" s="3"/>
      <c r="P911" s="3"/>
      <c r="Q911" s="3"/>
      <c r="R911" s="3"/>
      <c r="S911" s="3"/>
      <c r="T911" s="3"/>
      <c r="U911" s="3"/>
      <c r="V911" s="3"/>
      <c r="W911" s="3"/>
      <c r="X911" s="1"/>
      <c r="Y911" s="1"/>
      <c r="Z911" s="1"/>
    </row>
    <row r="912" ht="12.75" customHeight="1">
      <c r="A912" s="1"/>
      <c r="B912" s="3"/>
      <c r="C912" s="3"/>
      <c r="D912" s="3"/>
      <c r="E912" s="3"/>
      <c r="F912" s="3"/>
      <c r="G912" s="3"/>
      <c r="H912" s="3"/>
      <c r="I912" s="3"/>
      <c r="J912" s="3"/>
      <c r="K912" s="3"/>
      <c r="L912" s="3"/>
      <c r="M912" s="3"/>
      <c r="N912" s="3"/>
      <c r="O912" s="3"/>
      <c r="P912" s="3"/>
      <c r="Q912" s="3"/>
      <c r="R912" s="3"/>
      <c r="S912" s="3"/>
      <c r="T912" s="3"/>
      <c r="U912" s="3"/>
      <c r="V912" s="3"/>
      <c r="W912" s="3"/>
      <c r="X912" s="1"/>
      <c r="Y912" s="1"/>
      <c r="Z912" s="1"/>
    </row>
    <row r="913" ht="12.75" customHeight="1">
      <c r="A913" s="1"/>
      <c r="B913" s="3"/>
      <c r="C913" s="3"/>
      <c r="D913" s="3"/>
      <c r="E913" s="3"/>
      <c r="F913" s="3"/>
      <c r="G913" s="3"/>
      <c r="H913" s="3"/>
      <c r="I913" s="3"/>
      <c r="J913" s="3"/>
      <c r="K913" s="3"/>
      <c r="L913" s="3"/>
      <c r="M913" s="3"/>
      <c r="N913" s="3"/>
      <c r="O913" s="3"/>
      <c r="P913" s="3"/>
      <c r="Q913" s="3"/>
      <c r="R913" s="3"/>
      <c r="S913" s="3"/>
      <c r="T913" s="3"/>
      <c r="U913" s="3"/>
      <c r="V913" s="3"/>
      <c r="W913" s="3"/>
      <c r="X913" s="1"/>
      <c r="Y913" s="1"/>
      <c r="Z913" s="1"/>
    </row>
    <row r="914" ht="12.75" customHeight="1">
      <c r="A914" s="1"/>
      <c r="B914" s="3"/>
      <c r="C914" s="3"/>
      <c r="D914" s="3"/>
      <c r="E914" s="3"/>
      <c r="F914" s="3"/>
      <c r="G914" s="3"/>
      <c r="H914" s="3"/>
      <c r="I914" s="3"/>
      <c r="J914" s="3"/>
      <c r="K914" s="3"/>
      <c r="L914" s="3"/>
      <c r="M914" s="3"/>
      <c r="N914" s="3"/>
      <c r="O914" s="3"/>
      <c r="P914" s="3"/>
      <c r="Q914" s="3"/>
      <c r="R914" s="3"/>
      <c r="S914" s="3"/>
      <c r="T914" s="3"/>
      <c r="U914" s="3"/>
      <c r="V914" s="3"/>
      <c r="W914" s="3"/>
      <c r="X914" s="1"/>
      <c r="Y914" s="1"/>
      <c r="Z914" s="1"/>
    </row>
    <row r="915" ht="12.75" customHeight="1">
      <c r="A915" s="1"/>
      <c r="B915" s="3"/>
      <c r="C915" s="3"/>
      <c r="D915" s="3"/>
      <c r="E915" s="3"/>
      <c r="F915" s="3"/>
      <c r="G915" s="3"/>
      <c r="H915" s="3"/>
      <c r="I915" s="3"/>
      <c r="J915" s="3"/>
      <c r="K915" s="3"/>
      <c r="L915" s="3"/>
      <c r="M915" s="3"/>
      <c r="N915" s="3"/>
      <c r="O915" s="3"/>
      <c r="P915" s="3"/>
      <c r="Q915" s="3"/>
      <c r="R915" s="3"/>
      <c r="S915" s="3"/>
      <c r="T915" s="3"/>
      <c r="U915" s="3"/>
      <c r="V915" s="3"/>
      <c r="W915" s="3"/>
      <c r="X915" s="1"/>
      <c r="Y915" s="1"/>
      <c r="Z915" s="1"/>
    </row>
    <row r="916" ht="12.75" customHeight="1">
      <c r="A916" s="1"/>
      <c r="B916" s="3"/>
      <c r="C916" s="3"/>
      <c r="D916" s="3"/>
      <c r="E916" s="3"/>
      <c r="F916" s="3"/>
      <c r="G916" s="3"/>
      <c r="H916" s="3"/>
      <c r="I916" s="3"/>
      <c r="J916" s="3"/>
      <c r="K916" s="3"/>
      <c r="L916" s="3"/>
      <c r="M916" s="3"/>
      <c r="N916" s="3"/>
      <c r="O916" s="3"/>
      <c r="P916" s="3"/>
      <c r="Q916" s="3"/>
      <c r="R916" s="3"/>
      <c r="S916" s="3"/>
      <c r="T916" s="3"/>
      <c r="U916" s="3"/>
      <c r="V916" s="3"/>
      <c r="W916" s="3"/>
      <c r="X916" s="1"/>
      <c r="Y916" s="1"/>
      <c r="Z916" s="1"/>
    </row>
    <row r="917" ht="12.75" customHeight="1">
      <c r="A917" s="1"/>
      <c r="B917" s="3"/>
      <c r="C917" s="3"/>
      <c r="D917" s="3"/>
      <c r="E917" s="3"/>
      <c r="F917" s="3"/>
      <c r="G917" s="3"/>
      <c r="H917" s="3"/>
      <c r="I917" s="3"/>
      <c r="J917" s="3"/>
      <c r="K917" s="3"/>
      <c r="L917" s="3"/>
      <c r="M917" s="3"/>
      <c r="N917" s="3"/>
      <c r="O917" s="3"/>
      <c r="P917" s="3"/>
      <c r="Q917" s="3"/>
      <c r="R917" s="3"/>
      <c r="S917" s="3"/>
      <c r="T917" s="3"/>
      <c r="U917" s="3"/>
      <c r="V917" s="3"/>
      <c r="W917" s="3"/>
      <c r="X917" s="1"/>
      <c r="Y917" s="1"/>
      <c r="Z917" s="1"/>
    </row>
    <row r="918" ht="12.75" customHeight="1">
      <c r="A918" s="1"/>
      <c r="B918" s="3"/>
      <c r="C918" s="3"/>
      <c r="D918" s="3"/>
      <c r="E918" s="3"/>
      <c r="F918" s="3"/>
      <c r="G918" s="3"/>
      <c r="H918" s="3"/>
      <c r="I918" s="3"/>
      <c r="J918" s="3"/>
      <c r="K918" s="3"/>
      <c r="L918" s="3"/>
      <c r="M918" s="3"/>
      <c r="N918" s="3"/>
      <c r="O918" s="3"/>
      <c r="P918" s="3"/>
      <c r="Q918" s="3"/>
      <c r="R918" s="3"/>
      <c r="S918" s="3"/>
      <c r="T918" s="3"/>
      <c r="U918" s="3"/>
      <c r="V918" s="3"/>
      <c r="W918" s="3"/>
      <c r="X918" s="1"/>
      <c r="Y918" s="1"/>
      <c r="Z918" s="1"/>
    </row>
    <row r="919" ht="12.75" customHeight="1">
      <c r="A919" s="1"/>
      <c r="B919" s="3"/>
      <c r="C919" s="3"/>
      <c r="D919" s="3"/>
      <c r="E919" s="3"/>
      <c r="F919" s="3"/>
      <c r="G919" s="3"/>
      <c r="H919" s="3"/>
      <c r="I919" s="3"/>
      <c r="J919" s="3"/>
      <c r="K919" s="3"/>
      <c r="L919" s="3"/>
      <c r="M919" s="3"/>
      <c r="N919" s="3"/>
      <c r="O919" s="3"/>
      <c r="P919" s="3"/>
      <c r="Q919" s="3"/>
      <c r="R919" s="3"/>
      <c r="S919" s="3"/>
      <c r="T919" s="3"/>
      <c r="U919" s="3"/>
      <c r="V919" s="3"/>
      <c r="W919" s="3"/>
      <c r="X919" s="1"/>
      <c r="Y919" s="1"/>
      <c r="Z919" s="1"/>
    </row>
    <row r="920" ht="12.75" customHeight="1">
      <c r="A920" s="1"/>
      <c r="B920" s="3"/>
      <c r="C920" s="3"/>
      <c r="D920" s="3"/>
      <c r="E920" s="3"/>
      <c r="F920" s="3"/>
      <c r="G920" s="3"/>
      <c r="H920" s="3"/>
      <c r="I920" s="3"/>
      <c r="J920" s="3"/>
      <c r="K920" s="3"/>
      <c r="L920" s="3"/>
      <c r="M920" s="3"/>
      <c r="N920" s="3"/>
      <c r="O920" s="3"/>
      <c r="P920" s="3"/>
      <c r="Q920" s="3"/>
      <c r="R920" s="3"/>
      <c r="S920" s="3"/>
      <c r="T920" s="3"/>
      <c r="U920" s="3"/>
      <c r="V920" s="3"/>
      <c r="W920" s="3"/>
      <c r="X920" s="1"/>
      <c r="Y920" s="1"/>
      <c r="Z920" s="1"/>
    </row>
    <row r="921" ht="12.75" customHeight="1">
      <c r="A921" s="1"/>
      <c r="B921" s="3"/>
      <c r="C921" s="3"/>
      <c r="D921" s="3"/>
      <c r="E921" s="3"/>
      <c r="F921" s="3"/>
      <c r="G921" s="3"/>
      <c r="H921" s="3"/>
      <c r="I921" s="3"/>
      <c r="J921" s="3"/>
      <c r="K921" s="3"/>
      <c r="L921" s="3"/>
      <c r="M921" s="3"/>
      <c r="N921" s="3"/>
      <c r="O921" s="3"/>
      <c r="P921" s="3"/>
      <c r="Q921" s="3"/>
      <c r="R921" s="3"/>
      <c r="S921" s="3"/>
      <c r="T921" s="3"/>
      <c r="U921" s="3"/>
      <c r="V921" s="3"/>
      <c r="W921" s="3"/>
      <c r="X921" s="1"/>
      <c r="Y921" s="1"/>
      <c r="Z921" s="1"/>
    </row>
    <row r="922" ht="12.75" customHeight="1">
      <c r="A922" s="1"/>
      <c r="B922" s="3"/>
      <c r="C922" s="3"/>
      <c r="D922" s="3"/>
      <c r="E922" s="3"/>
      <c r="F922" s="3"/>
      <c r="G922" s="3"/>
      <c r="H922" s="3"/>
      <c r="I922" s="3"/>
      <c r="J922" s="3"/>
      <c r="K922" s="3"/>
      <c r="L922" s="3"/>
      <c r="M922" s="3"/>
      <c r="N922" s="3"/>
      <c r="O922" s="3"/>
      <c r="P922" s="3"/>
      <c r="Q922" s="3"/>
      <c r="R922" s="3"/>
      <c r="S922" s="3"/>
      <c r="T922" s="3"/>
      <c r="U922" s="3"/>
      <c r="V922" s="3"/>
      <c r="W922" s="3"/>
      <c r="X922" s="1"/>
      <c r="Y922" s="1"/>
      <c r="Z922" s="1"/>
    </row>
    <row r="923" ht="12.75" customHeight="1">
      <c r="A923" s="1"/>
      <c r="B923" s="3"/>
      <c r="C923" s="3"/>
      <c r="D923" s="3"/>
      <c r="E923" s="3"/>
      <c r="F923" s="3"/>
      <c r="G923" s="3"/>
      <c r="H923" s="3"/>
      <c r="I923" s="3"/>
      <c r="J923" s="3"/>
      <c r="K923" s="3"/>
      <c r="L923" s="3"/>
      <c r="M923" s="3"/>
      <c r="N923" s="3"/>
      <c r="O923" s="3"/>
      <c r="P923" s="3"/>
      <c r="Q923" s="3"/>
      <c r="R923" s="3"/>
      <c r="S923" s="3"/>
      <c r="T923" s="3"/>
      <c r="U923" s="3"/>
      <c r="V923" s="3"/>
      <c r="W923" s="3"/>
      <c r="X923" s="1"/>
      <c r="Y923" s="1"/>
      <c r="Z923" s="1"/>
    </row>
    <row r="924" ht="12.75" customHeight="1">
      <c r="A924" s="1"/>
      <c r="B924" s="3"/>
      <c r="C924" s="3"/>
      <c r="D924" s="3"/>
      <c r="E924" s="3"/>
      <c r="F924" s="3"/>
      <c r="G924" s="3"/>
      <c r="H924" s="3"/>
      <c r="I924" s="3"/>
      <c r="J924" s="3"/>
      <c r="K924" s="3"/>
      <c r="L924" s="3"/>
      <c r="M924" s="3"/>
      <c r="N924" s="3"/>
      <c r="O924" s="3"/>
      <c r="P924" s="3"/>
      <c r="Q924" s="3"/>
      <c r="R924" s="3"/>
      <c r="S924" s="3"/>
      <c r="T924" s="3"/>
      <c r="U924" s="3"/>
      <c r="V924" s="3"/>
      <c r="W924" s="3"/>
      <c r="X924" s="1"/>
      <c r="Y924" s="1"/>
      <c r="Z924" s="1"/>
    </row>
    <row r="925" ht="12.75" customHeight="1">
      <c r="A925" s="1"/>
      <c r="B925" s="3"/>
      <c r="C925" s="3"/>
      <c r="D925" s="3"/>
      <c r="E925" s="3"/>
      <c r="F925" s="3"/>
      <c r="G925" s="3"/>
      <c r="H925" s="3"/>
      <c r="I925" s="3"/>
      <c r="J925" s="3"/>
      <c r="K925" s="3"/>
      <c r="L925" s="3"/>
      <c r="M925" s="3"/>
      <c r="N925" s="3"/>
      <c r="O925" s="3"/>
      <c r="P925" s="3"/>
      <c r="Q925" s="3"/>
      <c r="R925" s="3"/>
      <c r="S925" s="3"/>
      <c r="T925" s="3"/>
      <c r="U925" s="3"/>
      <c r="V925" s="3"/>
      <c r="W925" s="3"/>
      <c r="X925" s="1"/>
      <c r="Y925" s="1"/>
      <c r="Z925" s="1"/>
    </row>
    <row r="926" ht="12.75" customHeight="1">
      <c r="A926" s="1"/>
      <c r="B926" s="3"/>
      <c r="C926" s="3"/>
      <c r="D926" s="3"/>
      <c r="E926" s="3"/>
      <c r="F926" s="3"/>
      <c r="G926" s="3"/>
      <c r="H926" s="3"/>
      <c r="I926" s="3"/>
      <c r="J926" s="3"/>
      <c r="K926" s="3"/>
      <c r="L926" s="3"/>
      <c r="M926" s="3"/>
      <c r="N926" s="3"/>
      <c r="O926" s="3"/>
      <c r="P926" s="3"/>
      <c r="Q926" s="3"/>
      <c r="R926" s="3"/>
      <c r="S926" s="3"/>
      <c r="T926" s="3"/>
      <c r="U926" s="3"/>
      <c r="V926" s="3"/>
      <c r="W926" s="3"/>
      <c r="X926" s="1"/>
      <c r="Y926" s="1"/>
      <c r="Z926" s="1"/>
    </row>
    <row r="927" ht="12.75" customHeight="1">
      <c r="A927" s="1"/>
      <c r="B927" s="3"/>
      <c r="C927" s="3"/>
      <c r="D927" s="3"/>
      <c r="E927" s="3"/>
      <c r="F927" s="3"/>
      <c r="G927" s="3"/>
      <c r="H927" s="3"/>
      <c r="I927" s="3"/>
      <c r="J927" s="3"/>
      <c r="K927" s="3"/>
      <c r="L927" s="3"/>
      <c r="M927" s="3"/>
      <c r="N927" s="3"/>
      <c r="O927" s="3"/>
      <c r="P927" s="3"/>
      <c r="Q927" s="3"/>
      <c r="R927" s="3"/>
      <c r="S927" s="3"/>
      <c r="T927" s="3"/>
      <c r="U927" s="3"/>
      <c r="V927" s="3"/>
      <c r="W927" s="3"/>
      <c r="X927" s="1"/>
      <c r="Y927" s="1"/>
      <c r="Z927" s="1"/>
    </row>
    <row r="928" ht="12.75" customHeight="1">
      <c r="A928" s="1"/>
      <c r="B928" s="3"/>
      <c r="C928" s="3"/>
      <c r="D928" s="3"/>
      <c r="E928" s="3"/>
      <c r="F928" s="3"/>
      <c r="G928" s="3"/>
      <c r="H928" s="3"/>
      <c r="I928" s="3"/>
      <c r="J928" s="3"/>
      <c r="K928" s="3"/>
      <c r="L928" s="3"/>
      <c r="M928" s="3"/>
      <c r="N928" s="3"/>
      <c r="O928" s="3"/>
      <c r="P928" s="3"/>
      <c r="Q928" s="3"/>
      <c r="R928" s="3"/>
      <c r="S928" s="3"/>
      <c r="T928" s="3"/>
      <c r="U928" s="3"/>
      <c r="V928" s="3"/>
      <c r="W928" s="3"/>
      <c r="X928" s="1"/>
      <c r="Y928" s="1"/>
      <c r="Z928" s="1"/>
    </row>
    <row r="929" ht="12.75" customHeight="1">
      <c r="A929" s="1"/>
      <c r="B929" s="3"/>
      <c r="C929" s="3"/>
      <c r="D929" s="3"/>
      <c r="E929" s="3"/>
      <c r="F929" s="3"/>
      <c r="G929" s="3"/>
      <c r="H929" s="3"/>
      <c r="I929" s="3"/>
      <c r="J929" s="3"/>
      <c r="K929" s="3"/>
      <c r="L929" s="3"/>
      <c r="M929" s="3"/>
      <c r="N929" s="3"/>
      <c r="O929" s="3"/>
      <c r="P929" s="3"/>
      <c r="Q929" s="3"/>
      <c r="R929" s="3"/>
      <c r="S929" s="3"/>
      <c r="T929" s="3"/>
      <c r="U929" s="3"/>
      <c r="V929" s="3"/>
      <c r="W929" s="3"/>
      <c r="X929" s="1"/>
      <c r="Y929" s="1"/>
      <c r="Z929" s="1"/>
    </row>
    <row r="930" ht="12.75" customHeight="1">
      <c r="A930" s="1"/>
      <c r="B930" s="3"/>
      <c r="C930" s="3"/>
      <c r="D930" s="3"/>
      <c r="E930" s="3"/>
      <c r="F930" s="3"/>
      <c r="G930" s="3"/>
      <c r="H930" s="3"/>
      <c r="I930" s="3"/>
      <c r="J930" s="3"/>
      <c r="K930" s="3"/>
      <c r="L930" s="3"/>
      <c r="M930" s="3"/>
      <c r="N930" s="3"/>
      <c r="O930" s="3"/>
      <c r="P930" s="3"/>
      <c r="Q930" s="3"/>
      <c r="R930" s="3"/>
      <c r="S930" s="3"/>
      <c r="T930" s="3"/>
      <c r="U930" s="3"/>
      <c r="V930" s="3"/>
      <c r="W930" s="3"/>
      <c r="X930" s="1"/>
      <c r="Y930" s="1"/>
      <c r="Z930" s="1"/>
    </row>
    <row r="931" ht="12.75" customHeight="1">
      <c r="A931" s="1"/>
      <c r="B931" s="3"/>
      <c r="C931" s="3"/>
      <c r="D931" s="3"/>
      <c r="E931" s="3"/>
      <c r="F931" s="3"/>
      <c r="G931" s="3"/>
      <c r="H931" s="3"/>
      <c r="I931" s="3"/>
      <c r="J931" s="3"/>
      <c r="K931" s="3"/>
      <c r="L931" s="3"/>
      <c r="M931" s="3"/>
      <c r="N931" s="3"/>
      <c r="O931" s="3"/>
      <c r="P931" s="3"/>
      <c r="Q931" s="3"/>
      <c r="R931" s="3"/>
      <c r="S931" s="3"/>
      <c r="T931" s="3"/>
      <c r="U931" s="3"/>
      <c r="V931" s="3"/>
      <c r="W931" s="3"/>
      <c r="X931" s="1"/>
      <c r="Y931" s="1"/>
      <c r="Z931" s="1"/>
    </row>
    <row r="932" ht="12.75" customHeight="1">
      <c r="A932" s="1"/>
      <c r="B932" s="3"/>
      <c r="C932" s="3"/>
      <c r="D932" s="3"/>
      <c r="E932" s="3"/>
      <c r="F932" s="3"/>
      <c r="G932" s="3"/>
      <c r="H932" s="3"/>
      <c r="I932" s="3"/>
      <c r="J932" s="3"/>
      <c r="K932" s="3"/>
      <c r="L932" s="3"/>
      <c r="M932" s="3"/>
      <c r="N932" s="3"/>
      <c r="O932" s="3"/>
      <c r="P932" s="3"/>
      <c r="Q932" s="3"/>
      <c r="R932" s="3"/>
      <c r="S932" s="3"/>
      <c r="T932" s="3"/>
      <c r="U932" s="3"/>
      <c r="V932" s="3"/>
      <c r="W932" s="3"/>
      <c r="X932" s="1"/>
      <c r="Y932" s="1"/>
      <c r="Z932" s="1"/>
    </row>
    <row r="933" ht="12.75" customHeight="1">
      <c r="A933" s="1"/>
      <c r="B933" s="3"/>
      <c r="C933" s="3"/>
      <c r="D933" s="3"/>
      <c r="E933" s="3"/>
      <c r="F933" s="3"/>
      <c r="G933" s="3"/>
      <c r="H933" s="3"/>
      <c r="I933" s="3"/>
      <c r="J933" s="3"/>
      <c r="K933" s="3"/>
      <c r="L933" s="3"/>
      <c r="M933" s="3"/>
      <c r="N933" s="3"/>
      <c r="O933" s="3"/>
      <c r="P933" s="3"/>
      <c r="Q933" s="3"/>
      <c r="R933" s="3"/>
      <c r="S933" s="3"/>
      <c r="T933" s="3"/>
      <c r="U933" s="3"/>
      <c r="V933" s="3"/>
      <c r="W933" s="3"/>
      <c r="X933" s="1"/>
      <c r="Y933" s="1"/>
      <c r="Z933" s="1"/>
    </row>
    <row r="934" ht="12.75" customHeight="1">
      <c r="A934" s="1"/>
      <c r="B934" s="3"/>
      <c r="C934" s="3"/>
      <c r="D934" s="3"/>
      <c r="E934" s="3"/>
      <c r="F934" s="3"/>
      <c r="G934" s="3"/>
      <c r="H934" s="3"/>
      <c r="I934" s="3"/>
      <c r="J934" s="3"/>
      <c r="K934" s="3"/>
      <c r="L934" s="3"/>
      <c r="M934" s="3"/>
      <c r="N934" s="3"/>
      <c r="O934" s="3"/>
      <c r="P934" s="3"/>
      <c r="Q934" s="3"/>
      <c r="R934" s="3"/>
      <c r="S934" s="3"/>
      <c r="T934" s="3"/>
      <c r="U934" s="3"/>
      <c r="V934" s="3"/>
      <c r="W934" s="3"/>
      <c r="X934" s="1"/>
      <c r="Y934" s="1"/>
      <c r="Z934" s="1"/>
    </row>
    <row r="935" ht="12.75" customHeight="1">
      <c r="A935" s="1"/>
      <c r="B935" s="3"/>
      <c r="C935" s="3"/>
      <c r="D935" s="3"/>
      <c r="E935" s="3"/>
      <c r="F935" s="3"/>
      <c r="G935" s="3"/>
      <c r="H935" s="3"/>
      <c r="I935" s="3"/>
      <c r="J935" s="3"/>
      <c r="K935" s="3"/>
      <c r="L935" s="3"/>
      <c r="M935" s="3"/>
      <c r="N935" s="3"/>
      <c r="O935" s="3"/>
      <c r="P935" s="3"/>
      <c r="Q935" s="3"/>
      <c r="R935" s="3"/>
      <c r="S935" s="3"/>
      <c r="T935" s="3"/>
      <c r="U935" s="3"/>
      <c r="V935" s="3"/>
      <c r="W935" s="3"/>
      <c r="X935" s="1"/>
      <c r="Y935" s="1"/>
      <c r="Z935" s="1"/>
    </row>
    <row r="936" ht="12.75" customHeight="1">
      <c r="A936" s="1"/>
      <c r="B936" s="3"/>
      <c r="C936" s="3"/>
      <c r="D936" s="3"/>
      <c r="E936" s="3"/>
      <c r="F936" s="3"/>
      <c r="G936" s="3"/>
      <c r="H936" s="3"/>
      <c r="I936" s="3"/>
      <c r="J936" s="3"/>
      <c r="K936" s="3"/>
      <c r="L936" s="3"/>
      <c r="M936" s="3"/>
      <c r="N936" s="3"/>
      <c r="O936" s="3"/>
      <c r="P936" s="3"/>
      <c r="Q936" s="3"/>
      <c r="R936" s="3"/>
      <c r="S936" s="3"/>
      <c r="T936" s="3"/>
      <c r="U936" s="3"/>
      <c r="V936" s="3"/>
      <c r="W936" s="3"/>
      <c r="X936" s="1"/>
      <c r="Y936" s="1"/>
      <c r="Z936" s="1"/>
    </row>
    <row r="937" ht="12.75" customHeight="1">
      <c r="A937" s="1"/>
      <c r="B937" s="3"/>
      <c r="C937" s="3"/>
      <c r="D937" s="3"/>
      <c r="E937" s="3"/>
      <c r="F937" s="3"/>
      <c r="G937" s="3"/>
      <c r="H937" s="3"/>
      <c r="I937" s="3"/>
      <c r="J937" s="3"/>
      <c r="K937" s="3"/>
      <c r="L937" s="3"/>
      <c r="M937" s="3"/>
      <c r="N937" s="3"/>
      <c r="O937" s="3"/>
      <c r="P937" s="3"/>
      <c r="Q937" s="3"/>
      <c r="R937" s="3"/>
      <c r="S937" s="3"/>
      <c r="T937" s="3"/>
      <c r="U937" s="3"/>
      <c r="V937" s="3"/>
      <c r="W937" s="3"/>
      <c r="X937" s="1"/>
      <c r="Y937" s="1"/>
      <c r="Z937" s="1"/>
    </row>
    <row r="938" ht="12.75" customHeight="1">
      <c r="A938" s="1"/>
      <c r="B938" s="3"/>
      <c r="C938" s="3"/>
      <c r="D938" s="3"/>
      <c r="E938" s="3"/>
      <c r="F938" s="3"/>
      <c r="G938" s="3"/>
      <c r="H938" s="3"/>
      <c r="I938" s="3"/>
      <c r="J938" s="3"/>
      <c r="K938" s="3"/>
      <c r="L938" s="3"/>
      <c r="M938" s="3"/>
      <c r="N938" s="3"/>
      <c r="O938" s="3"/>
      <c r="P938" s="3"/>
      <c r="Q938" s="3"/>
      <c r="R938" s="3"/>
      <c r="S938" s="3"/>
      <c r="T938" s="3"/>
      <c r="U938" s="3"/>
      <c r="V938" s="3"/>
      <c r="W938" s="3"/>
      <c r="X938" s="1"/>
      <c r="Y938" s="1"/>
      <c r="Z938" s="1"/>
    </row>
    <row r="939" ht="12.75" customHeight="1">
      <c r="A939" s="1"/>
      <c r="B939" s="3"/>
      <c r="C939" s="3"/>
      <c r="D939" s="3"/>
      <c r="E939" s="3"/>
      <c r="F939" s="3"/>
      <c r="G939" s="3"/>
      <c r="H939" s="3"/>
      <c r="I939" s="3"/>
      <c r="J939" s="3"/>
      <c r="K939" s="3"/>
      <c r="L939" s="3"/>
      <c r="M939" s="3"/>
      <c r="N939" s="3"/>
      <c r="O939" s="3"/>
      <c r="P939" s="3"/>
      <c r="Q939" s="3"/>
      <c r="R939" s="3"/>
      <c r="S939" s="3"/>
      <c r="T939" s="3"/>
      <c r="U939" s="3"/>
      <c r="V939" s="3"/>
      <c r="W939" s="3"/>
      <c r="X939" s="1"/>
      <c r="Y939" s="1"/>
      <c r="Z939" s="1"/>
    </row>
    <row r="940" ht="12.75" customHeight="1">
      <c r="A940" s="1"/>
      <c r="B940" s="3"/>
      <c r="C940" s="3"/>
      <c r="D940" s="3"/>
      <c r="E940" s="3"/>
      <c r="F940" s="3"/>
      <c r="G940" s="3"/>
      <c r="H940" s="3"/>
      <c r="I940" s="3"/>
      <c r="J940" s="3"/>
      <c r="K940" s="3"/>
      <c r="L940" s="3"/>
      <c r="M940" s="3"/>
      <c r="N940" s="3"/>
      <c r="O940" s="3"/>
      <c r="P940" s="3"/>
      <c r="Q940" s="3"/>
      <c r="R940" s="3"/>
      <c r="S940" s="3"/>
      <c r="T940" s="3"/>
      <c r="U940" s="3"/>
      <c r="V940" s="3"/>
      <c r="W940" s="3"/>
      <c r="X940" s="1"/>
      <c r="Y940" s="1"/>
      <c r="Z940" s="1"/>
    </row>
    <row r="941" ht="12.75" customHeight="1">
      <c r="A941" s="1"/>
      <c r="B941" s="3"/>
      <c r="C941" s="3"/>
      <c r="D941" s="3"/>
      <c r="E941" s="3"/>
      <c r="F941" s="3"/>
      <c r="G941" s="3"/>
      <c r="H941" s="3"/>
      <c r="I941" s="3"/>
      <c r="J941" s="3"/>
      <c r="K941" s="3"/>
      <c r="L941" s="3"/>
      <c r="M941" s="3"/>
      <c r="N941" s="3"/>
      <c r="O941" s="3"/>
      <c r="P941" s="3"/>
      <c r="Q941" s="3"/>
      <c r="R941" s="3"/>
      <c r="S941" s="3"/>
      <c r="T941" s="3"/>
      <c r="U941" s="3"/>
      <c r="V941" s="3"/>
      <c r="W941" s="3"/>
      <c r="X941" s="1"/>
      <c r="Y941" s="1"/>
      <c r="Z941" s="1"/>
    </row>
    <row r="942" ht="12.75" customHeight="1">
      <c r="A942" s="1"/>
      <c r="B942" s="3"/>
      <c r="C942" s="3"/>
      <c r="D942" s="3"/>
      <c r="E942" s="3"/>
      <c r="F942" s="3"/>
      <c r="G942" s="3"/>
      <c r="H942" s="3"/>
      <c r="I942" s="3"/>
      <c r="J942" s="3"/>
      <c r="K942" s="3"/>
      <c r="L942" s="3"/>
      <c r="M942" s="3"/>
      <c r="N942" s="3"/>
      <c r="O942" s="3"/>
      <c r="P942" s="3"/>
      <c r="Q942" s="3"/>
      <c r="R942" s="3"/>
      <c r="S942" s="3"/>
      <c r="T942" s="3"/>
      <c r="U942" s="3"/>
      <c r="V942" s="3"/>
      <c r="W942" s="3"/>
      <c r="X942" s="1"/>
      <c r="Y942" s="1"/>
      <c r="Z942" s="1"/>
    </row>
    <row r="943" ht="12.75" customHeight="1">
      <c r="A943" s="1"/>
      <c r="B943" s="3"/>
      <c r="C943" s="3"/>
      <c r="D943" s="3"/>
      <c r="E943" s="3"/>
      <c r="F943" s="3"/>
      <c r="G943" s="3"/>
      <c r="H943" s="3"/>
      <c r="I943" s="3"/>
      <c r="J943" s="3"/>
      <c r="K943" s="3"/>
      <c r="L943" s="3"/>
      <c r="M943" s="3"/>
      <c r="N943" s="3"/>
      <c r="O943" s="3"/>
      <c r="P943" s="3"/>
      <c r="Q943" s="3"/>
      <c r="R943" s="3"/>
      <c r="S943" s="3"/>
      <c r="T943" s="3"/>
      <c r="U943" s="3"/>
      <c r="V943" s="3"/>
      <c r="W943" s="3"/>
      <c r="X943" s="1"/>
      <c r="Y943" s="1"/>
      <c r="Z943" s="1"/>
    </row>
    <row r="944" ht="12.75" customHeight="1">
      <c r="A944" s="1"/>
      <c r="B944" s="3"/>
      <c r="C944" s="3"/>
      <c r="D944" s="3"/>
      <c r="E944" s="3"/>
      <c r="F944" s="3"/>
      <c r="G944" s="3"/>
      <c r="H944" s="3"/>
      <c r="I944" s="3"/>
      <c r="J944" s="3"/>
      <c r="K944" s="3"/>
      <c r="L944" s="3"/>
      <c r="M944" s="3"/>
      <c r="N944" s="3"/>
      <c r="O944" s="3"/>
      <c r="P944" s="3"/>
      <c r="Q944" s="3"/>
      <c r="R944" s="3"/>
      <c r="S944" s="3"/>
      <c r="T944" s="3"/>
      <c r="U944" s="3"/>
      <c r="V944" s="3"/>
      <c r="W944" s="3"/>
      <c r="X944" s="1"/>
      <c r="Y944" s="1"/>
      <c r="Z944" s="1"/>
    </row>
    <row r="945" ht="12.75" customHeight="1">
      <c r="A945" s="1"/>
      <c r="B945" s="3"/>
      <c r="C945" s="3"/>
      <c r="D945" s="3"/>
      <c r="E945" s="3"/>
      <c r="F945" s="3"/>
      <c r="G945" s="3"/>
      <c r="H945" s="3"/>
      <c r="I945" s="3"/>
      <c r="J945" s="3"/>
      <c r="K945" s="3"/>
      <c r="L945" s="3"/>
      <c r="M945" s="3"/>
      <c r="N945" s="3"/>
      <c r="O945" s="3"/>
      <c r="P945" s="3"/>
      <c r="Q945" s="3"/>
      <c r="R945" s="3"/>
      <c r="S945" s="3"/>
      <c r="T945" s="3"/>
      <c r="U945" s="3"/>
      <c r="V945" s="3"/>
      <c r="W945" s="3"/>
      <c r="X945" s="1"/>
      <c r="Y945" s="1"/>
      <c r="Z945" s="1"/>
    </row>
    <row r="946" ht="12.75" customHeight="1">
      <c r="A946" s="1"/>
      <c r="B946" s="3"/>
      <c r="C946" s="3"/>
      <c r="D946" s="3"/>
      <c r="E946" s="3"/>
      <c r="F946" s="3"/>
      <c r="G946" s="3"/>
      <c r="H946" s="3"/>
      <c r="I946" s="3"/>
      <c r="J946" s="3"/>
      <c r="K946" s="3"/>
      <c r="L946" s="3"/>
      <c r="M946" s="3"/>
      <c r="N946" s="3"/>
      <c r="O946" s="3"/>
      <c r="P946" s="3"/>
      <c r="Q946" s="3"/>
      <c r="R946" s="3"/>
      <c r="S946" s="3"/>
      <c r="T946" s="3"/>
      <c r="U946" s="3"/>
      <c r="V946" s="3"/>
      <c r="W946" s="3"/>
      <c r="X946" s="1"/>
      <c r="Y946" s="1"/>
      <c r="Z946" s="1"/>
    </row>
    <row r="947" ht="12.75" customHeight="1">
      <c r="A947" s="1"/>
      <c r="B947" s="3"/>
      <c r="C947" s="3"/>
      <c r="D947" s="3"/>
      <c r="E947" s="3"/>
      <c r="F947" s="3"/>
      <c r="G947" s="3"/>
      <c r="H947" s="3"/>
      <c r="I947" s="3"/>
      <c r="J947" s="3"/>
      <c r="K947" s="3"/>
      <c r="L947" s="3"/>
      <c r="M947" s="3"/>
      <c r="N947" s="3"/>
      <c r="O947" s="3"/>
      <c r="P947" s="3"/>
      <c r="Q947" s="3"/>
      <c r="R947" s="3"/>
      <c r="S947" s="3"/>
      <c r="T947" s="3"/>
      <c r="U947" s="3"/>
      <c r="V947" s="3"/>
      <c r="W947" s="3"/>
      <c r="X947" s="1"/>
      <c r="Y947" s="1"/>
      <c r="Z947" s="1"/>
    </row>
    <row r="948" ht="12.75" customHeight="1">
      <c r="A948" s="1"/>
      <c r="B948" s="3"/>
      <c r="C948" s="3"/>
      <c r="D948" s="3"/>
      <c r="E948" s="3"/>
      <c r="F948" s="3"/>
      <c r="G948" s="3"/>
      <c r="H948" s="3"/>
      <c r="I948" s="3"/>
      <c r="J948" s="3"/>
      <c r="K948" s="3"/>
      <c r="L948" s="3"/>
      <c r="M948" s="3"/>
      <c r="N948" s="3"/>
      <c r="O948" s="3"/>
      <c r="P948" s="3"/>
      <c r="Q948" s="3"/>
      <c r="R948" s="3"/>
      <c r="S948" s="3"/>
      <c r="T948" s="3"/>
      <c r="U948" s="3"/>
      <c r="V948" s="3"/>
      <c r="W948" s="3"/>
      <c r="X948" s="1"/>
      <c r="Y948" s="1"/>
      <c r="Z948" s="1"/>
    </row>
    <row r="949" ht="12.75" customHeight="1">
      <c r="A949" s="1"/>
      <c r="B949" s="3"/>
      <c r="C949" s="3"/>
      <c r="D949" s="3"/>
      <c r="E949" s="3"/>
      <c r="F949" s="3"/>
      <c r="G949" s="3"/>
      <c r="H949" s="3"/>
      <c r="I949" s="3"/>
      <c r="J949" s="3"/>
      <c r="K949" s="3"/>
      <c r="L949" s="3"/>
      <c r="M949" s="3"/>
      <c r="N949" s="3"/>
      <c r="O949" s="3"/>
      <c r="P949" s="3"/>
      <c r="Q949" s="3"/>
      <c r="R949" s="3"/>
      <c r="S949" s="3"/>
      <c r="T949" s="3"/>
      <c r="U949" s="3"/>
      <c r="V949" s="3"/>
      <c r="W949" s="3"/>
      <c r="X949" s="1"/>
      <c r="Y949" s="1"/>
      <c r="Z949" s="1"/>
    </row>
    <row r="950" ht="12.75" customHeight="1">
      <c r="A950" s="1"/>
      <c r="B950" s="3"/>
      <c r="C950" s="3"/>
      <c r="D950" s="3"/>
      <c r="E950" s="3"/>
      <c r="F950" s="3"/>
      <c r="G950" s="3"/>
      <c r="H950" s="3"/>
      <c r="I950" s="3"/>
      <c r="J950" s="3"/>
      <c r="K950" s="3"/>
      <c r="L950" s="3"/>
      <c r="M950" s="3"/>
      <c r="N950" s="3"/>
      <c r="O950" s="3"/>
      <c r="P950" s="3"/>
      <c r="Q950" s="3"/>
      <c r="R950" s="3"/>
      <c r="S950" s="3"/>
      <c r="T950" s="3"/>
      <c r="U950" s="3"/>
      <c r="V950" s="3"/>
      <c r="W950" s="3"/>
      <c r="X950" s="1"/>
      <c r="Y950" s="1"/>
      <c r="Z950" s="1"/>
    </row>
    <row r="951" ht="12.75" customHeight="1">
      <c r="A951" s="1"/>
      <c r="B951" s="3"/>
      <c r="C951" s="3"/>
      <c r="D951" s="3"/>
      <c r="E951" s="3"/>
      <c r="F951" s="3"/>
      <c r="G951" s="3"/>
      <c r="H951" s="3"/>
      <c r="I951" s="3"/>
      <c r="J951" s="3"/>
      <c r="K951" s="3"/>
      <c r="L951" s="3"/>
      <c r="M951" s="3"/>
      <c r="N951" s="3"/>
      <c r="O951" s="3"/>
      <c r="P951" s="3"/>
      <c r="Q951" s="3"/>
      <c r="R951" s="3"/>
      <c r="S951" s="3"/>
      <c r="T951" s="3"/>
      <c r="U951" s="3"/>
      <c r="V951" s="3"/>
      <c r="W951" s="3"/>
      <c r="X951" s="1"/>
      <c r="Y951" s="1"/>
      <c r="Z951" s="1"/>
    </row>
    <row r="952" ht="12.75" customHeight="1">
      <c r="A952" s="1"/>
      <c r="B952" s="3"/>
      <c r="C952" s="3"/>
      <c r="D952" s="3"/>
      <c r="E952" s="3"/>
      <c r="F952" s="3"/>
      <c r="G952" s="3"/>
      <c r="H952" s="3"/>
      <c r="I952" s="3"/>
      <c r="J952" s="3"/>
      <c r="K952" s="3"/>
      <c r="L952" s="3"/>
      <c r="M952" s="3"/>
      <c r="N952" s="3"/>
      <c r="O952" s="3"/>
      <c r="P952" s="3"/>
      <c r="Q952" s="3"/>
      <c r="R952" s="3"/>
      <c r="S952" s="3"/>
      <c r="T952" s="3"/>
      <c r="U952" s="3"/>
      <c r="V952" s="3"/>
      <c r="W952" s="3"/>
      <c r="X952" s="1"/>
      <c r="Y952" s="1"/>
      <c r="Z952" s="1"/>
    </row>
    <row r="953" ht="12.75" customHeight="1">
      <c r="A953" s="1"/>
      <c r="B953" s="3"/>
      <c r="C953" s="3"/>
      <c r="D953" s="3"/>
      <c r="E953" s="3"/>
      <c r="F953" s="3"/>
      <c r="G953" s="3"/>
      <c r="H953" s="3"/>
      <c r="I953" s="3"/>
      <c r="J953" s="3"/>
      <c r="K953" s="3"/>
      <c r="L953" s="3"/>
      <c r="M953" s="3"/>
      <c r="N953" s="3"/>
      <c r="O953" s="3"/>
      <c r="P953" s="3"/>
      <c r="Q953" s="3"/>
      <c r="R953" s="3"/>
      <c r="S953" s="3"/>
      <c r="T953" s="3"/>
      <c r="U953" s="3"/>
      <c r="V953" s="3"/>
      <c r="W953" s="3"/>
      <c r="X953" s="1"/>
      <c r="Y953" s="1"/>
      <c r="Z953" s="1"/>
    </row>
    <row r="954" ht="12.75" customHeight="1">
      <c r="A954" s="1"/>
      <c r="B954" s="3"/>
      <c r="C954" s="3"/>
      <c r="D954" s="3"/>
      <c r="E954" s="3"/>
      <c r="F954" s="3"/>
      <c r="G954" s="3"/>
      <c r="H954" s="3"/>
      <c r="I954" s="3"/>
      <c r="J954" s="3"/>
      <c r="K954" s="3"/>
      <c r="L954" s="3"/>
      <c r="M954" s="3"/>
      <c r="N954" s="3"/>
      <c r="O954" s="3"/>
      <c r="P954" s="3"/>
      <c r="Q954" s="3"/>
      <c r="R954" s="3"/>
      <c r="S954" s="3"/>
      <c r="T954" s="3"/>
      <c r="U954" s="3"/>
      <c r="V954" s="3"/>
      <c r="W954" s="3"/>
      <c r="X954" s="1"/>
      <c r="Y954" s="1"/>
      <c r="Z954" s="1"/>
    </row>
    <row r="955" ht="12.75" customHeight="1">
      <c r="A955" s="1"/>
      <c r="B955" s="3"/>
      <c r="C955" s="3"/>
      <c r="D955" s="3"/>
      <c r="E955" s="3"/>
      <c r="F955" s="3"/>
      <c r="G955" s="3"/>
      <c r="H955" s="3"/>
      <c r="I955" s="3"/>
      <c r="J955" s="3"/>
      <c r="K955" s="3"/>
      <c r="L955" s="3"/>
      <c r="M955" s="3"/>
      <c r="N955" s="3"/>
      <c r="O955" s="3"/>
      <c r="P955" s="3"/>
      <c r="Q955" s="3"/>
      <c r="R955" s="3"/>
      <c r="S955" s="3"/>
      <c r="T955" s="3"/>
      <c r="U955" s="3"/>
      <c r="V955" s="3"/>
      <c r="W955" s="3"/>
      <c r="X955" s="1"/>
      <c r="Y955" s="1"/>
      <c r="Z955" s="1"/>
    </row>
    <row r="956" ht="12.75" customHeight="1">
      <c r="A956" s="1"/>
      <c r="B956" s="3"/>
      <c r="C956" s="3"/>
      <c r="D956" s="3"/>
      <c r="E956" s="3"/>
      <c r="F956" s="3"/>
      <c r="G956" s="3"/>
      <c r="H956" s="3"/>
      <c r="I956" s="3"/>
      <c r="J956" s="3"/>
      <c r="K956" s="3"/>
      <c r="L956" s="3"/>
      <c r="M956" s="3"/>
      <c r="N956" s="3"/>
      <c r="O956" s="3"/>
      <c r="P956" s="3"/>
      <c r="Q956" s="3"/>
      <c r="R956" s="3"/>
      <c r="S956" s="3"/>
      <c r="T956" s="3"/>
      <c r="U956" s="3"/>
      <c r="V956" s="3"/>
      <c r="W956" s="3"/>
      <c r="X956" s="1"/>
      <c r="Y956" s="1"/>
      <c r="Z956" s="1"/>
    </row>
    <row r="957" ht="12.75" customHeight="1">
      <c r="A957" s="1"/>
      <c r="B957" s="3"/>
      <c r="C957" s="3"/>
      <c r="D957" s="3"/>
      <c r="E957" s="3"/>
      <c r="F957" s="3"/>
      <c r="G957" s="3"/>
      <c r="H957" s="3"/>
      <c r="I957" s="3"/>
      <c r="J957" s="3"/>
      <c r="K957" s="3"/>
      <c r="L957" s="3"/>
      <c r="M957" s="3"/>
      <c r="N957" s="3"/>
      <c r="O957" s="3"/>
      <c r="P957" s="3"/>
      <c r="Q957" s="3"/>
      <c r="R957" s="3"/>
      <c r="S957" s="3"/>
      <c r="T957" s="3"/>
      <c r="U957" s="3"/>
      <c r="V957" s="3"/>
      <c r="W957" s="3"/>
      <c r="X957" s="1"/>
      <c r="Y957" s="1"/>
      <c r="Z957" s="1"/>
    </row>
    <row r="958" ht="12.75" customHeight="1">
      <c r="A958" s="1"/>
      <c r="B958" s="3"/>
      <c r="C958" s="3"/>
      <c r="D958" s="3"/>
      <c r="E958" s="3"/>
      <c r="F958" s="3"/>
      <c r="G958" s="3"/>
      <c r="H958" s="3"/>
      <c r="I958" s="3"/>
      <c r="J958" s="3"/>
      <c r="K958" s="3"/>
      <c r="L958" s="3"/>
      <c r="M958" s="3"/>
      <c r="N958" s="3"/>
      <c r="O958" s="3"/>
      <c r="P958" s="3"/>
      <c r="Q958" s="3"/>
      <c r="R958" s="3"/>
      <c r="S958" s="3"/>
      <c r="T958" s="3"/>
      <c r="U958" s="3"/>
      <c r="V958" s="3"/>
      <c r="W958" s="3"/>
      <c r="X958" s="1"/>
      <c r="Y958" s="1"/>
      <c r="Z958" s="1"/>
    </row>
    <row r="959" ht="12.75" customHeight="1">
      <c r="A959" s="1"/>
      <c r="B959" s="3"/>
      <c r="C959" s="3"/>
      <c r="D959" s="3"/>
      <c r="E959" s="3"/>
      <c r="F959" s="3"/>
      <c r="G959" s="3"/>
      <c r="H959" s="3"/>
      <c r="I959" s="3"/>
      <c r="J959" s="3"/>
      <c r="K959" s="3"/>
      <c r="L959" s="3"/>
      <c r="M959" s="3"/>
      <c r="N959" s="3"/>
      <c r="O959" s="3"/>
      <c r="P959" s="3"/>
      <c r="Q959" s="3"/>
      <c r="R959" s="3"/>
      <c r="S959" s="3"/>
      <c r="T959" s="3"/>
      <c r="U959" s="3"/>
      <c r="V959" s="3"/>
      <c r="W959" s="3"/>
      <c r="X959" s="1"/>
      <c r="Y959" s="1"/>
      <c r="Z959" s="1"/>
    </row>
    <row r="960" ht="12.75" customHeight="1">
      <c r="A960" s="1"/>
      <c r="B960" s="3"/>
      <c r="C960" s="3"/>
      <c r="D960" s="3"/>
      <c r="E960" s="3"/>
      <c r="F960" s="3"/>
      <c r="G960" s="3"/>
      <c r="H960" s="3"/>
      <c r="I960" s="3"/>
      <c r="J960" s="3"/>
      <c r="K960" s="3"/>
      <c r="L960" s="3"/>
      <c r="M960" s="3"/>
      <c r="N960" s="3"/>
      <c r="O960" s="3"/>
      <c r="P960" s="3"/>
      <c r="Q960" s="3"/>
      <c r="R960" s="3"/>
      <c r="S960" s="3"/>
      <c r="T960" s="3"/>
      <c r="U960" s="3"/>
      <c r="V960" s="3"/>
      <c r="W960" s="3"/>
      <c r="X960" s="1"/>
      <c r="Y960" s="1"/>
      <c r="Z960" s="1"/>
    </row>
    <row r="961" ht="12.75" customHeight="1">
      <c r="A961" s="1"/>
      <c r="B961" s="3"/>
      <c r="C961" s="3"/>
      <c r="D961" s="3"/>
      <c r="E961" s="3"/>
      <c r="F961" s="3"/>
      <c r="G961" s="3"/>
      <c r="H961" s="3"/>
      <c r="I961" s="3"/>
      <c r="J961" s="3"/>
      <c r="K961" s="3"/>
      <c r="L961" s="3"/>
      <c r="M961" s="3"/>
      <c r="N961" s="3"/>
      <c r="O961" s="3"/>
      <c r="P961" s="3"/>
      <c r="Q961" s="3"/>
      <c r="R961" s="3"/>
      <c r="S961" s="3"/>
      <c r="T961" s="3"/>
      <c r="U961" s="3"/>
      <c r="V961" s="3"/>
      <c r="W961" s="3"/>
      <c r="X961" s="1"/>
      <c r="Y961" s="1"/>
      <c r="Z961" s="1"/>
    </row>
    <row r="962" ht="12.75" customHeight="1">
      <c r="A962" s="1"/>
      <c r="B962" s="3"/>
      <c r="C962" s="3"/>
      <c r="D962" s="3"/>
      <c r="E962" s="3"/>
      <c r="F962" s="3"/>
      <c r="G962" s="3"/>
      <c r="H962" s="3"/>
      <c r="I962" s="3"/>
      <c r="J962" s="3"/>
      <c r="K962" s="3"/>
      <c r="L962" s="3"/>
      <c r="M962" s="3"/>
      <c r="N962" s="3"/>
      <c r="O962" s="3"/>
      <c r="P962" s="3"/>
      <c r="Q962" s="3"/>
      <c r="R962" s="3"/>
      <c r="S962" s="3"/>
      <c r="T962" s="3"/>
      <c r="U962" s="3"/>
      <c r="V962" s="3"/>
      <c r="W962" s="3"/>
      <c r="X962" s="1"/>
      <c r="Y962" s="1"/>
      <c r="Z962" s="1"/>
    </row>
    <row r="963" ht="12.75" customHeight="1">
      <c r="A963" s="1"/>
      <c r="B963" s="3"/>
      <c r="C963" s="3"/>
      <c r="D963" s="3"/>
      <c r="E963" s="3"/>
      <c r="F963" s="3"/>
      <c r="G963" s="3"/>
      <c r="H963" s="3"/>
      <c r="I963" s="3"/>
      <c r="J963" s="3"/>
      <c r="K963" s="3"/>
      <c r="L963" s="3"/>
      <c r="M963" s="3"/>
      <c r="N963" s="3"/>
      <c r="O963" s="3"/>
      <c r="P963" s="3"/>
      <c r="Q963" s="3"/>
      <c r="R963" s="3"/>
      <c r="S963" s="3"/>
      <c r="T963" s="3"/>
      <c r="U963" s="3"/>
      <c r="V963" s="3"/>
      <c r="W963" s="3"/>
      <c r="X963" s="1"/>
      <c r="Y963" s="1"/>
      <c r="Z963" s="1"/>
    </row>
    <row r="964" ht="12.75" customHeight="1">
      <c r="A964" s="1"/>
      <c r="B964" s="3"/>
      <c r="C964" s="3"/>
      <c r="D964" s="3"/>
      <c r="E964" s="3"/>
      <c r="F964" s="3"/>
      <c r="G964" s="3"/>
      <c r="H964" s="3"/>
      <c r="I964" s="3"/>
      <c r="J964" s="3"/>
      <c r="K964" s="3"/>
      <c r="L964" s="3"/>
      <c r="M964" s="3"/>
      <c r="N964" s="3"/>
      <c r="O964" s="3"/>
      <c r="P964" s="3"/>
      <c r="Q964" s="3"/>
      <c r="R964" s="3"/>
      <c r="S964" s="3"/>
      <c r="T964" s="3"/>
      <c r="U964" s="3"/>
      <c r="V964" s="3"/>
      <c r="W964" s="3"/>
      <c r="X964" s="1"/>
      <c r="Y964" s="1"/>
      <c r="Z964" s="1"/>
    </row>
    <row r="965" ht="12.75" customHeight="1">
      <c r="A965" s="1"/>
      <c r="B965" s="3"/>
      <c r="C965" s="3"/>
      <c r="D965" s="3"/>
      <c r="E965" s="3"/>
      <c r="F965" s="3"/>
      <c r="G965" s="3"/>
      <c r="H965" s="3"/>
      <c r="I965" s="3"/>
      <c r="J965" s="3"/>
      <c r="K965" s="3"/>
      <c r="L965" s="3"/>
      <c r="M965" s="3"/>
      <c r="N965" s="3"/>
      <c r="O965" s="3"/>
      <c r="P965" s="3"/>
      <c r="Q965" s="3"/>
      <c r="R965" s="3"/>
      <c r="S965" s="3"/>
      <c r="T965" s="3"/>
      <c r="U965" s="3"/>
      <c r="V965" s="3"/>
      <c r="W965" s="3"/>
      <c r="X965" s="1"/>
      <c r="Y965" s="1"/>
      <c r="Z965" s="1"/>
    </row>
    <row r="966" ht="12.75" customHeight="1">
      <c r="A966" s="1"/>
      <c r="B966" s="3"/>
      <c r="C966" s="3"/>
      <c r="D966" s="3"/>
      <c r="E966" s="3"/>
      <c r="F966" s="3"/>
      <c r="G966" s="3"/>
      <c r="H966" s="3"/>
      <c r="I966" s="3"/>
      <c r="J966" s="3"/>
      <c r="K966" s="3"/>
      <c r="L966" s="3"/>
      <c r="M966" s="3"/>
      <c r="N966" s="3"/>
      <c r="O966" s="3"/>
      <c r="P966" s="3"/>
      <c r="Q966" s="3"/>
      <c r="R966" s="3"/>
      <c r="S966" s="3"/>
      <c r="T966" s="3"/>
      <c r="U966" s="3"/>
      <c r="V966" s="3"/>
      <c r="W966" s="3"/>
      <c r="X966" s="1"/>
      <c r="Y966" s="1"/>
      <c r="Z966" s="1"/>
    </row>
    <row r="967" ht="12.75" customHeight="1">
      <c r="A967" s="1"/>
      <c r="B967" s="3"/>
      <c r="C967" s="3"/>
      <c r="D967" s="3"/>
      <c r="E967" s="3"/>
      <c r="F967" s="3"/>
      <c r="G967" s="3"/>
      <c r="H967" s="3"/>
      <c r="I967" s="3"/>
      <c r="J967" s="3"/>
      <c r="K967" s="3"/>
      <c r="L967" s="3"/>
      <c r="M967" s="3"/>
      <c r="N967" s="3"/>
      <c r="O967" s="3"/>
      <c r="P967" s="3"/>
      <c r="Q967" s="3"/>
      <c r="R967" s="3"/>
      <c r="S967" s="3"/>
      <c r="T967" s="3"/>
      <c r="U967" s="3"/>
      <c r="V967" s="3"/>
      <c r="W967" s="3"/>
      <c r="X967" s="1"/>
      <c r="Y967" s="1"/>
      <c r="Z967" s="1"/>
    </row>
    <row r="968" ht="12.75" customHeight="1">
      <c r="A968" s="1"/>
      <c r="B968" s="3"/>
      <c r="C968" s="3"/>
      <c r="D968" s="3"/>
      <c r="E968" s="3"/>
      <c r="F968" s="3"/>
      <c r="G968" s="3"/>
      <c r="H968" s="3"/>
      <c r="I968" s="3"/>
      <c r="J968" s="3"/>
      <c r="K968" s="3"/>
      <c r="L968" s="3"/>
      <c r="M968" s="3"/>
      <c r="N968" s="3"/>
      <c r="O968" s="3"/>
      <c r="P968" s="3"/>
      <c r="Q968" s="3"/>
      <c r="R968" s="3"/>
      <c r="S968" s="3"/>
      <c r="T968" s="3"/>
      <c r="U968" s="3"/>
      <c r="V968" s="3"/>
      <c r="W968" s="3"/>
      <c r="X968" s="1"/>
      <c r="Y968" s="1"/>
      <c r="Z968" s="1"/>
    </row>
    <row r="969" ht="12.75" customHeight="1">
      <c r="A969" s="1"/>
      <c r="B969" s="3"/>
      <c r="C969" s="3"/>
      <c r="D969" s="3"/>
      <c r="E969" s="3"/>
      <c r="F969" s="3"/>
      <c r="G969" s="3"/>
      <c r="H969" s="3"/>
      <c r="I969" s="3"/>
      <c r="J969" s="3"/>
      <c r="K969" s="3"/>
      <c r="L969" s="3"/>
      <c r="M969" s="3"/>
      <c r="N969" s="3"/>
      <c r="O969" s="3"/>
      <c r="P969" s="3"/>
      <c r="Q969" s="3"/>
      <c r="R969" s="3"/>
      <c r="S969" s="3"/>
      <c r="T969" s="3"/>
      <c r="U969" s="3"/>
      <c r="V969" s="3"/>
      <c r="W969" s="3"/>
      <c r="X969" s="1"/>
      <c r="Y969" s="1"/>
      <c r="Z969" s="1"/>
    </row>
    <row r="970" ht="12.75" customHeight="1">
      <c r="A970" s="1"/>
      <c r="B970" s="3"/>
      <c r="C970" s="3"/>
      <c r="D970" s="3"/>
      <c r="E970" s="3"/>
      <c r="F970" s="3"/>
      <c r="G970" s="3"/>
      <c r="H970" s="3"/>
      <c r="I970" s="3"/>
      <c r="J970" s="3"/>
      <c r="K970" s="3"/>
      <c r="L970" s="3"/>
      <c r="M970" s="3"/>
      <c r="N970" s="3"/>
      <c r="O970" s="3"/>
      <c r="P970" s="3"/>
      <c r="Q970" s="3"/>
      <c r="R970" s="3"/>
      <c r="S970" s="3"/>
      <c r="T970" s="3"/>
      <c r="U970" s="3"/>
      <c r="V970" s="3"/>
      <c r="W970" s="3"/>
      <c r="X970" s="1"/>
      <c r="Y970" s="1"/>
      <c r="Z970" s="1"/>
    </row>
    <row r="971" ht="12.75" customHeight="1">
      <c r="A971" s="1"/>
      <c r="B971" s="3"/>
      <c r="C971" s="3"/>
      <c r="D971" s="3"/>
      <c r="E971" s="3"/>
      <c r="F971" s="3"/>
      <c r="G971" s="3"/>
      <c r="H971" s="3"/>
      <c r="I971" s="3"/>
      <c r="J971" s="3"/>
      <c r="K971" s="3"/>
      <c r="L971" s="3"/>
      <c r="M971" s="3"/>
      <c r="N971" s="3"/>
      <c r="O971" s="3"/>
      <c r="P971" s="3"/>
      <c r="Q971" s="3"/>
      <c r="R971" s="3"/>
      <c r="S971" s="3"/>
      <c r="T971" s="3"/>
      <c r="U971" s="3"/>
      <c r="V971" s="3"/>
      <c r="W971" s="3"/>
      <c r="X971" s="1"/>
      <c r="Y971" s="1"/>
      <c r="Z971" s="1"/>
    </row>
    <row r="972" ht="12.75" customHeight="1">
      <c r="A972" s="1"/>
      <c r="B972" s="3"/>
      <c r="C972" s="3"/>
      <c r="D972" s="3"/>
      <c r="E972" s="3"/>
      <c r="F972" s="3"/>
      <c r="G972" s="3"/>
      <c r="H972" s="3"/>
      <c r="I972" s="3"/>
      <c r="J972" s="3"/>
      <c r="K972" s="3"/>
      <c r="L972" s="3"/>
      <c r="M972" s="3"/>
      <c r="N972" s="3"/>
      <c r="O972" s="3"/>
      <c r="P972" s="3"/>
      <c r="Q972" s="3"/>
      <c r="R972" s="3"/>
      <c r="S972" s="3"/>
      <c r="T972" s="3"/>
      <c r="U972" s="3"/>
      <c r="V972" s="3"/>
      <c r="W972" s="3"/>
      <c r="X972" s="1"/>
      <c r="Y972" s="1"/>
      <c r="Z972" s="1"/>
    </row>
    <row r="973" ht="12.75" customHeight="1">
      <c r="A973" s="1"/>
      <c r="B973" s="3"/>
      <c r="C973" s="3"/>
      <c r="D973" s="3"/>
      <c r="E973" s="3"/>
      <c r="F973" s="3"/>
      <c r="G973" s="3"/>
      <c r="H973" s="3"/>
      <c r="I973" s="3"/>
      <c r="J973" s="3"/>
      <c r="K973" s="3"/>
      <c r="L973" s="3"/>
      <c r="M973" s="3"/>
      <c r="N973" s="3"/>
      <c r="O973" s="3"/>
      <c r="P973" s="3"/>
      <c r="Q973" s="3"/>
      <c r="R973" s="3"/>
      <c r="S973" s="3"/>
      <c r="T973" s="3"/>
      <c r="U973" s="3"/>
      <c r="V973" s="3"/>
      <c r="W973" s="3"/>
      <c r="X973" s="1"/>
      <c r="Y973" s="1"/>
      <c r="Z973" s="1"/>
    </row>
    <row r="974" ht="12.75" customHeight="1">
      <c r="A974" s="1"/>
      <c r="B974" s="3"/>
      <c r="C974" s="3"/>
      <c r="D974" s="3"/>
      <c r="E974" s="3"/>
      <c r="F974" s="3"/>
      <c r="G974" s="3"/>
      <c r="H974" s="3"/>
      <c r="I974" s="3"/>
      <c r="J974" s="3"/>
      <c r="K974" s="3"/>
      <c r="L974" s="3"/>
      <c r="M974" s="3"/>
      <c r="N974" s="3"/>
      <c r="O974" s="3"/>
      <c r="P974" s="3"/>
      <c r="Q974" s="3"/>
      <c r="R974" s="3"/>
      <c r="S974" s="3"/>
      <c r="T974" s="3"/>
      <c r="U974" s="3"/>
      <c r="V974" s="3"/>
      <c r="W974" s="3"/>
      <c r="X974" s="1"/>
      <c r="Y974" s="1"/>
      <c r="Z974" s="1"/>
    </row>
    <row r="975" ht="12.75" customHeight="1">
      <c r="A975" s="1"/>
      <c r="B975" s="3"/>
      <c r="C975" s="3"/>
      <c r="D975" s="3"/>
      <c r="E975" s="3"/>
      <c r="F975" s="3"/>
      <c r="G975" s="3"/>
      <c r="H975" s="3"/>
      <c r="I975" s="3"/>
      <c r="J975" s="3"/>
      <c r="K975" s="3"/>
      <c r="L975" s="3"/>
      <c r="M975" s="3"/>
      <c r="N975" s="3"/>
      <c r="O975" s="3"/>
      <c r="P975" s="3"/>
      <c r="Q975" s="3"/>
      <c r="R975" s="3"/>
      <c r="S975" s="3"/>
      <c r="T975" s="3"/>
      <c r="U975" s="3"/>
      <c r="V975" s="3"/>
      <c r="W975" s="3"/>
      <c r="X975" s="1"/>
      <c r="Y975" s="1"/>
      <c r="Z975" s="1"/>
    </row>
    <row r="976" ht="12.75" customHeight="1">
      <c r="A976" s="1"/>
      <c r="B976" s="3"/>
      <c r="C976" s="3"/>
      <c r="D976" s="3"/>
      <c r="E976" s="3"/>
      <c r="F976" s="3"/>
      <c r="G976" s="3"/>
      <c r="H976" s="3"/>
      <c r="I976" s="3"/>
      <c r="J976" s="3"/>
      <c r="K976" s="3"/>
      <c r="L976" s="3"/>
      <c r="M976" s="3"/>
      <c r="N976" s="3"/>
      <c r="O976" s="3"/>
      <c r="P976" s="3"/>
      <c r="Q976" s="3"/>
      <c r="R976" s="3"/>
      <c r="S976" s="3"/>
      <c r="T976" s="3"/>
      <c r="U976" s="3"/>
      <c r="V976" s="3"/>
      <c r="W976" s="3"/>
      <c r="X976" s="1"/>
      <c r="Y976" s="1"/>
      <c r="Z976" s="1"/>
    </row>
    <row r="977" ht="12.75" customHeight="1">
      <c r="A977" s="1"/>
      <c r="B977" s="3"/>
      <c r="C977" s="3"/>
      <c r="D977" s="3"/>
      <c r="E977" s="3"/>
      <c r="F977" s="3"/>
      <c r="G977" s="3"/>
      <c r="H977" s="3"/>
      <c r="I977" s="3"/>
      <c r="J977" s="3"/>
      <c r="K977" s="3"/>
      <c r="L977" s="3"/>
      <c r="M977" s="3"/>
      <c r="N977" s="3"/>
      <c r="O977" s="3"/>
      <c r="P977" s="3"/>
      <c r="Q977" s="3"/>
      <c r="R977" s="3"/>
      <c r="S977" s="3"/>
      <c r="T977" s="3"/>
      <c r="U977" s="3"/>
      <c r="V977" s="3"/>
      <c r="W977" s="3"/>
      <c r="X977" s="1"/>
      <c r="Y977" s="1"/>
      <c r="Z977" s="1"/>
    </row>
    <row r="978" ht="12.75" customHeight="1">
      <c r="A978" s="1"/>
      <c r="B978" s="3"/>
      <c r="C978" s="3"/>
      <c r="D978" s="3"/>
      <c r="E978" s="3"/>
      <c r="F978" s="3"/>
      <c r="G978" s="3"/>
      <c r="H978" s="3"/>
      <c r="I978" s="3"/>
      <c r="J978" s="3"/>
      <c r="K978" s="3"/>
      <c r="L978" s="3"/>
      <c r="M978" s="3"/>
      <c r="N978" s="3"/>
      <c r="O978" s="3"/>
      <c r="P978" s="3"/>
      <c r="Q978" s="3"/>
      <c r="R978" s="3"/>
      <c r="S978" s="3"/>
      <c r="T978" s="3"/>
      <c r="U978" s="3"/>
      <c r="V978" s="3"/>
      <c r="W978" s="3"/>
      <c r="X978" s="1"/>
      <c r="Y978" s="1"/>
      <c r="Z978" s="1"/>
    </row>
    <row r="979" ht="12.75" customHeight="1">
      <c r="A979" s="1"/>
      <c r="B979" s="3"/>
      <c r="C979" s="3"/>
      <c r="D979" s="3"/>
      <c r="E979" s="3"/>
      <c r="F979" s="3"/>
      <c r="G979" s="3"/>
      <c r="H979" s="3"/>
      <c r="I979" s="3"/>
      <c r="J979" s="3"/>
      <c r="K979" s="3"/>
      <c r="L979" s="3"/>
      <c r="M979" s="3"/>
      <c r="N979" s="3"/>
      <c r="O979" s="3"/>
      <c r="P979" s="3"/>
      <c r="Q979" s="3"/>
      <c r="R979" s="3"/>
      <c r="S979" s="3"/>
      <c r="T979" s="3"/>
      <c r="U979" s="3"/>
      <c r="V979" s="3"/>
      <c r="W979" s="3"/>
      <c r="X979" s="1"/>
      <c r="Y979" s="1"/>
      <c r="Z979" s="1"/>
    </row>
    <row r="980" ht="12.75" customHeight="1">
      <c r="A980" s="1"/>
      <c r="B980" s="3"/>
      <c r="C980" s="3"/>
      <c r="D980" s="3"/>
      <c r="E980" s="3"/>
      <c r="F980" s="3"/>
      <c r="G980" s="3"/>
      <c r="H980" s="3"/>
      <c r="I980" s="3"/>
      <c r="J980" s="3"/>
      <c r="K980" s="3"/>
      <c r="L980" s="3"/>
      <c r="M980" s="3"/>
      <c r="N980" s="3"/>
      <c r="O980" s="3"/>
      <c r="P980" s="3"/>
      <c r="Q980" s="3"/>
      <c r="R980" s="3"/>
      <c r="S980" s="3"/>
      <c r="T980" s="3"/>
      <c r="U980" s="3"/>
      <c r="V980" s="3"/>
      <c r="W980" s="3"/>
      <c r="X980" s="1"/>
      <c r="Y980" s="1"/>
      <c r="Z980" s="1"/>
    </row>
    <row r="981" ht="12.75" customHeight="1">
      <c r="A981" s="1"/>
      <c r="B981" s="3"/>
      <c r="C981" s="3"/>
      <c r="D981" s="3"/>
      <c r="E981" s="3"/>
      <c r="F981" s="3"/>
      <c r="G981" s="3"/>
      <c r="H981" s="3"/>
      <c r="I981" s="3"/>
      <c r="J981" s="3"/>
      <c r="K981" s="3"/>
      <c r="L981" s="3"/>
      <c r="M981" s="3"/>
      <c r="N981" s="3"/>
      <c r="O981" s="3"/>
      <c r="P981" s="3"/>
      <c r="Q981" s="3"/>
      <c r="R981" s="3"/>
      <c r="S981" s="3"/>
      <c r="T981" s="3"/>
      <c r="U981" s="3"/>
      <c r="V981" s="3"/>
      <c r="W981" s="3"/>
      <c r="X981" s="1"/>
      <c r="Y981" s="1"/>
      <c r="Z981" s="1"/>
    </row>
    <row r="982" ht="12.75" customHeight="1">
      <c r="A982" s="1"/>
      <c r="B982" s="3"/>
      <c r="C982" s="3"/>
      <c r="D982" s="3"/>
      <c r="E982" s="3"/>
      <c r="F982" s="3"/>
      <c r="G982" s="3"/>
      <c r="H982" s="3"/>
      <c r="I982" s="3"/>
      <c r="J982" s="3"/>
      <c r="K982" s="3"/>
      <c r="L982" s="3"/>
      <c r="M982" s="3"/>
      <c r="N982" s="3"/>
      <c r="O982" s="3"/>
      <c r="P982" s="3"/>
      <c r="Q982" s="3"/>
      <c r="R982" s="3"/>
      <c r="S982" s="3"/>
      <c r="T982" s="3"/>
      <c r="U982" s="3"/>
      <c r="V982" s="3"/>
      <c r="W982" s="3"/>
      <c r="X982" s="1"/>
      <c r="Y982" s="1"/>
      <c r="Z982" s="1"/>
    </row>
    <row r="983" ht="12.75" customHeight="1">
      <c r="A983" s="1"/>
      <c r="B983" s="3"/>
      <c r="C983" s="3"/>
      <c r="D983" s="3"/>
      <c r="E983" s="3"/>
      <c r="F983" s="3"/>
      <c r="G983" s="3"/>
      <c r="H983" s="3"/>
      <c r="I983" s="3"/>
      <c r="J983" s="3"/>
      <c r="K983" s="3"/>
      <c r="L983" s="3"/>
      <c r="M983" s="3"/>
      <c r="N983" s="3"/>
      <c r="O983" s="3"/>
      <c r="P983" s="3"/>
      <c r="Q983" s="3"/>
      <c r="R983" s="3"/>
      <c r="S983" s="3"/>
      <c r="T983" s="3"/>
      <c r="U983" s="3"/>
      <c r="V983" s="3"/>
      <c r="W983" s="3"/>
      <c r="X983" s="1"/>
      <c r="Y983" s="1"/>
      <c r="Z983" s="1"/>
    </row>
    <row r="984" ht="12.75" customHeight="1">
      <c r="A984" s="1"/>
      <c r="B984" s="3"/>
      <c r="C984" s="3"/>
      <c r="D984" s="3"/>
      <c r="E984" s="3"/>
      <c r="F984" s="3"/>
      <c r="G984" s="3"/>
      <c r="H984" s="3"/>
      <c r="I984" s="3"/>
      <c r="J984" s="3"/>
      <c r="K984" s="3"/>
      <c r="L984" s="3"/>
      <c r="M984" s="3"/>
      <c r="N984" s="3"/>
      <c r="O984" s="3"/>
      <c r="P984" s="3"/>
      <c r="Q984" s="3"/>
      <c r="R984" s="3"/>
      <c r="S984" s="3"/>
      <c r="T984" s="3"/>
      <c r="U984" s="3"/>
      <c r="V984" s="3"/>
      <c r="W984" s="3"/>
      <c r="X984" s="1"/>
      <c r="Y984" s="1"/>
      <c r="Z984" s="1"/>
    </row>
    <row r="985" ht="12.75" customHeight="1">
      <c r="A985" s="1"/>
      <c r="B985" s="3"/>
      <c r="C985" s="3"/>
      <c r="D985" s="3"/>
      <c r="E985" s="3"/>
      <c r="F985" s="3"/>
      <c r="G985" s="3"/>
      <c r="H985" s="3"/>
      <c r="I985" s="3"/>
      <c r="J985" s="3"/>
      <c r="K985" s="3"/>
      <c r="L985" s="3"/>
      <c r="M985" s="3"/>
      <c r="N985" s="3"/>
      <c r="O985" s="3"/>
      <c r="P985" s="3"/>
      <c r="Q985" s="3"/>
      <c r="R985" s="3"/>
      <c r="S985" s="3"/>
      <c r="T985" s="3"/>
      <c r="U985" s="3"/>
      <c r="V985" s="3"/>
      <c r="W985" s="3"/>
      <c r="X985" s="1"/>
      <c r="Y985" s="1"/>
      <c r="Z985" s="1"/>
    </row>
    <row r="986" ht="12.75" customHeight="1">
      <c r="A986" s="1"/>
      <c r="B986" s="3"/>
      <c r="C986" s="3"/>
      <c r="D986" s="3"/>
      <c r="E986" s="3"/>
      <c r="F986" s="3"/>
      <c r="G986" s="3"/>
      <c r="H986" s="3"/>
      <c r="I986" s="3"/>
      <c r="J986" s="3"/>
      <c r="K986" s="3"/>
      <c r="L986" s="3"/>
      <c r="M986" s="3"/>
      <c r="N986" s="3"/>
      <c r="O986" s="3"/>
      <c r="P986" s="3"/>
      <c r="Q986" s="3"/>
      <c r="R986" s="3"/>
      <c r="S986" s="3"/>
      <c r="T986" s="3"/>
      <c r="U986" s="3"/>
      <c r="V986" s="3"/>
      <c r="W986" s="3"/>
      <c r="X986" s="1"/>
      <c r="Y986" s="1"/>
      <c r="Z986" s="1"/>
    </row>
    <row r="987" ht="12.75" customHeight="1">
      <c r="A987" s="1"/>
      <c r="B987" s="3"/>
      <c r="C987" s="3"/>
      <c r="D987" s="3"/>
      <c r="E987" s="3"/>
      <c r="F987" s="3"/>
      <c r="G987" s="3"/>
      <c r="H987" s="3"/>
      <c r="I987" s="3"/>
      <c r="J987" s="3"/>
      <c r="K987" s="3"/>
      <c r="L987" s="3"/>
      <c r="M987" s="3"/>
      <c r="N987" s="3"/>
      <c r="O987" s="3"/>
      <c r="P987" s="3"/>
      <c r="Q987" s="3"/>
      <c r="R987" s="3"/>
      <c r="S987" s="3"/>
      <c r="T987" s="3"/>
      <c r="U987" s="3"/>
      <c r="V987" s="3"/>
      <c r="W987" s="3"/>
      <c r="X987" s="1"/>
      <c r="Y987" s="1"/>
      <c r="Z987" s="1"/>
    </row>
    <row r="988" ht="12.75" customHeight="1">
      <c r="A988" s="1"/>
      <c r="B988" s="3"/>
      <c r="C988" s="3"/>
      <c r="D988" s="3"/>
      <c r="E988" s="3"/>
      <c r="F988" s="3"/>
      <c r="G988" s="3"/>
      <c r="H988" s="3"/>
      <c r="I988" s="3"/>
      <c r="J988" s="3"/>
      <c r="K988" s="3"/>
      <c r="L988" s="3"/>
      <c r="M988" s="3"/>
      <c r="N988" s="3"/>
      <c r="O988" s="3"/>
      <c r="P988" s="3"/>
      <c r="Q988" s="3"/>
      <c r="R988" s="3"/>
      <c r="S988" s="3"/>
      <c r="T988" s="3"/>
      <c r="U988" s="3"/>
      <c r="V988" s="3"/>
      <c r="W988" s="3"/>
      <c r="X988" s="1"/>
      <c r="Y988" s="1"/>
      <c r="Z988" s="1"/>
    </row>
    <row r="989" ht="12.75" customHeight="1">
      <c r="A989" s="1"/>
      <c r="B989" s="3"/>
      <c r="C989" s="3"/>
      <c r="D989" s="3"/>
      <c r="E989" s="3"/>
      <c r="F989" s="3"/>
      <c r="G989" s="3"/>
      <c r="H989" s="3"/>
      <c r="I989" s="3"/>
      <c r="J989" s="3"/>
      <c r="K989" s="3"/>
      <c r="L989" s="3"/>
      <c r="M989" s="3"/>
      <c r="N989" s="3"/>
      <c r="O989" s="3"/>
      <c r="P989" s="3"/>
      <c r="Q989" s="3"/>
      <c r="R989" s="3"/>
      <c r="S989" s="3"/>
      <c r="T989" s="3"/>
      <c r="U989" s="3"/>
      <c r="V989" s="3"/>
      <c r="W989" s="3"/>
      <c r="X989" s="1"/>
      <c r="Y989" s="1"/>
      <c r="Z989" s="1"/>
    </row>
    <row r="990" ht="12.75" customHeight="1">
      <c r="A990" s="1"/>
      <c r="B990" s="3"/>
      <c r="C990" s="3"/>
      <c r="D990" s="3"/>
      <c r="E990" s="3"/>
      <c r="F990" s="3"/>
      <c r="G990" s="3"/>
      <c r="H990" s="3"/>
      <c r="I990" s="3"/>
      <c r="J990" s="3"/>
      <c r="K990" s="3"/>
      <c r="L990" s="3"/>
      <c r="M990" s="3"/>
      <c r="N990" s="3"/>
      <c r="O990" s="3"/>
      <c r="P990" s="3"/>
      <c r="Q990" s="3"/>
      <c r="R990" s="3"/>
      <c r="S990" s="3"/>
      <c r="T990" s="3"/>
      <c r="U990" s="3"/>
      <c r="V990" s="3"/>
      <c r="W990" s="3"/>
      <c r="X990" s="1"/>
      <c r="Y990" s="1"/>
      <c r="Z990" s="1"/>
    </row>
    <row r="991" ht="12.75" customHeight="1">
      <c r="A991" s="1"/>
      <c r="B991" s="3"/>
      <c r="C991" s="3"/>
      <c r="D991" s="3"/>
      <c r="E991" s="3"/>
      <c r="F991" s="3"/>
      <c r="G991" s="3"/>
      <c r="H991" s="3"/>
      <c r="I991" s="3"/>
      <c r="J991" s="3"/>
      <c r="K991" s="3"/>
      <c r="L991" s="3"/>
      <c r="M991" s="3"/>
      <c r="N991" s="3"/>
      <c r="O991" s="3"/>
      <c r="P991" s="3"/>
      <c r="Q991" s="3"/>
      <c r="R991" s="3"/>
      <c r="S991" s="3"/>
      <c r="T991" s="3"/>
      <c r="U991" s="3"/>
      <c r="V991" s="3"/>
      <c r="W991" s="3"/>
      <c r="X991" s="1"/>
      <c r="Y991" s="1"/>
      <c r="Z991" s="1"/>
    </row>
    <row r="992" ht="12.75" customHeight="1">
      <c r="A992" s="1"/>
      <c r="B992" s="3"/>
      <c r="C992" s="3"/>
      <c r="D992" s="3"/>
      <c r="E992" s="3"/>
      <c r="F992" s="3"/>
      <c r="G992" s="3"/>
      <c r="H992" s="3"/>
      <c r="I992" s="3"/>
      <c r="J992" s="3"/>
      <c r="K992" s="3"/>
      <c r="L992" s="3"/>
      <c r="M992" s="3"/>
      <c r="N992" s="3"/>
      <c r="O992" s="3"/>
      <c r="P992" s="3"/>
      <c r="Q992" s="3"/>
      <c r="R992" s="3"/>
      <c r="S992" s="3"/>
      <c r="T992" s="3"/>
      <c r="U992" s="3"/>
      <c r="V992" s="3"/>
      <c r="W992" s="3"/>
      <c r="X992" s="1"/>
      <c r="Y992" s="1"/>
      <c r="Z992" s="1"/>
    </row>
    <row r="993" ht="12.75" customHeight="1">
      <c r="A993" s="1"/>
      <c r="B993" s="3"/>
      <c r="C993" s="3"/>
      <c r="D993" s="3"/>
      <c r="E993" s="3"/>
      <c r="F993" s="3"/>
      <c r="G993" s="3"/>
      <c r="H993" s="3"/>
      <c r="I993" s="3"/>
      <c r="J993" s="3"/>
      <c r="K993" s="3"/>
      <c r="L993" s="3"/>
      <c r="M993" s="3"/>
      <c r="N993" s="3"/>
      <c r="O993" s="3"/>
      <c r="P993" s="3"/>
      <c r="Q993" s="3"/>
      <c r="R993" s="3"/>
      <c r="S993" s="3"/>
      <c r="T993" s="3"/>
      <c r="U993" s="3"/>
      <c r="V993" s="3"/>
      <c r="W993" s="3"/>
      <c r="X993" s="1"/>
      <c r="Y993" s="1"/>
      <c r="Z993" s="1"/>
    </row>
    <row r="994" ht="12.75" customHeight="1">
      <c r="A994" s="1"/>
      <c r="B994" s="3"/>
      <c r="C994" s="3"/>
      <c r="D994" s="3"/>
      <c r="E994" s="3"/>
      <c r="F994" s="3"/>
      <c r="G994" s="3"/>
      <c r="H994" s="3"/>
      <c r="I994" s="3"/>
      <c r="J994" s="3"/>
      <c r="K994" s="3"/>
      <c r="L994" s="3"/>
      <c r="M994" s="3"/>
      <c r="N994" s="3"/>
      <c r="O994" s="3"/>
      <c r="P994" s="3"/>
      <c r="Q994" s="3"/>
      <c r="R994" s="3"/>
      <c r="S994" s="3"/>
      <c r="T994" s="3"/>
      <c r="U994" s="3"/>
      <c r="V994" s="3"/>
      <c r="W994" s="3"/>
      <c r="X994" s="1"/>
      <c r="Y994" s="1"/>
      <c r="Z994" s="1"/>
    </row>
    <row r="995" ht="12.75" customHeight="1">
      <c r="A995" s="1"/>
      <c r="B995" s="3"/>
      <c r="C995" s="3"/>
      <c r="D995" s="3"/>
      <c r="E995" s="3"/>
      <c r="F995" s="3"/>
      <c r="G995" s="3"/>
      <c r="H995" s="3"/>
      <c r="I995" s="3"/>
      <c r="J995" s="3"/>
      <c r="K995" s="3"/>
      <c r="L995" s="3"/>
      <c r="M995" s="3"/>
      <c r="N995" s="3"/>
      <c r="O995" s="3"/>
      <c r="P995" s="3"/>
      <c r="Q995" s="3"/>
      <c r="R995" s="3"/>
      <c r="S995" s="3"/>
      <c r="T995" s="3"/>
      <c r="U995" s="3"/>
      <c r="V995" s="3"/>
      <c r="W995" s="3"/>
      <c r="X995" s="1"/>
      <c r="Y995" s="1"/>
      <c r="Z995" s="1"/>
    </row>
    <row r="996" ht="12.75" customHeight="1">
      <c r="A996" s="1"/>
      <c r="B996" s="3"/>
      <c r="C996" s="3"/>
      <c r="D996" s="3"/>
      <c r="E996" s="3"/>
      <c r="F996" s="3"/>
      <c r="G996" s="3"/>
      <c r="H996" s="3"/>
      <c r="I996" s="3"/>
      <c r="J996" s="3"/>
      <c r="K996" s="3"/>
      <c r="L996" s="3"/>
      <c r="M996" s="3"/>
      <c r="N996" s="3"/>
      <c r="O996" s="3"/>
      <c r="P996" s="3"/>
      <c r="Q996" s="3"/>
      <c r="R996" s="3"/>
      <c r="S996" s="3"/>
      <c r="T996" s="3"/>
      <c r="U996" s="3"/>
      <c r="V996" s="3"/>
      <c r="W996" s="3"/>
      <c r="X996" s="1"/>
      <c r="Y996" s="1"/>
      <c r="Z996" s="1"/>
    </row>
    <row r="997" ht="12.75" customHeight="1">
      <c r="A997" s="1"/>
      <c r="B997" s="3"/>
      <c r="C997" s="3"/>
      <c r="D997" s="3"/>
      <c r="E997" s="3"/>
      <c r="F997" s="3"/>
      <c r="G997" s="3"/>
      <c r="H997" s="3"/>
      <c r="I997" s="3"/>
      <c r="J997" s="3"/>
      <c r="K997" s="3"/>
      <c r="L997" s="3"/>
      <c r="M997" s="3"/>
      <c r="N997" s="3"/>
      <c r="O997" s="3"/>
      <c r="P997" s="3"/>
      <c r="Q997" s="3"/>
      <c r="R997" s="3"/>
      <c r="S997" s="3"/>
      <c r="T997" s="3"/>
      <c r="U997" s="3"/>
      <c r="V997" s="3"/>
      <c r="W997" s="3"/>
      <c r="X997" s="1"/>
      <c r="Y997" s="1"/>
      <c r="Z997" s="1"/>
    </row>
    <row r="998" ht="12.75" customHeight="1">
      <c r="A998" s="1"/>
      <c r="B998" s="3"/>
      <c r="C998" s="3"/>
      <c r="D998" s="3"/>
      <c r="E998" s="3"/>
      <c r="F998" s="3"/>
      <c r="G998" s="3"/>
      <c r="H998" s="3"/>
      <c r="I998" s="3"/>
      <c r="J998" s="3"/>
      <c r="K998" s="3"/>
      <c r="L998" s="3"/>
      <c r="M998" s="3"/>
      <c r="N998" s="3"/>
      <c r="O998" s="3"/>
      <c r="P998" s="3"/>
      <c r="Q998" s="3"/>
      <c r="R998" s="3"/>
      <c r="S998" s="3"/>
      <c r="T998" s="3"/>
      <c r="U998" s="3"/>
      <c r="V998" s="3"/>
      <c r="W998" s="3"/>
      <c r="X998" s="1"/>
      <c r="Y998" s="1"/>
      <c r="Z998" s="1"/>
    </row>
    <row r="999" ht="12.75" customHeight="1">
      <c r="A999" s="1"/>
      <c r="B999" s="3"/>
      <c r="C999" s="3"/>
      <c r="D999" s="3"/>
      <c r="E999" s="3"/>
      <c r="F999" s="3"/>
      <c r="G999" s="3"/>
      <c r="H999" s="3"/>
      <c r="I999" s="3"/>
      <c r="J999" s="3"/>
      <c r="K999" s="3"/>
      <c r="L999" s="3"/>
      <c r="M999" s="3"/>
      <c r="N999" s="3"/>
      <c r="O999" s="3"/>
      <c r="P999" s="3"/>
      <c r="Q999" s="3"/>
      <c r="R999" s="3"/>
      <c r="S999" s="3"/>
      <c r="T999" s="3"/>
      <c r="U999" s="3"/>
      <c r="V999" s="3"/>
      <c r="W999" s="3"/>
      <c r="X999" s="1"/>
      <c r="Y999" s="1"/>
      <c r="Z999" s="1"/>
    </row>
    <row r="1000" ht="12.75" customHeight="1">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1"/>
      <c r="Y1000" s="1"/>
      <c r="Z1000" s="1"/>
    </row>
  </sheetData>
  <mergeCells count="1">
    <mergeCell ref="C5:U28"/>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8.43"/>
    <col customWidth="1" min="2" max="2" width="43.29"/>
    <col customWidth="1" min="3" max="3" width="171.43"/>
    <col customWidth="1" min="4" max="4" width="23.43"/>
    <col customWidth="1" min="5" max="5" width="28.57"/>
    <col customWidth="1" min="6" max="6" width="18.71"/>
    <col customWidth="1" min="7" max="7" width="16.71"/>
    <col customWidth="1" min="8" max="26" width="8.71"/>
  </cols>
  <sheetData>
    <row r="1" ht="12.75" customHeight="1">
      <c r="A1" s="7"/>
      <c r="B1" s="7"/>
      <c r="C1" s="7"/>
      <c r="D1" s="7"/>
      <c r="E1" s="7"/>
      <c r="F1" s="7"/>
      <c r="G1" s="7"/>
      <c r="H1" s="7"/>
      <c r="I1" s="7"/>
      <c r="J1" s="7"/>
      <c r="K1" s="7"/>
      <c r="L1" s="7"/>
      <c r="M1" s="7"/>
      <c r="N1" s="7"/>
      <c r="O1" s="7"/>
      <c r="P1" s="7"/>
      <c r="Q1" s="7"/>
      <c r="R1" s="7"/>
      <c r="S1" s="7"/>
      <c r="T1" s="7"/>
      <c r="U1" s="7"/>
      <c r="V1" s="7"/>
      <c r="W1" s="7"/>
      <c r="X1" s="7"/>
      <c r="Y1" s="7"/>
      <c r="Z1" s="7"/>
    </row>
    <row r="2" ht="12.75" customHeight="1">
      <c r="A2" s="7"/>
      <c r="B2" s="7"/>
      <c r="C2" s="7"/>
      <c r="D2" s="7"/>
      <c r="E2" s="7"/>
      <c r="F2" s="7"/>
      <c r="G2" s="7"/>
      <c r="H2" s="7"/>
      <c r="I2" s="7"/>
      <c r="J2" s="7"/>
      <c r="K2" s="7"/>
      <c r="L2" s="7"/>
      <c r="M2" s="7"/>
      <c r="N2" s="7"/>
      <c r="O2" s="7"/>
      <c r="P2" s="7"/>
      <c r="Q2" s="7"/>
      <c r="R2" s="7"/>
      <c r="S2" s="7"/>
      <c r="T2" s="7"/>
      <c r="U2" s="7"/>
      <c r="V2" s="7"/>
      <c r="W2" s="7"/>
      <c r="X2" s="7"/>
      <c r="Y2" s="7"/>
      <c r="Z2" s="7"/>
    </row>
    <row r="3" ht="12.75" customHeight="1">
      <c r="A3" s="7"/>
      <c r="B3" s="7"/>
      <c r="C3" s="7"/>
      <c r="D3" s="7"/>
      <c r="E3" s="7"/>
      <c r="F3" s="7"/>
      <c r="G3" s="7"/>
      <c r="H3" s="7"/>
      <c r="I3" s="7"/>
      <c r="J3" s="7"/>
      <c r="K3" s="7"/>
      <c r="L3" s="7"/>
      <c r="M3" s="7"/>
      <c r="N3" s="7"/>
      <c r="O3" s="7"/>
      <c r="P3" s="7"/>
      <c r="Q3" s="7"/>
      <c r="R3" s="7"/>
      <c r="S3" s="7"/>
      <c r="T3" s="7"/>
      <c r="U3" s="7"/>
      <c r="V3" s="7"/>
      <c r="W3" s="7"/>
      <c r="X3" s="7"/>
      <c r="Y3" s="7"/>
      <c r="Z3" s="7"/>
    </row>
    <row r="4" ht="12.75" customHeight="1">
      <c r="A4" s="7"/>
      <c r="B4" s="7"/>
      <c r="C4" s="7"/>
      <c r="D4" s="7"/>
      <c r="E4" s="7"/>
      <c r="F4" s="7"/>
      <c r="G4" s="7"/>
      <c r="H4" s="7"/>
      <c r="I4" s="7"/>
      <c r="J4" s="7"/>
      <c r="K4" s="7"/>
      <c r="L4" s="7"/>
      <c r="M4" s="7"/>
      <c r="N4" s="7"/>
      <c r="O4" s="7"/>
      <c r="P4" s="7"/>
      <c r="Q4" s="7"/>
      <c r="R4" s="7"/>
      <c r="S4" s="7"/>
      <c r="T4" s="7"/>
      <c r="U4" s="7"/>
      <c r="V4" s="7"/>
      <c r="W4" s="7"/>
      <c r="X4" s="7"/>
      <c r="Y4" s="7"/>
      <c r="Z4" s="7"/>
    </row>
    <row r="5" ht="12.75" customHeight="1">
      <c r="A5" s="7"/>
      <c r="B5" s="7"/>
      <c r="C5" s="7"/>
      <c r="D5" s="7"/>
      <c r="E5" s="7"/>
      <c r="F5" s="7"/>
      <c r="G5" s="7"/>
      <c r="H5" s="7"/>
      <c r="I5" s="7"/>
      <c r="J5" s="7"/>
      <c r="K5" s="7"/>
      <c r="L5" s="7"/>
      <c r="M5" s="7"/>
      <c r="N5" s="7"/>
      <c r="O5" s="7"/>
      <c r="P5" s="7"/>
      <c r="Q5" s="7"/>
      <c r="R5" s="7"/>
      <c r="S5" s="7"/>
      <c r="T5" s="7"/>
      <c r="U5" s="7"/>
      <c r="V5" s="7"/>
      <c r="W5" s="7"/>
      <c r="X5" s="7"/>
      <c r="Y5" s="7"/>
      <c r="Z5" s="7"/>
    </row>
    <row r="6" ht="12.75" customHeight="1">
      <c r="A6" s="7"/>
      <c r="B6" s="8" t="s">
        <v>1</v>
      </c>
      <c r="C6" s="9" t="s">
        <v>2</v>
      </c>
      <c r="D6" s="7"/>
      <c r="E6" s="7"/>
      <c r="F6" s="7"/>
      <c r="G6" s="7"/>
      <c r="H6" s="7"/>
      <c r="I6" s="7"/>
      <c r="J6" s="7"/>
      <c r="K6" s="7"/>
      <c r="L6" s="7"/>
      <c r="M6" s="7"/>
      <c r="N6" s="7"/>
      <c r="O6" s="7"/>
      <c r="P6" s="7"/>
      <c r="Q6" s="7"/>
      <c r="R6" s="7"/>
      <c r="S6" s="7"/>
      <c r="T6" s="7"/>
      <c r="U6" s="7"/>
      <c r="V6" s="7"/>
      <c r="W6" s="7"/>
      <c r="X6" s="7"/>
      <c r="Y6" s="7"/>
      <c r="Z6" s="7"/>
    </row>
    <row r="7" ht="12.75" customHeight="1">
      <c r="A7" s="7"/>
      <c r="B7" s="10"/>
      <c r="C7" s="10"/>
      <c r="D7" s="7"/>
      <c r="E7" s="7"/>
      <c r="F7" s="7"/>
      <c r="G7" s="7"/>
      <c r="H7" s="7"/>
      <c r="I7" s="7"/>
      <c r="J7" s="7"/>
      <c r="K7" s="7"/>
      <c r="L7" s="7"/>
      <c r="M7" s="7"/>
      <c r="N7" s="7"/>
      <c r="O7" s="7"/>
      <c r="P7" s="7"/>
      <c r="Q7" s="7"/>
      <c r="R7" s="7"/>
      <c r="S7" s="7"/>
      <c r="T7" s="7"/>
      <c r="U7" s="7"/>
      <c r="V7" s="7"/>
      <c r="W7" s="7"/>
      <c r="X7" s="7"/>
      <c r="Y7" s="7"/>
      <c r="Z7" s="7"/>
    </row>
    <row r="8" ht="12.75" customHeight="1">
      <c r="A8" s="7"/>
      <c r="B8" s="8" t="s">
        <v>3</v>
      </c>
      <c r="C8" s="9" t="s">
        <v>4</v>
      </c>
      <c r="D8" s="7"/>
      <c r="E8" s="7"/>
      <c r="F8" s="7"/>
      <c r="G8" s="7"/>
      <c r="H8" s="7"/>
      <c r="I8" s="7"/>
      <c r="J8" s="7"/>
      <c r="K8" s="7"/>
      <c r="L8" s="7"/>
      <c r="M8" s="7"/>
      <c r="N8" s="7"/>
      <c r="O8" s="7"/>
      <c r="P8" s="7"/>
      <c r="Q8" s="7"/>
      <c r="R8" s="7"/>
      <c r="S8" s="7"/>
      <c r="T8" s="7"/>
      <c r="U8" s="7"/>
      <c r="V8" s="7"/>
      <c r="W8" s="7"/>
      <c r="X8" s="7"/>
      <c r="Y8" s="7"/>
      <c r="Z8" s="7"/>
    </row>
    <row r="9" ht="12.75" customHeight="1">
      <c r="A9" s="7"/>
      <c r="B9" s="10"/>
      <c r="C9" s="10"/>
      <c r="D9" s="7"/>
      <c r="E9" s="7"/>
      <c r="F9" s="7"/>
      <c r="G9" s="7"/>
      <c r="H9" s="7"/>
      <c r="I9" s="7"/>
      <c r="J9" s="7"/>
      <c r="K9" s="7"/>
      <c r="L9" s="7"/>
      <c r="M9" s="7"/>
      <c r="N9" s="7"/>
      <c r="O9" s="7"/>
      <c r="P9" s="7"/>
      <c r="Q9" s="7"/>
      <c r="R9" s="7"/>
      <c r="S9" s="7"/>
      <c r="T9" s="7"/>
      <c r="U9" s="7"/>
      <c r="V9" s="7"/>
      <c r="W9" s="7"/>
      <c r="X9" s="7"/>
      <c r="Y9" s="7"/>
      <c r="Z9" s="7"/>
    </row>
    <row r="10" ht="12.75" customHeight="1">
      <c r="A10" s="7"/>
      <c r="B10" s="8" t="s">
        <v>5</v>
      </c>
      <c r="C10" s="10"/>
      <c r="D10" s="7"/>
      <c r="E10" s="7"/>
      <c r="F10" s="7"/>
      <c r="G10" s="7"/>
      <c r="H10" s="7"/>
      <c r="I10" s="7"/>
      <c r="J10" s="7"/>
      <c r="K10" s="7"/>
      <c r="L10" s="7"/>
      <c r="M10" s="7"/>
      <c r="N10" s="7"/>
      <c r="O10" s="7"/>
      <c r="P10" s="7"/>
      <c r="Q10" s="7"/>
      <c r="R10" s="7"/>
      <c r="S10" s="7"/>
      <c r="T10" s="7"/>
      <c r="U10" s="7"/>
      <c r="V10" s="7"/>
      <c r="W10" s="7"/>
      <c r="X10" s="7"/>
      <c r="Y10" s="7"/>
      <c r="Z10" s="7"/>
    </row>
    <row r="11" ht="12.75" customHeight="1">
      <c r="A11" s="7"/>
      <c r="B11" s="8"/>
      <c r="C11" s="10"/>
      <c r="D11" s="7"/>
      <c r="E11" s="7"/>
      <c r="F11" s="7"/>
      <c r="G11" s="7"/>
      <c r="H11" s="7"/>
      <c r="I11" s="7"/>
      <c r="J11" s="7"/>
      <c r="K11" s="7"/>
      <c r="L11" s="7"/>
      <c r="M11" s="7"/>
      <c r="N11" s="7"/>
      <c r="O11" s="7"/>
      <c r="P11" s="7"/>
      <c r="Q11" s="7"/>
      <c r="R11" s="7"/>
      <c r="S11" s="7"/>
      <c r="T11" s="7"/>
      <c r="U11" s="7"/>
      <c r="V11" s="7"/>
      <c r="W11" s="7"/>
      <c r="X11" s="7"/>
      <c r="Y11" s="7"/>
      <c r="Z11" s="7"/>
    </row>
    <row r="12" ht="12.75" customHeight="1">
      <c r="A12" s="7"/>
      <c r="B12" s="11" t="s">
        <v>6</v>
      </c>
      <c r="C12" s="12" t="s">
        <v>7</v>
      </c>
      <c r="D12" s="13"/>
      <c r="E12" s="13"/>
      <c r="F12" s="13"/>
      <c r="G12" s="13"/>
      <c r="H12" s="13"/>
      <c r="I12" s="7"/>
      <c r="J12" s="7"/>
      <c r="K12" s="7"/>
      <c r="L12" s="7"/>
      <c r="M12" s="7"/>
      <c r="N12" s="7"/>
      <c r="O12" s="7"/>
      <c r="P12" s="7"/>
      <c r="Q12" s="7"/>
      <c r="R12" s="7"/>
      <c r="S12" s="7"/>
      <c r="T12" s="7"/>
      <c r="U12" s="7"/>
      <c r="V12" s="7"/>
      <c r="W12" s="7"/>
      <c r="X12" s="7"/>
      <c r="Y12" s="7"/>
      <c r="Z12" s="7"/>
    </row>
    <row r="13" ht="12.75" customHeight="1">
      <c r="A13" s="7"/>
      <c r="B13" s="11" t="s">
        <v>8</v>
      </c>
      <c r="C13" s="12" t="s">
        <v>9</v>
      </c>
      <c r="D13" s="13"/>
      <c r="E13" s="13"/>
      <c r="F13" s="13"/>
      <c r="G13" s="13"/>
      <c r="H13" s="13"/>
      <c r="I13" s="7"/>
      <c r="J13" s="7"/>
      <c r="K13" s="7"/>
      <c r="L13" s="7"/>
      <c r="M13" s="7"/>
      <c r="N13" s="7"/>
      <c r="O13" s="7"/>
      <c r="P13" s="7"/>
      <c r="Q13" s="7"/>
      <c r="R13" s="7"/>
      <c r="S13" s="7"/>
      <c r="T13" s="7"/>
      <c r="U13" s="7"/>
      <c r="V13" s="7"/>
      <c r="W13" s="7"/>
      <c r="X13" s="7"/>
      <c r="Y13" s="7"/>
      <c r="Z13" s="7"/>
    </row>
    <row r="14" ht="12.75" customHeight="1">
      <c r="A14" s="7"/>
      <c r="B14" s="11" t="s">
        <v>10</v>
      </c>
      <c r="C14" s="9" t="s">
        <v>11</v>
      </c>
      <c r="D14" s="13"/>
      <c r="E14" s="13"/>
      <c r="F14" s="13"/>
      <c r="G14" s="13"/>
      <c r="H14" s="13"/>
      <c r="I14" s="7"/>
      <c r="J14" s="7"/>
      <c r="K14" s="7"/>
      <c r="L14" s="7"/>
      <c r="M14" s="7"/>
      <c r="N14" s="7"/>
      <c r="O14" s="7"/>
      <c r="P14" s="7"/>
      <c r="Q14" s="7"/>
      <c r="R14" s="7"/>
      <c r="S14" s="7"/>
      <c r="T14" s="7"/>
      <c r="U14" s="7"/>
      <c r="V14" s="7"/>
      <c r="W14" s="7"/>
      <c r="X14" s="7"/>
      <c r="Y14" s="7"/>
      <c r="Z14" s="7"/>
    </row>
    <row r="15" ht="12.75" customHeight="1">
      <c r="A15" s="7"/>
      <c r="B15" s="11" t="s">
        <v>12</v>
      </c>
      <c r="C15" s="12" t="s">
        <v>13</v>
      </c>
      <c r="D15" s="13"/>
      <c r="E15" s="13"/>
      <c r="F15" s="13"/>
      <c r="G15" s="13"/>
      <c r="H15" s="13"/>
      <c r="I15" s="7"/>
      <c r="J15" s="7"/>
      <c r="K15" s="7"/>
      <c r="L15" s="7"/>
      <c r="M15" s="7"/>
      <c r="N15" s="7"/>
      <c r="O15" s="7"/>
      <c r="P15" s="7"/>
      <c r="Q15" s="7"/>
      <c r="R15" s="7"/>
      <c r="S15" s="7"/>
      <c r="T15" s="7"/>
      <c r="U15" s="7"/>
      <c r="V15" s="7"/>
      <c r="W15" s="7"/>
      <c r="X15" s="7"/>
      <c r="Y15" s="7"/>
      <c r="Z15" s="7"/>
    </row>
    <row r="16" ht="12.75" customHeight="1">
      <c r="A16" s="7"/>
      <c r="B16" s="11" t="s">
        <v>14</v>
      </c>
      <c r="C16" s="12" t="s">
        <v>15</v>
      </c>
      <c r="D16" s="13"/>
      <c r="E16" s="13"/>
      <c r="F16" s="13"/>
      <c r="G16" s="13"/>
      <c r="H16" s="13"/>
      <c r="I16" s="7"/>
      <c r="J16" s="7"/>
      <c r="K16" s="7"/>
      <c r="L16" s="7"/>
      <c r="M16" s="7"/>
      <c r="N16" s="7"/>
      <c r="O16" s="7"/>
      <c r="P16" s="7"/>
      <c r="Q16" s="7"/>
      <c r="R16" s="7"/>
      <c r="S16" s="7"/>
      <c r="T16" s="7"/>
      <c r="U16" s="7"/>
      <c r="V16" s="7"/>
      <c r="W16" s="7"/>
      <c r="X16" s="7"/>
      <c r="Y16" s="7"/>
      <c r="Z16" s="7"/>
    </row>
    <row r="17" ht="12.75" customHeight="1">
      <c r="A17" s="7"/>
      <c r="B17" s="11" t="s">
        <v>16</v>
      </c>
      <c r="C17" s="12" t="s">
        <v>17</v>
      </c>
      <c r="D17" s="13"/>
      <c r="E17" s="13"/>
      <c r="F17" s="13"/>
      <c r="G17" s="13"/>
      <c r="H17" s="13"/>
      <c r="I17" s="7"/>
      <c r="J17" s="7"/>
      <c r="K17" s="7"/>
      <c r="L17" s="7"/>
      <c r="M17" s="7"/>
      <c r="N17" s="7"/>
      <c r="O17" s="7"/>
      <c r="P17" s="7"/>
      <c r="Q17" s="7"/>
      <c r="R17" s="7"/>
      <c r="S17" s="7"/>
      <c r="T17" s="7"/>
      <c r="U17" s="7"/>
      <c r="V17" s="7"/>
      <c r="W17" s="7"/>
      <c r="X17" s="7"/>
      <c r="Y17" s="7"/>
      <c r="Z17" s="7"/>
    </row>
    <row r="18" ht="12.75" customHeight="1">
      <c r="A18" s="7"/>
      <c r="B18" s="14"/>
      <c r="C18" s="12"/>
      <c r="D18" s="13"/>
      <c r="E18" s="13"/>
      <c r="F18" s="13"/>
      <c r="G18" s="13"/>
      <c r="H18" s="7"/>
      <c r="I18" s="7"/>
      <c r="J18" s="7"/>
      <c r="K18" s="7"/>
      <c r="L18" s="7"/>
      <c r="M18" s="7"/>
      <c r="N18" s="7"/>
      <c r="O18" s="7"/>
      <c r="P18" s="7"/>
      <c r="Q18" s="7"/>
      <c r="R18" s="7"/>
      <c r="S18" s="7"/>
      <c r="T18" s="7"/>
      <c r="U18" s="7"/>
      <c r="V18" s="7"/>
      <c r="W18" s="7"/>
      <c r="X18" s="7"/>
      <c r="Y18" s="7"/>
      <c r="Z18" s="7"/>
    </row>
    <row r="19" ht="12.75" customHeight="1">
      <c r="A19" s="7"/>
      <c r="B19" s="8" t="s">
        <v>18</v>
      </c>
      <c r="C19" s="10"/>
      <c r="D19" s="7"/>
      <c r="E19" s="7"/>
      <c r="F19" s="7"/>
      <c r="G19" s="7"/>
      <c r="H19" s="7"/>
      <c r="I19" s="7"/>
      <c r="J19" s="7"/>
      <c r="K19" s="7"/>
      <c r="L19" s="7"/>
      <c r="M19" s="7"/>
      <c r="N19" s="7"/>
      <c r="O19" s="7"/>
      <c r="P19" s="7"/>
      <c r="Q19" s="7"/>
      <c r="R19" s="7"/>
      <c r="S19" s="7"/>
      <c r="T19" s="7"/>
      <c r="U19" s="7"/>
      <c r="V19" s="7"/>
      <c r="W19" s="7"/>
      <c r="X19" s="7"/>
      <c r="Y19" s="7"/>
      <c r="Z19" s="7"/>
    </row>
    <row r="20" ht="12.75" customHeight="1">
      <c r="A20" s="7"/>
      <c r="B20" s="10"/>
      <c r="C20" s="10"/>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14" t="s">
        <v>19</v>
      </c>
      <c r="C21" s="9" t="s">
        <v>20</v>
      </c>
      <c r="D21" s="13"/>
      <c r="E21" s="13"/>
      <c r="F21" s="13"/>
      <c r="G21" s="13"/>
      <c r="H21" s="13"/>
      <c r="I21" s="7"/>
      <c r="J21" s="7"/>
      <c r="K21" s="7"/>
      <c r="L21" s="7"/>
      <c r="M21" s="7"/>
      <c r="N21" s="7"/>
      <c r="O21" s="7"/>
      <c r="P21" s="7"/>
      <c r="Q21" s="7"/>
      <c r="R21" s="7"/>
      <c r="S21" s="7"/>
      <c r="T21" s="7"/>
      <c r="U21" s="7"/>
      <c r="V21" s="7"/>
      <c r="W21" s="7"/>
      <c r="X21" s="7"/>
      <c r="Y21" s="7"/>
      <c r="Z21" s="7"/>
    </row>
    <row r="22" ht="12.75" customHeight="1">
      <c r="A22" s="7"/>
      <c r="B22" s="14" t="s">
        <v>21</v>
      </c>
      <c r="C22" s="9" t="s">
        <v>22</v>
      </c>
      <c r="D22" s="13"/>
      <c r="E22" s="13"/>
      <c r="F22" s="13"/>
      <c r="G22" s="13"/>
      <c r="H22" s="13"/>
      <c r="I22" s="7"/>
      <c r="J22" s="7"/>
      <c r="K22" s="7"/>
      <c r="L22" s="7"/>
      <c r="M22" s="7"/>
      <c r="N22" s="7"/>
      <c r="O22" s="7"/>
      <c r="P22" s="7"/>
      <c r="Q22" s="7"/>
      <c r="R22" s="7"/>
      <c r="S22" s="7"/>
      <c r="T22" s="7"/>
      <c r="U22" s="7"/>
      <c r="V22" s="7"/>
      <c r="W22" s="7"/>
      <c r="X22" s="7"/>
      <c r="Y22" s="7"/>
      <c r="Z22" s="7"/>
    </row>
    <row r="23" ht="12.75" customHeight="1">
      <c r="A23" s="7"/>
      <c r="B23" s="14" t="s">
        <v>23</v>
      </c>
      <c r="C23" s="9" t="s">
        <v>24</v>
      </c>
      <c r="D23" s="13"/>
      <c r="E23" s="13"/>
      <c r="F23" s="13"/>
      <c r="G23" s="13"/>
      <c r="H23" s="13"/>
      <c r="I23" s="7"/>
      <c r="J23" s="7"/>
      <c r="K23" s="7"/>
      <c r="L23" s="7"/>
      <c r="M23" s="7"/>
      <c r="N23" s="7"/>
      <c r="O23" s="7"/>
      <c r="P23" s="7"/>
      <c r="Q23" s="7"/>
      <c r="R23" s="7"/>
      <c r="S23" s="7"/>
      <c r="T23" s="7"/>
      <c r="U23" s="7"/>
      <c r="V23" s="7"/>
      <c r="W23" s="7"/>
      <c r="X23" s="7"/>
      <c r="Y23" s="7"/>
      <c r="Z23" s="7"/>
    </row>
    <row r="24" ht="12.75" customHeight="1">
      <c r="A24" s="7"/>
      <c r="B24" s="14" t="s">
        <v>25</v>
      </c>
      <c r="C24" s="9" t="s">
        <v>26</v>
      </c>
      <c r="D24" s="13"/>
      <c r="E24" s="13"/>
      <c r="F24" s="13"/>
      <c r="G24" s="13"/>
      <c r="H24" s="13"/>
      <c r="I24" s="7"/>
      <c r="J24" s="7"/>
      <c r="K24" s="7"/>
      <c r="L24" s="7"/>
      <c r="M24" s="7"/>
      <c r="N24" s="7"/>
      <c r="O24" s="7"/>
      <c r="P24" s="7"/>
      <c r="Q24" s="7"/>
      <c r="R24" s="7"/>
      <c r="S24" s="7"/>
      <c r="T24" s="7"/>
      <c r="U24" s="7"/>
      <c r="V24" s="7"/>
      <c r="W24" s="7"/>
      <c r="X24" s="7"/>
      <c r="Y24" s="7"/>
      <c r="Z24" s="7"/>
    </row>
    <row r="25" ht="12.75" customHeight="1">
      <c r="A25" s="7"/>
      <c r="B25" s="10"/>
      <c r="C25" s="10"/>
      <c r="D25" s="13"/>
      <c r="E25" s="13"/>
      <c r="F25" s="13"/>
      <c r="G25" s="13"/>
      <c r="H25" s="13"/>
      <c r="I25" s="7"/>
      <c r="J25" s="7"/>
      <c r="K25" s="7"/>
      <c r="L25" s="7"/>
      <c r="M25" s="7"/>
      <c r="N25" s="7"/>
      <c r="O25" s="7"/>
      <c r="P25" s="7"/>
      <c r="Q25" s="7"/>
      <c r="R25" s="7"/>
      <c r="S25" s="7"/>
      <c r="T25" s="7"/>
      <c r="U25" s="7"/>
      <c r="V25" s="7"/>
      <c r="W25" s="7"/>
      <c r="X25" s="7"/>
      <c r="Y25" s="7"/>
      <c r="Z25" s="7"/>
    </row>
    <row r="26" ht="12.75" customHeight="1">
      <c r="A26" s="7"/>
      <c r="B26" s="8" t="s">
        <v>27</v>
      </c>
      <c r="C26" s="12"/>
      <c r="D26" s="13"/>
      <c r="E26" s="13"/>
      <c r="F26" s="13"/>
      <c r="G26" s="13"/>
      <c r="H26" s="13"/>
      <c r="I26" s="7"/>
      <c r="J26" s="7"/>
      <c r="K26" s="7"/>
      <c r="L26" s="7"/>
      <c r="M26" s="7"/>
      <c r="N26" s="7"/>
      <c r="O26" s="7"/>
      <c r="P26" s="7"/>
      <c r="Q26" s="7"/>
      <c r="R26" s="7"/>
      <c r="S26" s="7"/>
      <c r="T26" s="7"/>
      <c r="U26" s="7"/>
      <c r="V26" s="7"/>
      <c r="W26" s="7"/>
      <c r="X26" s="7"/>
      <c r="Y26" s="7"/>
      <c r="Z26" s="7"/>
    </row>
    <row r="27" ht="12.75" customHeight="1">
      <c r="A27" s="7"/>
      <c r="B27" s="8"/>
      <c r="C27" s="12"/>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14" t="s">
        <v>28</v>
      </c>
      <c r="C28" s="12" t="s">
        <v>29</v>
      </c>
      <c r="D28" s="7"/>
      <c r="E28" s="7"/>
      <c r="F28" s="15"/>
      <c r="G28" s="7"/>
      <c r="H28" s="7"/>
      <c r="I28" s="7"/>
      <c r="J28" s="7"/>
      <c r="K28" s="7"/>
      <c r="L28" s="7"/>
      <c r="M28" s="7"/>
      <c r="N28" s="7"/>
      <c r="O28" s="7"/>
      <c r="P28" s="7"/>
      <c r="Q28" s="7"/>
      <c r="R28" s="7"/>
      <c r="S28" s="7"/>
      <c r="T28" s="7"/>
      <c r="U28" s="7"/>
      <c r="V28" s="7"/>
      <c r="W28" s="7"/>
      <c r="X28" s="7"/>
      <c r="Y28" s="7"/>
      <c r="Z28" s="7"/>
    </row>
    <row r="29" ht="12.75" customHeight="1">
      <c r="A29" s="16"/>
      <c r="B29" s="14" t="s">
        <v>30</v>
      </c>
      <c r="C29" s="12" t="s">
        <v>31</v>
      </c>
      <c r="D29" s="7"/>
      <c r="E29" s="15"/>
      <c r="F29" s="7"/>
      <c r="G29" s="7"/>
      <c r="H29" s="7"/>
      <c r="I29" s="7"/>
      <c r="J29" s="7"/>
      <c r="K29" s="7"/>
      <c r="L29" s="7"/>
      <c r="M29" s="7"/>
      <c r="N29" s="7"/>
      <c r="O29" s="7"/>
      <c r="P29" s="7"/>
      <c r="Q29" s="7"/>
      <c r="R29" s="7"/>
      <c r="S29" s="7"/>
      <c r="T29" s="7"/>
      <c r="U29" s="7"/>
      <c r="V29" s="7"/>
      <c r="W29" s="7"/>
      <c r="X29" s="7"/>
      <c r="Y29" s="7"/>
      <c r="Z29" s="7"/>
    </row>
    <row r="30" ht="12.75" customHeight="1">
      <c r="A30" s="7"/>
      <c r="B30" s="14" t="s">
        <v>32</v>
      </c>
      <c r="C30" s="12" t="s">
        <v>33</v>
      </c>
      <c r="D30" s="7"/>
      <c r="E30" s="15"/>
      <c r="F30" s="7"/>
      <c r="G30" s="7"/>
      <c r="H30" s="7"/>
      <c r="I30" s="7"/>
      <c r="J30" s="7"/>
      <c r="K30" s="7"/>
      <c r="L30" s="7"/>
      <c r="M30" s="7"/>
      <c r="N30" s="7"/>
      <c r="O30" s="7"/>
      <c r="P30" s="7"/>
      <c r="Q30" s="7"/>
      <c r="R30" s="7"/>
      <c r="S30" s="7"/>
      <c r="T30" s="7"/>
      <c r="U30" s="7"/>
      <c r="V30" s="7"/>
      <c r="W30" s="7"/>
      <c r="X30" s="7"/>
      <c r="Y30" s="7"/>
      <c r="Z30" s="7"/>
    </row>
    <row r="31" ht="12.75" customHeight="1">
      <c r="A31" s="7"/>
      <c r="B31" s="14" t="s">
        <v>34</v>
      </c>
      <c r="C31" s="12" t="s">
        <v>35</v>
      </c>
      <c r="D31" s="7"/>
      <c r="E31" s="15"/>
      <c r="F31" s="7"/>
      <c r="G31" s="7"/>
      <c r="H31" s="7"/>
      <c r="I31" s="7"/>
      <c r="J31" s="7"/>
      <c r="K31" s="7"/>
      <c r="L31" s="7"/>
      <c r="M31" s="7"/>
      <c r="N31" s="7"/>
      <c r="O31" s="7"/>
      <c r="P31" s="7"/>
      <c r="Q31" s="7"/>
      <c r="R31" s="7"/>
      <c r="S31" s="7"/>
      <c r="T31" s="7"/>
      <c r="U31" s="7"/>
      <c r="V31" s="7"/>
      <c r="W31" s="7"/>
      <c r="X31" s="7"/>
      <c r="Y31" s="7"/>
      <c r="Z31" s="7"/>
    </row>
    <row r="32" ht="12.75" customHeight="1">
      <c r="A32" s="7"/>
      <c r="B32" s="14" t="s">
        <v>36</v>
      </c>
      <c r="C32" s="12" t="s">
        <v>37</v>
      </c>
      <c r="D32" s="7"/>
      <c r="E32" s="15"/>
      <c r="F32" s="7"/>
      <c r="G32" s="7"/>
      <c r="H32" s="7"/>
      <c r="I32" s="7"/>
      <c r="J32" s="7"/>
      <c r="K32" s="7"/>
      <c r="L32" s="7"/>
      <c r="M32" s="7"/>
      <c r="N32" s="7"/>
      <c r="O32" s="7"/>
      <c r="P32" s="7"/>
      <c r="Q32" s="7"/>
      <c r="R32" s="7"/>
      <c r="S32" s="7"/>
      <c r="T32" s="7"/>
      <c r="U32" s="7"/>
      <c r="V32" s="7"/>
      <c r="W32" s="7"/>
      <c r="X32" s="7"/>
      <c r="Y32" s="7"/>
      <c r="Z32" s="7"/>
    </row>
    <row r="33" ht="12.75" customHeight="1">
      <c r="A33" s="16"/>
      <c r="B33" s="14"/>
      <c r="C33" s="12"/>
      <c r="D33" s="7"/>
      <c r="E33" s="15"/>
      <c r="F33" s="7"/>
      <c r="G33" s="7"/>
      <c r="H33" s="7"/>
      <c r="I33" s="7"/>
      <c r="J33" s="7"/>
      <c r="K33" s="7"/>
      <c r="L33" s="7"/>
      <c r="M33" s="7"/>
      <c r="N33" s="7"/>
      <c r="O33" s="7"/>
      <c r="P33" s="7"/>
      <c r="Q33" s="7"/>
      <c r="R33" s="7"/>
      <c r="S33" s="7"/>
      <c r="T33" s="7"/>
      <c r="U33" s="7"/>
      <c r="V33" s="7"/>
      <c r="W33" s="7"/>
      <c r="X33" s="7"/>
      <c r="Y33" s="7"/>
      <c r="Z33" s="7"/>
    </row>
    <row r="34" ht="12.75" customHeight="1">
      <c r="A34" s="17"/>
      <c r="B34" s="8" t="s">
        <v>38</v>
      </c>
      <c r="C34" s="12" t="s">
        <v>39</v>
      </c>
      <c r="D34" s="7"/>
      <c r="E34" s="18"/>
      <c r="F34" s="7"/>
      <c r="G34" s="7"/>
      <c r="H34" s="7"/>
      <c r="I34" s="7"/>
      <c r="J34" s="7"/>
      <c r="K34" s="7"/>
      <c r="L34" s="7"/>
      <c r="M34" s="7"/>
      <c r="N34" s="7"/>
      <c r="O34" s="7"/>
      <c r="P34" s="7"/>
      <c r="Q34" s="7"/>
      <c r="R34" s="7"/>
      <c r="S34" s="7"/>
      <c r="T34" s="7"/>
      <c r="U34" s="7"/>
      <c r="V34" s="7"/>
      <c r="W34" s="7"/>
      <c r="X34" s="7"/>
      <c r="Y34" s="7"/>
      <c r="Z34" s="7"/>
    </row>
    <row r="35" ht="12.75" customHeight="1">
      <c r="A35" s="7"/>
      <c r="B35" s="14"/>
      <c r="C35" s="10"/>
      <c r="D35" s="7"/>
      <c r="E35" s="15"/>
      <c r="F35" s="7"/>
      <c r="G35" s="7"/>
      <c r="H35" s="7"/>
      <c r="I35" s="7"/>
      <c r="J35" s="7"/>
      <c r="K35" s="7"/>
      <c r="L35" s="7"/>
      <c r="M35" s="7"/>
      <c r="N35" s="7"/>
      <c r="O35" s="7"/>
      <c r="P35" s="7"/>
      <c r="Q35" s="7"/>
      <c r="R35" s="7"/>
      <c r="S35" s="7"/>
      <c r="T35" s="7"/>
      <c r="U35" s="7"/>
      <c r="V35" s="7"/>
      <c r="W35" s="7"/>
      <c r="X35" s="7"/>
      <c r="Y35" s="7"/>
      <c r="Z35" s="7"/>
    </row>
    <row r="36" ht="12.75" customHeight="1">
      <c r="A36" s="7"/>
      <c r="B36" s="8" t="s">
        <v>40</v>
      </c>
      <c r="C36" s="19" t="s">
        <v>41</v>
      </c>
      <c r="D36" s="20"/>
      <c r="E36" s="15"/>
      <c r="F36" s="7"/>
      <c r="G36" s="7"/>
      <c r="H36" s="7"/>
      <c r="I36" s="7"/>
      <c r="J36" s="7"/>
      <c r="K36" s="7"/>
      <c r="L36" s="7"/>
      <c r="M36" s="7"/>
      <c r="N36" s="7"/>
      <c r="O36" s="7"/>
      <c r="P36" s="7"/>
      <c r="Q36" s="7"/>
      <c r="R36" s="7"/>
      <c r="S36" s="7"/>
      <c r="T36" s="7"/>
      <c r="U36" s="7"/>
      <c r="V36" s="7"/>
      <c r="W36" s="7"/>
      <c r="X36" s="7"/>
      <c r="Y36" s="7"/>
      <c r="Z36" s="7"/>
    </row>
    <row r="37" ht="12.75" customHeight="1">
      <c r="A37" s="7"/>
      <c r="B37" s="8"/>
      <c r="C37" s="12"/>
      <c r="D37" s="12"/>
      <c r="E37" s="15"/>
      <c r="F37" s="7"/>
      <c r="G37" s="7"/>
      <c r="H37" s="7"/>
      <c r="I37" s="7"/>
      <c r="J37" s="7"/>
      <c r="K37" s="7"/>
      <c r="L37" s="7"/>
      <c r="M37" s="7"/>
      <c r="N37" s="7"/>
      <c r="O37" s="7"/>
      <c r="P37" s="7"/>
      <c r="Q37" s="7"/>
      <c r="R37" s="7"/>
      <c r="S37" s="7"/>
      <c r="T37" s="7"/>
      <c r="U37" s="7"/>
      <c r="V37" s="7"/>
      <c r="W37" s="7"/>
      <c r="X37" s="7"/>
      <c r="Y37" s="7"/>
      <c r="Z37" s="7"/>
    </row>
    <row r="38" ht="12.75" customHeight="1">
      <c r="A38" s="7"/>
      <c r="B38" s="8" t="s">
        <v>42</v>
      </c>
      <c r="C38" s="12" t="s">
        <v>43</v>
      </c>
      <c r="D38" s="12"/>
      <c r="E38" s="15"/>
      <c r="F38" s="7"/>
      <c r="G38" s="7"/>
      <c r="H38" s="7"/>
      <c r="I38" s="7"/>
      <c r="J38" s="7"/>
      <c r="K38" s="7"/>
      <c r="L38" s="7"/>
      <c r="M38" s="7"/>
      <c r="N38" s="7"/>
      <c r="O38" s="7"/>
      <c r="P38" s="7"/>
      <c r="Q38" s="7"/>
      <c r="R38" s="7"/>
      <c r="S38" s="7"/>
      <c r="T38" s="7"/>
      <c r="U38" s="7"/>
      <c r="V38" s="7"/>
      <c r="W38" s="7"/>
      <c r="X38" s="7"/>
      <c r="Y38" s="7"/>
      <c r="Z38" s="7"/>
    </row>
    <row r="39" ht="12.75" customHeight="1">
      <c r="A39" s="7"/>
      <c r="B39" s="14"/>
      <c r="C39" s="12"/>
      <c r="D39" s="7"/>
      <c r="E39" s="15"/>
      <c r="F39" s="7"/>
      <c r="G39" s="7"/>
      <c r="H39" s="7"/>
      <c r="I39" s="7"/>
      <c r="J39" s="7"/>
      <c r="K39" s="7"/>
      <c r="L39" s="7"/>
      <c r="M39" s="7"/>
      <c r="N39" s="7"/>
      <c r="O39" s="7"/>
      <c r="P39" s="7"/>
      <c r="Q39" s="7"/>
      <c r="R39" s="7"/>
      <c r="S39" s="7"/>
      <c r="T39" s="7"/>
      <c r="U39" s="7"/>
      <c r="V39" s="7"/>
      <c r="W39" s="7"/>
      <c r="X39" s="7"/>
      <c r="Y39" s="7"/>
      <c r="Z39" s="7"/>
    </row>
    <row r="40" ht="12.75" customHeight="1">
      <c r="A40" s="17"/>
      <c r="B40" s="8" t="s">
        <v>44</v>
      </c>
      <c r="C40" s="9" t="s">
        <v>45</v>
      </c>
      <c r="D40" s="7"/>
      <c r="E40" s="15"/>
      <c r="F40" s="7"/>
      <c r="G40" s="7"/>
      <c r="H40" s="7"/>
      <c r="I40" s="7"/>
      <c r="J40" s="7"/>
      <c r="K40" s="7"/>
      <c r="L40" s="7"/>
      <c r="M40" s="7"/>
      <c r="N40" s="7"/>
      <c r="O40" s="7"/>
      <c r="P40" s="7"/>
      <c r="Q40" s="7"/>
      <c r="R40" s="7"/>
      <c r="S40" s="7"/>
      <c r="T40" s="7"/>
      <c r="U40" s="7"/>
      <c r="V40" s="7"/>
      <c r="W40" s="7"/>
      <c r="X40" s="7"/>
      <c r="Y40" s="7"/>
      <c r="Z40" s="7"/>
    </row>
    <row r="41" ht="12.75" customHeight="1">
      <c r="A41" s="7"/>
      <c r="B41" s="10"/>
      <c r="C41" s="21"/>
      <c r="D41" s="7"/>
      <c r="E41" s="15"/>
      <c r="F41" s="7"/>
      <c r="G41" s="7"/>
      <c r="H41" s="7"/>
      <c r="I41" s="7"/>
      <c r="J41" s="7"/>
      <c r="K41" s="7"/>
      <c r="L41" s="7"/>
      <c r="M41" s="7"/>
      <c r="N41" s="7"/>
      <c r="O41" s="7"/>
      <c r="P41" s="7"/>
      <c r="Q41" s="7"/>
      <c r="R41" s="7"/>
      <c r="S41" s="7"/>
      <c r="T41" s="7"/>
      <c r="U41" s="7"/>
      <c r="V41" s="7"/>
      <c r="W41" s="7"/>
      <c r="X41" s="7"/>
      <c r="Y41" s="7"/>
      <c r="Z41" s="7"/>
    </row>
    <row r="42" ht="12.75" customHeight="1">
      <c r="A42" s="7"/>
      <c r="B42" s="14" t="s">
        <v>46</v>
      </c>
      <c r="C42" s="12" t="s">
        <v>47</v>
      </c>
      <c r="D42" s="7"/>
      <c r="E42" s="15"/>
      <c r="F42" s="7"/>
      <c r="G42" s="7"/>
      <c r="H42" s="7"/>
      <c r="I42" s="7"/>
      <c r="J42" s="7"/>
      <c r="K42" s="7"/>
      <c r="L42" s="7"/>
      <c r="M42" s="7"/>
      <c r="N42" s="7"/>
      <c r="O42" s="7"/>
      <c r="P42" s="7"/>
      <c r="Q42" s="7"/>
      <c r="R42" s="7"/>
      <c r="S42" s="7"/>
      <c r="T42" s="7"/>
      <c r="U42" s="7"/>
      <c r="V42" s="7"/>
      <c r="W42" s="7"/>
      <c r="X42" s="7"/>
      <c r="Y42" s="7"/>
      <c r="Z42" s="7"/>
    </row>
    <row r="43" ht="12.75" customHeight="1">
      <c r="A43" s="7"/>
      <c r="B43" s="14" t="s">
        <v>48</v>
      </c>
      <c r="C43" s="12" t="s">
        <v>49</v>
      </c>
      <c r="D43" s="7"/>
      <c r="E43" s="15"/>
      <c r="F43" s="7"/>
      <c r="G43" s="7"/>
      <c r="H43" s="7"/>
      <c r="I43" s="7"/>
      <c r="J43" s="7"/>
      <c r="K43" s="7"/>
      <c r="L43" s="7"/>
      <c r="M43" s="7"/>
      <c r="N43" s="7"/>
      <c r="O43" s="7"/>
      <c r="P43" s="7"/>
      <c r="Q43" s="7"/>
      <c r="R43" s="7"/>
      <c r="S43" s="7"/>
      <c r="T43" s="7"/>
      <c r="U43" s="7"/>
      <c r="V43" s="7"/>
      <c r="W43" s="7"/>
      <c r="X43" s="7"/>
      <c r="Y43" s="7"/>
      <c r="Z43" s="7"/>
    </row>
    <row r="44" ht="12.75" customHeight="1">
      <c r="A44" s="7"/>
      <c r="B44" s="14" t="s">
        <v>50</v>
      </c>
      <c r="C44" s="12" t="s">
        <v>51</v>
      </c>
      <c r="D44" s="7"/>
      <c r="E44" s="7"/>
      <c r="F44" s="7"/>
      <c r="G44" s="7"/>
      <c r="H44" s="7"/>
      <c r="I44" s="7"/>
      <c r="J44" s="7"/>
      <c r="K44" s="7"/>
      <c r="L44" s="7"/>
      <c r="M44" s="7"/>
      <c r="N44" s="7"/>
      <c r="O44" s="7"/>
      <c r="P44" s="7"/>
      <c r="Q44" s="7"/>
      <c r="R44" s="7"/>
      <c r="S44" s="7"/>
      <c r="T44" s="7"/>
      <c r="U44" s="7"/>
      <c r="V44" s="7"/>
      <c r="W44" s="7"/>
      <c r="X44" s="7"/>
      <c r="Y44" s="7"/>
      <c r="Z44" s="7"/>
    </row>
    <row r="45" ht="12.75" customHeight="1">
      <c r="A45" s="17"/>
      <c r="B45" s="14" t="s">
        <v>52</v>
      </c>
      <c r="C45" s="9" t="s">
        <v>53</v>
      </c>
      <c r="D45" s="7"/>
      <c r="E45" s="7"/>
      <c r="F45" s="7"/>
      <c r="G45" s="7"/>
      <c r="H45" s="7"/>
      <c r="I45" s="7"/>
      <c r="J45" s="7"/>
      <c r="K45" s="7"/>
      <c r="L45" s="7"/>
      <c r="M45" s="7"/>
      <c r="N45" s="7"/>
      <c r="O45" s="7"/>
      <c r="P45" s="7"/>
      <c r="Q45" s="7"/>
      <c r="R45" s="7"/>
      <c r="S45" s="7"/>
      <c r="T45" s="7"/>
      <c r="U45" s="7"/>
      <c r="V45" s="7"/>
      <c r="W45" s="7"/>
      <c r="X45" s="7"/>
      <c r="Y45" s="7"/>
      <c r="Z45" s="7"/>
    </row>
    <row r="46" ht="12.75" customHeight="1">
      <c r="A46" s="17"/>
      <c r="B46" s="14" t="s">
        <v>54</v>
      </c>
      <c r="C46" s="12" t="s">
        <v>55</v>
      </c>
      <c r="D46" s="7"/>
      <c r="E46" s="7"/>
      <c r="F46" s="7"/>
      <c r="G46" s="7"/>
      <c r="H46" s="7"/>
      <c r="I46" s="7"/>
      <c r="J46" s="7"/>
      <c r="K46" s="7"/>
      <c r="L46" s="7"/>
      <c r="M46" s="7"/>
      <c r="N46" s="7"/>
      <c r="O46" s="7"/>
      <c r="P46" s="7"/>
      <c r="Q46" s="7"/>
      <c r="R46" s="7"/>
      <c r="S46" s="7"/>
      <c r="T46" s="7"/>
      <c r="U46" s="7"/>
      <c r="V46" s="7"/>
      <c r="W46" s="7"/>
      <c r="X46" s="7"/>
      <c r="Y46" s="7"/>
      <c r="Z46" s="7"/>
    </row>
    <row r="47" ht="12.75" customHeight="1">
      <c r="A47" s="22"/>
      <c r="B47" s="14" t="s">
        <v>56</v>
      </c>
      <c r="C47" s="12" t="s">
        <v>57</v>
      </c>
      <c r="D47" s="7"/>
      <c r="E47" s="7"/>
      <c r="F47" s="7"/>
      <c r="G47" s="7"/>
      <c r="H47" s="7"/>
      <c r="I47" s="7"/>
      <c r="J47" s="7"/>
      <c r="K47" s="7"/>
      <c r="L47" s="7"/>
      <c r="M47" s="7"/>
      <c r="N47" s="7"/>
      <c r="O47" s="7"/>
      <c r="P47" s="7"/>
      <c r="Q47" s="7"/>
      <c r="R47" s="7"/>
      <c r="S47" s="7"/>
      <c r="T47" s="7"/>
      <c r="U47" s="7"/>
      <c r="V47" s="7"/>
      <c r="W47" s="7"/>
      <c r="X47" s="7"/>
      <c r="Y47" s="7"/>
      <c r="Z47" s="7"/>
    </row>
    <row r="48" ht="12.75" customHeight="1">
      <c r="A48" s="23"/>
      <c r="B48" s="14" t="s">
        <v>58</v>
      </c>
      <c r="C48" s="12" t="s">
        <v>59</v>
      </c>
      <c r="D48" s="7"/>
      <c r="E48" s="7"/>
      <c r="F48" s="7"/>
      <c r="G48" s="7"/>
      <c r="H48" s="7"/>
      <c r="I48" s="7"/>
      <c r="J48" s="7"/>
      <c r="K48" s="7"/>
      <c r="L48" s="7"/>
      <c r="M48" s="7"/>
      <c r="N48" s="7"/>
      <c r="O48" s="7"/>
      <c r="P48" s="7"/>
      <c r="Q48" s="7"/>
      <c r="R48" s="7"/>
      <c r="S48" s="7"/>
      <c r="T48" s="7"/>
      <c r="U48" s="7"/>
      <c r="V48" s="7"/>
      <c r="W48" s="7"/>
      <c r="X48" s="7"/>
      <c r="Y48" s="7"/>
      <c r="Z48" s="7"/>
    </row>
    <row r="49" ht="12.75" customHeight="1">
      <c r="A49" s="23"/>
      <c r="B49" s="14" t="s">
        <v>60</v>
      </c>
      <c r="C49" s="12" t="s">
        <v>61</v>
      </c>
      <c r="D49" s="7"/>
      <c r="E49" s="7"/>
      <c r="F49" s="7"/>
      <c r="G49" s="7"/>
      <c r="H49" s="7"/>
      <c r="I49" s="7"/>
      <c r="J49" s="7"/>
      <c r="K49" s="7"/>
      <c r="L49" s="7"/>
      <c r="M49" s="7"/>
      <c r="N49" s="7"/>
      <c r="O49" s="7"/>
      <c r="P49" s="7"/>
      <c r="Q49" s="7"/>
      <c r="R49" s="7"/>
      <c r="S49" s="7"/>
      <c r="T49" s="7"/>
      <c r="U49" s="7"/>
      <c r="V49" s="7"/>
      <c r="W49" s="7"/>
      <c r="X49" s="7"/>
      <c r="Y49" s="7"/>
      <c r="Z49" s="7"/>
    </row>
    <row r="50" ht="12.75" customHeight="1">
      <c r="A50" s="24"/>
      <c r="B50" s="14" t="s">
        <v>62</v>
      </c>
      <c r="C50" s="12" t="s">
        <v>63</v>
      </c>
      <c r="D50" s="7"/>
      <c r="E50" s="7"/>
      <c r="F50" s="7"/>
      <c r="G50" s="7"/>
      <c r="H50" s="7"/>
      <c r="I50" s="7"/>
      <c r="J50" s="7"/>
      <c r="K50" s="7"/>
      <c r="L50" s="7"/>
      <c r="M50" s="7"/>
      <c r="N50" s="7"/>
      <c r="O50" s="7"/>
      <c r="P50" s="7"/>
      <c r="Q50" s="7"/>
      <c r="R50" s="7"/>
      <c r="S50" s="7"/>
      <c r="T50" s="7"/>
      <c r="U50" s="7"/>
      <c r="V50" s="7"/>
      <c r="W50" s="7"/>
      <c r="X50" s="7"/>
      <c r="Y50" s="7"/>
      <c r="Z50" s="7"/>
    </row>
    <row r="51" ht="12.75" customHeight="1">
      <c r="A51" s="24"/>
      <c r="B51" s="14" t="s">
        <v>64</v>
      </c>
      <c r="C51" s="12" t="s">
        <v>65</v>
      </c>
      <c r="D51" s="7"/>
      <c r="E51" s="7"/>
      <c r="F51" s="7"/>
      <c r="G51" s="7"/>
      <c r="H51" s="7"/>
      <c r="I51" s="7"/>
      <c r="J51" s="7"/>
      <c r="K51" s="7"/>
      <c r="L51" s="7"/>
      <c r="M51" s="7"/>
      <c r="N51" s="7"/>
      <c r="O51" s="7"/>
      <c r="P51" s="7"/>
      <c r="Q51" s="7"/>
      <c r="R51" s="7"/>
      <c r="S51" s="7"/>
      <c r="T51" s="7"/>
      <c r="U51" s="7"/>
      <c r="V51" s="7"/>
      <c r="W51" s="7"/>
      <c r="X51" s="7"/>
      <c r="Y51" s="7"/>
      <c r="Z51" s="7"/>
    </row>
    <row r="52" ht="12.75" customHeight="1">
      <c r="A52" s="24"/>
      <c r="B52" s="14" t="s">
        <v>10</v>
      </c>
      <c r="C52" s="9" t="s">
        <v>66</v>
      </c>
      <c r="D52" s="7"/>
      <c r="E52" s="7"/>
      <c r="F52" s="7"/>
      <c r="G52" s="7"/>
      <c r="H52" s="7"/>
      <c r="I52" s="7"/>
      <c r="J52" s="7"/>
      <c r="K52" s="7"/>
      <c r="L52" s="7"/>
      <c r="M52" s="7"/>
      <c r="N52" s="7"/>
      <c r="O52" s="7"/>
      <c r="P52" s="7"/>
      <c r="Q52" s="7"/>
      <c r="R52" s="7"/>
      <c r="S52" s="7"/>
      <c r="T52" s="7"/>
      <c r="U52" s="7"/>
      <c r="V52" s="7"/>
      <c r="W52" s="7"/>
      <c r="X52" s="7"/>
      <c r="Y52" s="7"/>
      <c r="Z52" s="7"/>
    </row>
    <row r="53" ht="12.75" customHeight="1">
      <c r="A53" s="24"/>
      <c r="B53" s="14" t="s">
        <v>12</v>
      </c>
      <c r="C53" s="12" t="s">
        <v>67</v>
      </c>
      <c r="D53" s="7" t="s">
        <v>68</v>
      </c>
      <c r="E53" s="7"/>
      <c r="F53" s="7"/>
      <c r="G53" s="7"/>
      <c r="H53" s="7"/>
      <c r="I53" s="7"/>
      <c r="J53" s="7"/>
      <c r="K53" s="7"/>
      <c r="L53" s="7"/>
      <c r="M53" s="7"/>
      <c r="N53" s="7"/>
      <c r="O53" s="7"/>
      <c r="P53" s="7"/>
      <c r="Q53" s="7"/>
      <c r="R53" s="7"/>
      <c r="S53" s="7"/>
      <c r="T53" s="7"/>
      <c r="U53" s="7"/>
      <c r="V53" s="7"/>
      <c r="W53" s="7"/>
      <c r="X53" s="7"/>
      <c r="Y53" s="7"/>
      <c r="Z53" s="7"/>
    </row>
    <row r="54" ht="12.75" customHeight="1">
      <c r="A54" s="24"/>
      <c r="B54" s="14" t="s">
        <v>14</v>
      </c>
      <c r="C54" s="25" t="s">
        <v>69</v>
      </c>
      <c r="D54" s="7"/>
      <c r="E54" s="7"/>
      <c r="F54" s="7"/>
      <c r="G54" s="7"/>
      <c r="H54" s="7"/>
      <c r="I54" s="7"/>
      <c r="J54" s="7"/>
      <c r="K54" s="7"/>
      <c r="L54" s="7"/>
      <c r="M54" s="7"/>
      <c r="N54" s="7"/>
      <c r="O54" s="7"/>
      <c r="P54" s="7"/>
      <c r="Q54" s="7"/>
      <c r="R54" s="7"/>
      <c r="S54" s="7"/>
      <c r="T54" s="7"/>
      <c r="U54" s="7"/>
      <c r="V54" s="7"/>
      <c r="W54" s="7"/>
      <c r="X54" s="7"/>
      <c r="Y54" s="7"/>
      <c r="Z54" s="7"/>
    </row>
    <row r="55" ht="12.75" customHeight="1">
      <c r="A55" s="24"/>
      <c r="B55" s="10"/>
      <c r="C55" s="26"/>
      <c r="D55" s="7"/>
      <c r="E55" s="7"/>
      <c r="F55" s="7"/>
      <c r="G55" s="7"/>
      <c r="H55" s="7"/>
      <c r="I55" s="7"/>
      <c r="J55" s="7"/>
      <c r="K55" s="7"/>
      <c r="L55" s="7"/>
      <c r="M55" s="7"/>
      <c r="N55" s="7"/>
      <c r="O55" s="7"/>
      <c r="P55" s="7"/>
      <c r="Q55" s="7"/>
      <c r="R55" s="7"/>
      <c r="S55" s="7"/>
      <c r="T55" s="7"/>
      <c r="U55" s="7"/>
      <c r="V55" s="7"/>
      <c r="W55" s="7"/>
      <c r="X55" s="7"/>
      <c r="Y55" s="7"/>
      <c r="Z55" s="7"/>
    </row>
    <row r="56" ht="12.75" customHeight="1">
      <c r="A56" s="24"/>
      <c r="B56" s="8" t="s">
        <v>70</v>
      </c>
      <c r="C56" s="26"/>
      <c r="D56" s="7"/>
      <c r="E56" s="7"/>
      <c r="F56" s="7"/>
      <c r="G56" s="7"/>
      <c r="H56" s="7"/>
      <c r="I56" s="7"/>
      <c r="J56" s="7"/>
      <c r="K56" s="7"/>
      <c r="L56" s="7"/>
      <c r="M56" s="7"/>
      <c r="N56" s="7"/>
      <c r="O56" s="7"/>
      <c r="P56" s="7"/>
      <c r="Q56" s="7"/>
      <c r="R56" s="7"/>
      <c r="S56" s="7"/>
      <c r="T56" s="7"/>
      <c r="U56" s="7"/>
      <c r="V56" s="7"/>
      <c r="W56" s="7"/>
      <c r="X56" s="7"/>
      <c r="Y56" s="7"/>
      <c r="Z56" s="7"/>
    </row>
    <row r="57" ht="12.75" customHeight="1">
      <c r="A57" s="24"/>
      <c r="B57" s="7"/>
      <c r="C57" s="27"/>
      <c r="D57" s="7"/>
      <c r="E57" s="7"/>
      <c r="F57" s="7"/>
      <c r="G57" s="7"/>
      <c r="H57" s="7"/>
      <c r="I57" s="7"/>
      <c r="J57" s="7"/>
      <c r="K57" s="7"/>
      <c r="L57" s="7"/>
      <c r="M57" s="7"/>
      <c r="N57" s="7"/>
      <c r="O57" s="7"/>
      <c r="P57" s="7"/>
      <c r="Q57" s="7"/>
      <c r="R57" s="7"/>
      <c r="S57" s="7"/>
      <c r="T57" s="7"/>
      <c r="U57" s="7"/>
      <c r="V57" s="7"/>
      <c r="W57" s="7"/>
      <c r="X57" s="7"/>
      <c r="Y57" s="7"/>
      <c r="Z57" s="7"/>
    </row>
    <row r="58" ht="12.75" customHeight="1">
      <c r="A58" s="24"/>
      <c r="B58" s="28" t="s">
        <v>71</v>
      </c>
      <c r="C58" s="29" t="s">
        <v>72</v>
      </c>
      <c r="D58" s="7"/>
      <c r="E58" s="7"/>
      <c r="F58" s="7"/>
      <c r="G58" s="7"/>
      <c r="H58" s="7"/>
      <c r="I58" s="7"/>
      <c r="J58" s="7"/>
      <c r="K58" s="7"/>
      <c r="L58" s="7"/>
      <c r="M58" s="7"/>
      <c r="N58" s="7"/>
      <c r="O58" s="7"/>
      <c r="P58" s="7"/>
      <c r="Q58" s="7"/>
      <c r="R58" s="7"/>
      <c r="S58" s="7"/>
      <c r="T58" s="7"/>
      <c r="U58" s="7"/>
      <c r="V58" s="7"/>
      <c r="W58" s="7"/>
      <c r="X58" s="7"/>
      <c r="Y58" s="7"/>
      <c r="Z58" s="7"/>
    </row>
    <row r="59" ht="12.75" customHeight="1">
      <c r="A59" s="24"/>
      <c r="B59" s="28" t="s">
        <v>73</v>
      </c>
      <c r="C59" s="29" t="s">
        <v>74</v>
      </c>
      <c r="D59" s="7"/>
      <c r="E59" s="7"/>
      <c r="F59" s="7"/>
      <c r="G59" s="7"/>
      <c r="H59" s="7"/>
      <c r="I59" s="7"/>
      <c r="J59" s="7"/>
      <c r="K59" s="7"/>
      <c r="L59" s="7"/>
      <c r="M59" s="7"/>
      <c r="N59" s="7"/>
      <c r="O59" s="7"/>
      <c r="P59" s="7"/>
      <c r="Q59" s="7"/>
      <c r="R59" s="7"/>
      <c r="S59" s="7"/>
      <c r="T59" s="7"/>
      <c r="U59" s="7"/>
      <c r="V59" s="7"/>
      <c r="W59" s="7"/>
      <c r="X59" s="7"/>
      <c r="Y59" s="7"/>
      <c r="Z59" s="7"/>
    </row>
    <row r="60" ht="12.75" customHeight="1">
      <c r="A60" s="24"/>
      <c r="B60" s="28" t="s">
        <v>75</v>
      </c>
      <c r="C60" s="29" t="s">
        <v>76</v>
      </c>
      <c r="D60" s="7"/>
      <c r="E60" s="7"/>
      <c r="F60" s="7"/>
      <c r="G60" s="7"/>
      <c r="H60" s="7"/>
      <c r="I60" s="7"/>
      <c r="J60" s="7"/>
      <c r="K60" s="7"/>
      <c r="L60" s="7"/>
      <c r="M60" s="7"/>
      <c r="N60" s="7"/>
      <c r="O60" s="7"/>
      <c r="P60" s="7"/>
      <c r="Q60" s="7"/>
      <c r="R60" s="7"/>
      <c r="S60" s="7"/>
      <c r="T60" s="7"/>
      <c r="U60" s="7"/>
      <c r="V60" s="7"/>
      <c r="W60" s="7"/>
      <c r="X60" s="7"/>
      <c r="Y60" s="7"/>
      <c r="Z60" s="7"/>
    </row>
    <row r="61" ht="12.75" customHeight="1">
      <c r="A61" s="24"/>
      <c r="B61" s="28" t="s">
        <v>77</v>
      </c>
      <c r="C61" s="29" t="s">
        <v>78</v>
      </c>
      <c r="D61" s="7"/>
      <c r="E61" s="7"/>
      <c r="F61" s="7"/>
      <c r="G61" s="7"/>
      <c r="H61" s="7"/>
      <c r="I61" s="7"/>
      <c r="J61" s="7"/>
      <c r="K61" s="7"/>
      <c r="L61" s="7"/>
      <c r="M61" s="7"/>
      <c r="N61" s="7"/>
      <c r="O61" s="7"/>
      <c r="P61" s="7"/>
      <c r="Q61" s="7"/>
      <c r="R61" s="7"/>
      <c r="S61" s="7"/>
      <c r="T61" s="7"/>
      <c r="U61" s="7"/>
      <c r="V61" s="7"/>
      <c r="W61" s="7"/>
      <c r="X61" s="7"/>
      <c r="Y61" s="7"/>
      <c r="Z61" s="7"/>
    </row>
    <row r="62" ht="12.75" customHeight="1">
      <c r="A62" s="24"/>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24"/>
      <c r="B63" s="8" t="s">
        <v>79</v>
      </c>
      <c r="C63" s="26"/>
      <c r="D63" s="7"/>
      <c r="E63" s="7"/>
      <c r="F63" s="7"/>
      <c r="G63" s="7"/>
      <c r="H63" s="7"/>
      <c r="I63" s="7"/>
      <c r="J63" s="7"/>
      <c r="K63" s="7"/>
      <c r="L63" s="7"/>
      <c r="M63" s="7"/>
      <c r="N63" s="7"/>
      <c r="O63" s="7"/>
      <c r="P63" s="7"/>
      <c r="Q63" s="7"/>
      <c r="R63" s="7"/>
      <c r="S63" s="7"/>
      <c r="T63" s="7"/>
      <c r="U63" s="7"/>
      <c r="V63" s="7"/>
      <c r="W63" s="7"/>
      <c r="X63" s="7"/>
      <c r="Y63" s="7"/>
      <c r="Z63" s="7"/>
    </row>
    <row r="64" ht="12.75" customHeight="1">
      <c r="A64" s="24"/>
      <c r="B64" s="7"/>
      <c r="C64" s="27"/>
      <c r="D64" s="7"/>
      <c r="E64" s="7"/>
      <c r="F64" s="7"/>
      <c r="G64" s="7"/>
      <c r="H64" s="7"/>
      <c r="I64" s="7"/>
      <c r="J64" s="7"/>
      <c r="K64" s="7"/>
      <c r="L64" s="7"/>
      <c r="M64" s="7"/>
      <c r="N64" s="7"/>
      <c r="O64" s="7"/>
      <c r="P64" s="7"/>
      <c r="Q64" s="7"/>
      <c r="R64" s="7"/>
      <c r="S64" s="7"/>
      <c r="T64" s="7"/>
      <c r="U64" s="7"/>
      <c r="V64" s="7"/>
      <c r="W64" s="7"/>
      <c r="X64" s="7"/>
      <c r="Y64" s="7"/>
      <c r="Z64" s="7"/>
    </row>
    <row r="65" ht="12.75" customHeight="1">
      <c r="A65" s="24"/>
      <c r="B65" s="29" t="s">
        <v>80</v>
      </c>
      <c r="C65" s="29"/>
      <c r="D65" s="7"/>
      <c r="E65" s="7"/>
      <c r="F65" s="7"/>
      <c r="G65" s="7"/>
      <c r="H65" s="7"/>
      <c r="I65" s="7"/>
      <c r="J65" s="7"/>
      <c r="K65" s="7"/>
      <c r="L65" s="7"/>
      <c r="M65" s="7"/>
      <c r="N65" s="7"/>
      <c r="O65" s="7"/>
      <c r="P65" s="7"/>
      <c r="Q65" s="7"/>
      <c r="R65" s="7"/>
      <c r="S65" s="7"/>
      <c r="T65" s="7"/>
      <c r="U65" s="7"/>
      <c r="V65" s="7"/>
      <c r="W65" s="7"/>
      <c r="X65" s="7"/>
      <c r="Y65" s="7"/>
      <c r="Z65" s="7"/>
    </row>
    <row r="66" ht="12.75" customHeight="1">
      <c r="A66" s="24"/>
      <c r="B66" s="28"/>
      <c r="C66" s="29"/>
      <c r="D66" s="7"/>
      <c r="E66" s="7"/>
      <c r="F66" s="7"/>
      <c r="G66" s="7"/>
      <c r="H66" s="7"/>
      <c r="I66" s="7"/>
      <c r="J66" s="7"/>
      <c r="K66" s="7"/>
      <c r="L66" s="7"/>
      <c r="M66" s="7"/>
      <c r="N66" s="7"/>
      <c r="O66" s="7"/>
      <c r="P66" s="7"/>
      <c r="Q66" s="7"/>
      <c r="R66" s="7"/>
      <c r="S66" s="7"/>
      <c r="T66" s="7"/>
      <c r="U66" s="7"/>
      <c r="V66" s="7"/>
      <c r="W66" s="7"/>
      <c r="X66" s="7"/>
      <c r="Y66" s="7"/>
      <c r="Z66" s="7"/>
    </row>
    <row r="67" ht="12.75" customHeight="1">
      <c r="A67" s="24"/>
      <c r="B67" s="8" t="s">
        <v>81</v>
      </c>
      <c r="C67" s="9" t="s">
        <v>82</v>
      </c>
      <c r="D67" s="7"/>
      <c r="E67" s="7"/>
      <c r="F67" s="7"/>
      <c r="G67" s="7"/>
      <c r="H67" s="7"/>
      <c r="I67" s="7"/>
      <c r="J67" s="7"/>
      <c r="K67" s="7"/>
      <c r="L67" s="7"/>
      <c r="M67" s="7"/>
      <c r="N67" s="7"/>
      <c r="O67" s="7"/>
      <c r="P67" s="7"/>
      <c r="Q67" s="7"/>
      <c r="R67" s="7"/>
      <c r="S67" s="7"/>
      <c r="T67" s="7"/>
      <c r="U67" s="7"/>
      <c r="V67" s="7"/>
      <c r="W67" s="7"/>
      <c r="X67" s="7"/>
      <c r="Y67" s="7"/>
      <c r="Z67" s="7"/>
    </row>
    <row r="68" ht="12.75" customHeight="1">
      <c r="A68" s="24"/>
      <c r="B68" s="10"/>
      <c r="C68" s="10"/>
      <c r="D68" s="7"/>
      <c r="E68" s="7"/>
      <c r="F68" s="7"/>
      <c r="G68" s="7"/>
      <c r="H68" s="7"/>
      <c r="I68" s="7"/>
      <c r="J68" s="7"/>
      <c r="K68" s="7"/>
      <c r="L68" s="7"/>
      <c r="M68" s="7"/>
      <c r="N68" s="7"/>
      <c r="O68" s="7"/>
      <c r="P68" s="7"/>
      <c r="Q68" s="7"/>
      <c r="R68" s="7"/>
      <c r="S68" s="7"/>
      <c r="T68" s="7"/>
      <c r="U68" s="7"/>
      <c r="V68" s="7"/>
      <c r="W68" s="7"/>
      <c r="X68" s="7"/>
      <c r="Y68" s="7"/>
      <c r="Z68" s="7"/>
    </row>
    <row r="69" ht="12.75" customHeight="1">
      <c r="A69" s="24"/>
      <c r="B69" s="8" t="s">
        <v>83</v>
      </c>
      <c r="C69" s="9" t="s">
        <v>84</v>
      </c>
      <c r="D69" s="7"/>
      <c r="E69" s="7"/>
      <c r="F69" s="7"/>
      <c r="G69" s="7"/>
      <c r="H69" s="7"/>
      <c r="I69" s="7"/>
      <c r="J69" s="7"/>
      <c r="K69" s="7"/>
      <c r="L69" s="7"/>
      <c r="M69" s="7"/>
      <c r="N69" s="7"/>
      <c r="O69" s="7"/>
      <c r="P69" s="7"/>
      <c r="Q69" s="7"/>
      <c r="R69" s="7"/>
      <c r="S69" s="7"/>
      <c r="T69" s="7"/>
      <c r="U69" s="7"/>
      <c r="V69" s="7"/>
      <c r="W69" s="7"/>
      <c r="X69" s="7"/>
      <c r="Y69" s="7"/>
      <c r="Z69" s="7"/>
    </row>
    <row r="70" ht="12.75" customHeight="1">
      <c r="A70" s="24"/>
      <c r="B70" s="10"/>
      <c r="C70" s="10"/>
      <c r="D70" s="7"/>
      <c r="E70" s="7"/>
      <c r="F70" s="7"/>
      <c r="G70" s="7"/>
      <c r="H70" s="7"/>
      <c r="I70" s="7"/>
      <c r="J70" s="7"/>
      <c r="K70" s="7"/>
      <c r="L70" s="7"/>
      <c r="M70" s="7"/>
      <c r="N70" s="7"/>
      <c r="O70" s="7"/>
      <c r="P70" s="7"/>
      <c r="Q70" s="7"/>
      <c r="R70" s="7"/>
      <c r="S70" s="7"/>
      <c r="T70" s="7"/>
      <c r="U70" s="7"/>
      <c r="V70" s="7"/>
      <c r="W70" s="7"/>
      <c r="X70" s="7"/>
      <c r="Y70" s="7"/>
      <c r="Z70" s="7"/>
    </row>
    <row r="71" ht="12.75" customHeight="1">
      <c r="A71" s="24"/>
      <c r="B71" s="8" t="s">
        <v>85</v>
      </c>
      <c r="C71" s="9" t="s">
        <v>86</v>
      </c>
      <c r="D71" s="7"/>
      <c r="E71" s="7"/>
      <c r="F71" s="7"/>
      <c r="G71" s="7"/>
      <c r="H71" s="7"/>
      <c r="I71" s="7"/>
      <c r="J71" s="7"/>
      <c r="K71" s="7"/>
      <c r="L71" s="7"/>
      <c r="M71" s="7"/>
      <c r="N71" s="7"/>
      <c r="O71" s="7"/>
      <c r="P71" s="7"/>
      <c r="Q71" s="7"/>
      <c r="R71" s="7"/>
      <c r="S71" s="7"/>
      <c r="T71" s="7"/>
      <c r="U71" s="7"/>
      <c r="V71" s="7"/>
      <c r="W71" s="7"/>
      <c r="X71" s="7"/>
      <c r="Y71" s="7"/>
      <c r="Z71" s="7"/>
    </row>
    <row r="72" ht="12.75" customHeight="1">
      <c r="A72" s="24"/>
      <c r="B72" s="10"/>
      <c r="C72" s="10"/>
      <c r="D72" s="7"/>
      <c r="E72" s="7"/>
      <c r="F72" s="7"/>
      <c r="G72" s="7"/>
      <c r="H72" s="7"/>
      <c r="I72" s="7"/>
      <c r="J72" s="7"/>
      <c r="K72" s="7"/>
      <c r="L72" s="7"/>
      <c r="M72" s="7"/>
      <c r="N72" s="7"/>
      <c r="O72" s="7"/>
      <c r="P72" s="7"/>
      <c r="Q72" s="7"/>
      <c r="R72" s="7"/>
      <c r="S72" s="7"/>
      <c r="T72" s="7"/>
      <c r="U72" s="7"/>
      <c r="V72" s="7"/>
      <c r="W72" s="7"/>
      <c r="X72" s="7"/>
      <c r="Y72" s="7"/>
      <c r="Z72" s="7"/>
    </row>
    <row r="73" ht="12.75" customHeight="1">
      <c r="A73" s="24"/>
      <c r="B73" s="8" t="s">
        <v>87</v>
      </c>
      <c r="C73" s="9" t="s">
        <v>88</v>
      </c>
      <c r="D73" s="7"/>
      <c r="E73" s="7"/>
      <c r="F73" s="7"/>
      <c r="G73" s="7"/>
      <c r="H73" s="7"/>
      <c r="I73" s="7"/>
      <c r="J73" s="7"/>
      <c r="K73" s="7"/>
      <c r="L73" s="7"/>
      <c r="M73" s="7"/>
      <c r="N73" s="7"/>
      <c r="O73" s="7"/>
      <c r="P73" s="7"/>
      <c r="Q73" s="7"/>
      <c r="R73" s="7"/>
      <c r="S73" s="7"/>
      <c r="T73" s="7"/>
      <c r="U73" s="7"/>
      <c r="V73" s="7"/>
      <c r="W73" s="7"/>
      <c r="X73" s="7"/>
      <c r="Y73" s="7"/>
      <c r="Z73" s="7"/>
    </row>
    <row r="74" ht="12.75" customHeight="1">
      <c r="A74" s="24"/>
      <c r="B74" s="10"/>
      <c r="C74" s="10"/>
      <c r="D74" s="7"/>
      <c r="E74" s="7"/>
      <c r="F74" s="7"/>
      <c r="G74" s="7"/>
      <c r="H74" s="7"/>
      <c r="I74" s="7"/>
      <c r="J74" s="7"/>
      <c r="K74" s="7"/>
      <c r="L74" s="7"/>
      <c r="M74" s="7"/>
      <c r="N74" s="7"/>
      <c r="O74" s="7"/>
      <c r="P74" s="7"/>
      <c r="Q74" s="7"/>
      <c r="R74" s="7"/>
      <c r="S74" s="7"/>
      <c r="T74" s="7"/>
      <c r="U74" s="7"/>
      <c r="V74" s="7"/>
      <c r="W74" s="7"/>
      <c r="X74" s="7"/>
      <c r="Y74" s="7"/>
      <c r="Z74" s="7"/>
    </row>
    <row r="75" ht="12.75" customHeight="1">
      <c r="A75" s="24"/>
      <c r="B75" s="30" t="s">
        <v>89</v>
      </c>
      <c r="C75" s="31" t="s">
        <v>90</v>
      </c>
      <c r="D75" s="7"/>
      <c r="E75" s="7"/>
      <c r="F75" s="7"/>
      <c r="G75" s="7"/>
      <c r="H75" s="7"/>
      <c r="I75" s="7"/>
      <c r="J75" s="7"/>
      <c r="K75" s="7"/>
      <c r="L75" s="7"/>
      <c r="M75" s="7"/>
      <c r="N75" s="7"/>
      <c r="O75" s="7"/>
      <c r="P75" s="7"/>
      <c r="Q75" s="7"/>
      <c r="R75" s="7"/>
      <c r="S75" s="7"/>
      <c r="T75" s="7"/>
      <c r="U75" s="7"/>
      <c r="V75" s="7"/>
      <c r="W75" s="7"/>
      <c r="X75" s="7"/>
      <c r="Y75" s="7"/>
      <c r="Z75" s="7"/>
    </row>
    <row r="76" ht="12.75" customHeight="1">
      <c r="A76" s="24"/>
      <c r="B76" s="3"/>
      <c r="C76" s="31"/>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31"/>
      <c r="C77" s="31" t="s">
        <v>91</v>
      </c>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31"/>
      <c r="C78" s="31" t="s">
        <v>92</v>
      </c>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3"/>
      <c r="C79" s="24" t="s">
        <v>93</v>
      </c>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3"/>
      <c r="C80" s="24" t="s">
        <v>94</v>
      </c>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3"/>
      <c r="C81" s="31"/>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3"/>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31"/>
      <c r="C83" s="24"/>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31"/>
      <c r="C84" s="31"/>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3"/>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C36:D3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8.43"/>
    <col customWidth="1" min="2" max="2" width="44.86"/>
    <col customWidth="1" min="3" max="3" width="171.43"/>
    <col customWidth="1" min="4" max="4" width="23.43"/>
    <col customWidth="1" min="5" max="5" width="28.57"/>
    <col customWidth="1" min="6" max="6" width="18.71"/>
    <col customWidth="1" min="7" max="26" width="8.71"/>
  </cols>
  <sheetData>
    <row r="1" ht="12.75" customHeight="1">
      <c r="A1" s="7"/>
      <c r="B1" s="7"/>
      <c r="C1" s="7"/>
      <c r="D1" s="7"/>
      <c r="E1" s="7"/>
      <c r="F1" s="7"/>
      <c r="G1" s="7"/>
      <c r="H1" s="7"/>
      <c r="I1" s="7"/>
      <c r="J1" s="7"/>
      <c r="K1" s="7"/>
      <c r="L1" s="7"/>
      <c r="M1" s="7"/>
      <c r="N1" s="7"/>
      <c r="O1" s="7"/>
      <c r="P1" s="7"/>
      <c r="Q1" s="7"/>
      <c r="R1" s="7"/>
      <c r="S1" s="7"/>
      <c r="T1" s="7"/>
      <c r="U1" s="7"/>
      <c r="V1" s="7"/>
      <c r="W1" s="7"/>
      <c r="X1" s="7"/>
      <c r="Y1" s="7"/>
      <c r="Z1" s="7"/>
    </row>
    <row r="2" ht="12.75" customHeight="1">
      <c r="A2" s="7"/>
      <c r="B2" s="7"/>
      <c r="C2" s="7"/>
      <c r="D2" s="7"/>
      <c r="E2" s="7"/>
      <c r="F2" s="7"/>
      <c r="G2" s="7"/>
      <c r="H2" s="7"/>
      <c r="I2" s="7"/>
      <c r="J2" s="7"/>
      <c r="K2" s="7"/>
      <c r="L2" s="7"/>
      <c r="M2" s="7"/>
      <c r="N2" s="7"/>
      <c r="O2" s="7"/>
      <c r="P2" s="7"/>
      <c r="Q2" s="7"/>
      <c r="R2" s="7"/>
      <c r="S2" s="7"/>
      <c r="T2" s="7"/>
      <c r="U2" s="7"/>
      <c r="V2" s="7"/>
      <c r="W2" s="7"/>
      <c r="X2" s="7"/>
      <c r="Y2" s="7"/>
      <c r="Z2" s="7"/>
    </row>
    <row r="3" ht="12.75" customHeight="1">
      <c r="A3" s="7"/>
      <c r="B3" s="7"/>
      <c r="C3" s="7"/>
      <c r="D3" s="7"/>
      <c r="E3" s="7"/>
      <c r="F3" s="7"/>
      <c r="G3" s="7"/>
      <c r="H3" s="7"/>
      <c r="I3" s="7"/>
      <c r="J3" s="7"/>
      <c r="K3" s="7"/>
      <c r="L3" s="7"/>
      <c r="M3" s="7"/>
      <c r="N3" s="7"/>
      <c r="O3" s="7"/>
      <c r="P3" s="7"/>
      <c r="Q3" s="7"/>
      <c r="R3" s="7"/>
      <c r="S3" s="7"/>
      <c r="T3" s="7"/>
      <c r="U3" s="7"/>
      <c r="V3" s="7"/>
      <c r="W3" s="7"/>
      <c r="X3" s="7"/>
      <c r="Y3" s="7"/>
      <c r="Z3" s="7"/>
    </row>
    <row r="4" ht="12.75" customHeight="1">
      <c r="A4" s="7"/>
      <c r="B4" s="7"/>
      <c r="C4" s="7"/>
      <c r="D4" s="7"/>
      <c r="E4" s="7"/>
      <c r="F4" s="7"/>
      <c r="G4" s="7"/>
      <c r="H4" s="7"/>
      <c r="I4" s="7"/>
      <c r="J4" s="7"/>
      <c r="K4" s="7"/>
      <c r="L4" s="7"/>
      <c r="M4" s="7"/>
      <c r="N4" s="7"/>
      <c r="O4" s="7"/>
      <c r="P4" s="7"/>
      <c r="Q4" s="7"/>
      <c r="R4" s="7"/>
      <c r="S4" s="7"/>
      <c r="T4" s="7"/>
      <c r="U4" s="7"/>
      <c r="V4" s="7"/>
      <c r="W4" s="7"/>
      <c r="X4" s="7"/>
      <c r="Y4" s="7"/>
      <c r="Z4" s="7"/>
    </row>
    <row r="5" ht="12.75" customHeight="1">
      <c r="A5" s="7"/>
      <c r="B5" s="7"/>
      <c r="C5" s="7"/>
      <c r="D5" s="7"/>
      <c r="E5" s="7"/>
      <c r="F5" s="7"/>
      <c r="G5" s="7"/>
      <c r="H5" s="7"/>
      <c r="I5" s="7"/>
      <c r="J5" s="7"/>
      <c r="K5" s="7"/>
      <c r="L5" s="7"/>
      <c r="M5" s="7"/>
      <c r="N5" s="7"/>
      <c r="O5" s="7"/>
      <c r="P5" s="7"/>
      <c r="Q5" s="7"/>
      <c r="R5" s="7"/>
      <c r="S5" s="7"/>
      <c r="T5" s="7"/>
      <c r="U5" s="7"/>
      <c r="V5" s="7"/>
      <c r="W5" s="7"/>
      <c r="X5" s="7"/>
      <c r="Y5" s="7"/>
      <c r="Z5" s="7"/>
    </row>
    <row r="6" ht="12.75" customHeight="1">
      <c r="A6" s="7"/>
      <c r="B6" s="8" t="s">
        <v>81</v>
      </c>
      <c r="C6" s="9" t="s">
        <v>95</v>
      </c>
      <c r="D6" s="7"/>
      <c r="E6" s="7"/>
      <c r="F6" s="7"/>
      <c r="G6" s="7"/>
      <c r="H6" s="7"/>
      <c r="I6" s="7"/>
      <c r="J6" s="7"/>
      <c r="K6" s="7"/>
      <c r="L6" s="7"/>
      <c r="M6" s="7"/>
      <c r="N6" s="7"/>
      <c r="O6" s="7"/>
      <c r="P6" s="7"/>
      <c r="Q6" s="7"/>
      <c r="R6" s="7"/>
      <c r="S6" s="7"/>
      <c r="T6" s="7"/>
      <c r="U6" s="7"/>
      <c r="V6" s="7"/>
      <c r="W6" s="7"/>
      <c r="X6" s="7"/>
      <c r="Y6" s="7"/>
      <c r="Z6" s="7"/>
    </row>
    <row r="7" ht="12.75" customHeight="1">
      <c r="A7" s="7"/>
      <c r="B7" s="10"/>
      <c r="C7" s="10"/>
      <c r="D7" s="7"/>
      <c r="E7" s="7"/>
      <c r="F7" s="7"/>
      <c r="G7" s="7"/>
      <c r="H7" s="7"/>
      <c r="I7" s="7"/>
      <c r="J7" s="7"/>
      <c r="K7" s="7"/>
      <c r="L7" s="7"/>
      <c r="M7" s="7"/>
      <c r="N7" s="7"/>
      <c r="O7" s="7"/>
      <c r="P7" s="7"/>
      <c r="Q7" s="7"/>
      <c r="R7" s="7"/>
      <c r="S7" s="7"/>
      <c r="T7" s="7"/>
      <c r="U7" s="7"/>
      <c r="V7" s="7"/>
      <c r="W7" s="7"/>
      <c r="X7" s="7"/>
      <c r="Y7" s="7"/>
      <c r="Z7" s="7"/>
    </row>
    <row r="8" ht="12.75" customHeight="1">
      <c r="A8" s="7"/>
      <c r="B8" s="8" t="s">
        <v>83</v>
      </c>
      <c r="C8" s="9" t="s">
        <v>96</v>
      </c>
      <c r="D8" s="7"/>
      <c r="E8" s="7"/>
      <c r="F8" s="7"/>
      <c r="G8" s="7"/>
      <c r="H8" s="7"/>
      <c r="I8" s="7"/>
      <c r="J8" s="7"/>
      <c r="K8" s="7"/>
      <c r="L8" s="7"/>
      <c r="M8" s="7"/>
      <c r="N8" s="7"/>
      <c r="O8" s="7"/>
      <c r="P8" s="7"/>
      <c r="Q8" s="7"/>
      <c r="R8" s="7"/>
      <c r="S8" s="7"/>
      <c r="T8" s="7"/>
      <c r="U8" s="7"/>
      <c r="V8" s="7"/>
      <c r="W8" s="7"/>
      <c r="X8" s="7"/>
      <c r="Y8" s="7"/>
      <c r="Z8" s="7"/>
    </row>
    <row r="9" ht="12.75" customHeight="1">
      <c r="A9" s="7"/>
      <c r="B9" s="10"/>
      <c r="C9" s="10"/>
      <c r="D9" s="7"/>
      <c r="E9" s="7"/>
      <c r="F9" s="7"/>
      <c r="G9" s="7"/>
      <c r="H9" s="7"/>
      <c r="I9" s="7"/>
      <c r="J9" s="7"/>
      <c r="K9" s="7"/>
      <c r="L9" s="7"/>
      <c r="M9" s="7"/>
      <c r="N9" s="7"/>
      <c r="O9" s="7"/>
      <c r="P9" s="7"/>
      <c r="Q9" s="7"/>
      <c r="R9" s="7"/>
      <c r="S9" s="7"/>
      <c r="T9" s="7"/>
      <c r="U9" s="7"/>
      <c r="V9" s="7"/>
      <c r="W9" s="7"/>
      <c r="X9" s="7"/>
      <c r="Y9" s="7"/>
      <c r="Z9" s="7"/>
    </row>
    <row r="10" ht="12.75" customHeight="1">
      <c r="A10" s="7"/>
      <c r="B10" s="8" t="s">
        <v>85</v>
      </c>
      <c r="C10" s="9" t="s">
        <v>97</v>
      </c>
      <c r="D10" s="7"/>
      <c r="E10" s="7"/>
      <c r="F10" s="7"/>
      <c r="G10" s="7"/>
      <c r="H10" s="7"/>
      <c r="I10" s="7"/>
      <c r="J10" s="7"/>
      <c r="K10" s="7"/>
      <c r="L10" s="7"/>
      <c r="M10" s="7"/>
      <c r="N10" s="7"/>
      <c r="O10" s="7"/>
      <c r="P10" s="7"/>
      <c r="Q10" s="7"/>
      <c r="R10" s="7"/>
      <c r="S10" s="7"/>
      <c r="T10" s="7"/>
      <c r="U10" s="7"/>
      <c r="V10" s="7"/>
      <c r="W10" s="7"/>
      <c r="X10" s="7"/>
      <c r="Y10" s="7"/>
      <c r="Z10" s="7"/>
    </row>
    <row r="11" ht="12.75" customHeight="1">
      <c r="A11" s="7"/>
      <c r="B11" s="10"/>
      <c r="C11" s="10"/>
      <c r="D11" s="7"/>
      <c r="E11" s="7"/>
      <c r="F11" s="7"/>
      <c r="G11" s="7"/>
      <c r="H11" s="7"/>
      <c r="I11" s="7"/>
      <c r="J11" s="7"/>
      <c r="K11" s="7"/>
      <c r="L11" s="7"/>
      <c r="M11" s="7"/>
      <c r="N11" s="7"/>
      <c r="O11" s="7"/>
      <c r="P11" s="7"/>
      <c r="Q11" s="7"/>
      <c r="R11" s="7"/>
      <c r="S11" s="7"/>
      <c r="T11" s="7"/>
      <c r="U11" s="7"/>
      <c r="V11" s="7"/>
      <c r="W11" s="7"/>
      <c r="X11" s="7"/>
      <c r="Y11" s="7"/>
      <c r="Z11" s="7"/>
    </row>
    <row r="12" ht="12.75" customHeight="1">
      <c r="A12" s="7"/>
      <c r="B12" s="8" t="s">
        <v>87</v>
      </c>
      <c r="C12" s="9" t="s">
        <v>98</v>
      </c>
      <c r="D12" s="7"/>
      <c r="E12" s="7"/>
      <c r="F12" s="7"/>
      <c r="G12" s="7"/>
      <c r="H12" s="7"/>
      <c r="I12" s="7"/>
      <c r="J12" s="7"/>
      <c r="K12" s="7"/>
      <c r="L12" s="7"/>
      <c r="M12" s="7"/>
      <c r="N12" s="7"/>
      <c r="O12" s="7"/>
      <c r="P12" s="7"/>
      <c r="Q12" s="7"/>
      <c r="R12" s="7"/>
      <c r="S12" s="7"/>
      <c r="T12" s="7"/>
      <c r="U12" s="7"/>
      <c r="V12" s="7"/>
      <c r="W12" s="7"/>
      <c r="X12" s="7"/>
      <c r="Y12" s="7"/>
      <c r="Z12" s="7"/>
    </row>
    <row r="13" ht="12.75" customHeight="1">
      <c r="A13" s="7"/>
      <c r="B13" s="10"/>
      <c r="C13" s="10"/>
      <c r="D13" s="7"/>
      <c r="E13" s="7"/>
      <c r="F13" s="7"/>
      <c r="G13" s="7"/>
      <c r="H13" s="7"/>
      <c r="I13" s="7"/>
      <c r="J13" s="7"/>
      <c r="K13" s="7"/>
      <c r="L13" s="7"/>
      <c r="M13" s="7"/>
      <c r="N13" s="7"/>
      <c r="O13" s="7"/>
      <c r="P13" s="7"/>
      <c r="Q13" s="7"/>
      <c r="R13" s="7"/>
      <c r="S13" s="7"/>
      <c r="T13" s="7"/>
      <c r="U13" s="7"/>
      <c r="V13" s="7"/>
      <c r="W13" s="7"/>
      <c r="X13" s="7"/>
      <c r="Y13" s="7"/>
      <c r="Z13" s="7"/>
    </row>
    <row r="14" ht="12.75" customHeight="1">
      <c r="A14" s="7"/>
      <c r="B14" s="30"/>
      <c r="C14" s="31"/>
      <c r="D14" s="7"/>
      <c r="E14" s="7"/>
      <c r="F14" s="7"/>
      <c r="G14" s="7"/>
      <c r="H14" s="7"/>
      <c r="I14" s="7"/>
      <c r="J14" s="7"/>
      <c r="K14" s="7"/>
      <c r="L14" s="7"/>
      <c r="M14" s="7"/>
      <c r="N14" s="7"/>
      <c r="O14" s="7"/>
      <c r="P14" s="7"/>
      <c r="Q14" s="7"/>
      <c r="R14" s="7"/>
      <c r="S14" s="7"/>
      <c r="T14" s="7"/>
      <c r="U14" s="7"/>
      <c r="V14" s="7"/>
      <c r="W14" s="7"/>
      <c r="X14" s="7"/>
      <c r="Y14" s="7"/>
      <c r="Z14" s="7"/>
    </row>
    <row r="15" ht="12.75" customHeight="1">
      <c r="A15" s="7"/>
      <c r="B15" s="3"/>
      <c r="C15" s="31"/>
      <c r="D15" s="7"/>
      <c r="E15" s="7"/>
      <c r="F15" s="7"/>
      <c r="G15" s="7"/>
      <c r="H15" s="7"/>
      <c r="I15" s="7"/>
      <c r="J15" s="7"/>
      <c r="K15" s="7"/>
      <c r="L15" s="7"/>
      <c r="M15" s="7"/>
      <c r="N15" s="7"/>
      <c r="O15" s="7"/>
      <c r="P15" s="7"/>
      <c r="Q15" s="7"/>
      <c r="R15" s="7"/>
      <c r="S15" s="7"/>
      <c r="T15" s="7"/>
      <c r="U15" s="7"/>
      <c r="V15" s="7"/>
      <c r="W15" s="7"/>
      <c r="X15" s="7"/>
      <c r="Y15" s="7"/>
      <c r="Z15" s="7"/>
    </row>
    <row r="16" ht="12.75" customHeight="1">
      <c r="A16" s="7"/>
      <c r="B16" s="31"/>
      <c r="C16" s="31"/>
      <c r="D16" s="7"/>
      <c r="E16" s="7"/>
      <c r="F16" s="7"/>
      <c r="G16" s="7"/>
      <c r="H16" s="7"/>
      <c r="I16" s="7"/>
      <c r="J16" s="7"/>
      <c r="K16" s="7"/>
      <c r="L16" s="7"/>
      <c r="M16" s="7"/>
      <c r="N16" s="7"/>
      <c r="O16" s="7"/>
      <c r="P16" s="7"/>
      <c r="Q16" s="7"/>
      <c r="R16" s="7"/>
      <c r="S16" s="7"/>
      <c r="T16" s="7"/>
      <c r="U16" s="7"/>
      <c r="V16" s="7"/>
      <c r="W16" s="7"/>
      <c r="X16" s="7"/>
      <c r="Y16" s="7"/>
      <c r="Z16" s="7"/>
    </row>
    <row r="17" ht="12.75" customHeight="1">
      <c r="A17" s="7"/>
      <c r="B17" s="31"/>
      <c r="C17" s="31"/>
      <c r="D17" s="7"/>
      <c r="E17" s="7"/>
      <c r="F17" s="7"/>
      <c r="G17" s="7"/>
      <c r="H17" s="7"/>
      <c r="I17" s="7"/>
      <c r="J17" s="7"/>
      <c r="K17" s="7"/>
      <c r="L17" s="7"/>
      <c r="M17" s="7"/>
      <c r="N17" s="7"/>
      <c r="O17" s="7"/>
      <c r="P17" s="7"/>
      <c r="Q17" s="7"/>
      <c r="R17" s="7"/>
      <c r="S17" s="7"/>
      <c r="T17" s="7"/>
      <c r="U17" s="7"/>
      <c r="V17" s="7"/>
      <c r="W17" s="7"/>
      <c r="X17" s="7"/>
      <c r="Y17" s="7"/>
      <c r="Z17" s="7"/>
    </row>
    <row r="18" ht="12.75" customHeight="1">
      <c r="A18" s="7"/>
      <c r="B18" s="3"/>
      <c r="C18" s="24"/>
      <c r="D18" s="7"/>
      <c r="E18" s="7"/>
      <c r="F18" s="7"/>
      <c r="G18" s="7"/>
      <c r="H18" s="7"/>
      <c r="I18" s="7"/>
      <c r="J18" s="7"/>
      <c r="K18" s="7"/>
      <c r="L18" s="7"/>
      <c r="M18" s="7"/>
      <c r="N18" s="7"/>
      <c r="O18" s="7"/>
      <c r="P18" s="7"/>
      <c r="Q18" s="7"/>
      <c r="R18" s="7"/>
      <c r="S18" s="7"/>
      <c r="T18" s="7"/>
      <c r="U18" s="7"/>
      <c r="V18" s="7"/>
      <c r="W18" s="7"/>
      <c r="X18" s="7"/>
      <c r="Y18" s="7"/>
      <c r="Z18" s="7"/>
    </row>
    <row r="19" ht="12.75" customHeight="1">
      <c r="A19" s="7"/>
      <c r="B19" s="3"/>
      <c r="C19" s="24"/>
      <c r="D19" s="7"/>
      <c r="E19" s="7"/>
      <c r="F19" s="7"/>
      <c r="G19" s="7"/>
      <c r="H19" s="7"/>
      <c r="I19" s="7"/>
      <c r="J19" s="7"/>
      <c r="K19" s="7"/>
      <c r="L19" s="7"/>
      <c r="M19" s="7"/>
      <c r="N19" s="7"/>
      <c r="O19" s="7"/>
      <c r="P19" s="7"/>
      <c r="Q19" s="7"/>
      <c r="R19" s="7"/>
      <c r="S19" s="7"/>
      <c r="T19" s="7"/>
      <c r="U19" s="7"/>
      <c r="V19" s="7"/>
      <c r="W19" s="7"/>
      <c r="X19" s="7"/>
      <c r="Y19" s="7"/>
      <c r="Z19" s="7"/>
    </row>
    <row r="20" ht="12.75" customHeight="1">
      <c r="A20" s="7"/>
      <c r="B20" s="3"/>
      <c r="C20" s="24"/>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3"/>
      <c r="C21" s="31"/>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31"/>
      <c r="C22" s="31"/>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31"/>
      <c r="C23" s="31"/>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3"/>
      <c r="C24" s="24"/>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4BFF"/>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59.71"/>
    <col customWidth="1" min="2" max="2" width="7.43"/>
    <col customWidth="1" min="3" max="3" width="20.86"/>
    <col customWidth="1" min="4" max="4" width="55.86"/>
    <col customWidth="1" min="5" max="5" width="11.57"/>
    <col customWidth="1" min="6" max="6" width="14.29"/>
    <col customWidth="1" min="7" max="7" width="9.0"/>
    <col customWidth="1" min="8" max="8" width="6.71"/>
    <col customWidth="1" min="9" max="9" width="7.29"/>
    <col customWidth="1" min="10" max="10" width="17.0"/>
    <col customWidth="1" min="11" max="11" width="7.71"/>
    <col customWidth="1" min="12" max="12" width="14.14"/>
    <col customWidth="1" min="13" max="13" width="13.0"/>
    <col customWidth="1" min="14" max="14" width="26.14"/>
    <col customWidth="1" min="15" max="15" width="26.71"/>
    <col customWidth="1" min="16" max="16" width="25.57"/>
    <col customWidth="1" min="17" max="17" width="33.14"/>
    <col customWidth="1" min="18" max="18" width="8.71"/>
    <col customWidth="1" min="19" max="19" width="7.71"/>
    <col customWidth="1" min="20" max="20" width="8.71"/>
    <col customWidth="1" min="21" max="21" width="9.43"/>
    <col customWidth="1" min="22" max="31" width="8.71"/>
  </cols>
  <sheetData>
    <row r="1" ht="84.0" customHeight="1">
      <c r="A1" s="32" t="s">
        <v>99</v>
      </c>
      <c r="B1" s="32" t="s">
        <v>100</v>
      </c>
      <c r="C1" s="32" t="s">
        <v>1</v>
      </c>
      <c r="D1" s="32" t="s">
        <v>101</v>
      </c>
      <c r="E1" s="32" t="s">
        <v>5</v>
      </c>
      <c r="F1" s="33" t="s">
        <v>19</v>
      </c>
      <c r="G1" s="34" t="s">
        <v>21</v>
      </c>
      <c r="H1" s="33" t="s">
        <v>23</v>
      </c>
      <c r="I1" s="33" t="s">
        <v>25</v>
      </c>
      <c r="J1" s="32" t="s">
        <v>102</v>
      </c>
      <c r="K1" s="33" t="s">
        <v>103</v>
      </c>
      <c r="L1" s="32" t="s">
        <v>104</v>
      </c>
      <c r="M1" s="32" t="s">
        <v>105</v>
      </c>
      <c r="N1" s="32" t="s">
        <v>44</v>
      </c>
      <c r="O1" s="35" t="s">
        <v>70</v>
      </c>
      <c r="P1" s="32" t="s">
        <v>79</v>
      </c>
      <c r="Q1" s="36" t="s">
        <v>106</v>
      </c>
      <c r="R1" s="32" t="s">
        <v>107</v>
      </c>
      <c r="S1" s="32" t="s">
        <v>108</v>
      </c>
      <c r="T1" s="32" t="s">
        <v>109</v>
      </c>
      <c r="U1" s="32" t="s">
        <v>110</v>
      </c>
      <c r="V1" s="32" t="s">
        <v>111</v>
      </c>
      <c r="W1" s="32" t="s">
        <v>112</v>
      </c>
      <c r="X1" s="32" t="s">
        <v>113</v>
      </c>
      <c r="Y1" s="32" t="s">
        <v>114</v>
      </c>
      <c r="Z1" s="32" t="s">
        <v>115</v>
      </c>
      <c r="AA1" s="32" t="s">
        <v>116</v>
      </c>
      <c r="AB1" s="32" t="s">
        <v>117</v>
      </c>
      <c r="AC1" s="32" t="s">
        <v>118</v>
      </c>
      <c r="AD1" s="32" t="s">
        <v>119</v>
      </c>
      <c r="AE1" s="32" t="s">
        <v>120</v>
      </c>
    </row>
    <row r="2">
      <c r="A2" s="37" t="s">
        <v>121</v>
      </c>
      <c r="B2" s="38">
        <v>751.0</v>
      </c>
      <c r="C2" s="38" t="s">
        <v>122</v>
      </c>
      <c r="D2" s="39" t="s">
        <v>123</v>
      </c>
      <c r="E2" s="38" t="s">
        <v>16</v>
      </c>
      <c r="F2" s="38">
        <v>2022.0</v>
      </c>
      <c r="G2" s="38">
        <v>2024.0</v>
      </c>
      <c r="H2" s="38">
        <v>2025.0</v>
      </c>
      <c r="I2" s="38" t="s">
        <v>124</v>
      </c>
      <c r="J2" s="38" t="s">
        <v>28</v>
      </c>
      <c r="K2" s="40">
        <v>1.0</v>
      </c>
      <c r="L2" s="40">
        <v>0.3</v>
      </c>
      <c r="M2" s="40">
        <v>0.3</v>
      </c>
      <c r="N2" s="38" t="s">
        <v>58</v>
      </c>
      <c r="O2" s="41" t="s">
        <v>75</v>
      </c>
      <c r="P2" s="42" t="s">
        <v>124</v>
      </c>
      <c r="Q2" s="38" t="s">
        <v>125</v>
      </c>
      <c r="R2" s="42" t="s">
        <v>126</v>
      </c>
      <c r="S2" s="42" t="s">
        <v>127</v>
      </c>
      <c r="T2" s="42" t="s">
        <v>124</v>
      </c>
      <c r="U2" s="42" t="s">
        <v>124</v>
      </c>
      <c r="V2" s="42" t="s">
        <v>124</v>
      </c>
      <c r="W2" s="42" t="s">
        <v>124</v>
      </c>
      <c r="X2" s="42" t="s">
        <v>124</v>
      </c>
      <c r="Y2" s="43" t="str">
        <f>IF(CCUS_Projects_Database!$R3&lt;&gt;"",HYPERLINK(CCUS_Projects_Database!$R3,"Link 1"),"")</f>
        <v>Link 1</v>
      </c>
      <c r="Z2" s="43" t="str">
        <f>IF(CCUS_Projects_Database!$S3&lt;&gt;"",HYPERLINK(CCUS_Projects_Database!$S3,"Link 2"),"")</f>
        <v>Link 2</v>
      </c>
      <c r="AA2" s="43" t="str">
        <f>IF(CCUS_Projects_Database!$T3&lt;&gt;"",HYPERLINK(CCUS_Projects_Database!$T3,"Link 3"),"")</f>
        <v/>
      </c>
      <c r="AB2" s="43" t="str">
        <f>IF(CCUS_Projects_Database!$U3&lt;&gt;"",HYPERLINK(CCUS_Projects_Database!$U3,"Link 4"),"")</f>
        <v/>
      </c>
      <c r="AC2" s="43" t="str">
        <f>IF(CCUS_Projects_Database!$V3&lt;&gt;"",HYPERLINK(CCUS_Projects_Database!$V3,"Link 5"),"")</f>
        <v/>
      </c>
      <c r="AD2" s="43" t="str">
        <f>IF(CCUS_Projects_Database!$W3&lt;&gt;"",HYPERLINK(CCUS_Projects_Database!$W3,"Link 6"),"")</f>
        <v/>
      </c>
      <c r="AE2" s="43" t="str">
        <f>IF(CCUS_Projects_Database!$X3&lt;&gt;"",HYPERLINK(CCUS_Projects_Database!$X3,"Link 7"),"")</f>
        <v/>
      </c>
    </row>
    <row r="3">
      <c r="A3" s="44" t="s">
        <v>128</v>
      </c>
      <c r="B3" s="45">
        <v>1.0</v>
      </c>
      <c r="C3" s="45" t="s">
        <v>122</v>
      </c>
      <c r="D3" s="46" t="s">
        <v>129</v>
      </c>
      <c r="E3" s="45" t="s">
        <v>8</v>
      </c>
      <c r="F3" s="45">
        <v>2019.0</v>
      </c>
      <c r="G3" s="45" t="s">
        <v>124</v>
      </c>
      <c r="H3" s="45">
        <v>2025.0</v>
      </c>
      <c r="I3" s="45" t="s">
        <v>124</v>
      </c>
      <c r="J3" s="45" t="s">
        <v>28</v>
      </c>
      <c r="K3" s="47">
        <v>2.0</v>
      </c>
      <c r="L3" s="47">
        <v>0.7</v>
      </c>
      <c r="M3" s="47">
        <v>0.7</v>
      </c>
      <c r="N3" s="45" t="s">
        <v>58</v>
      </c>
      <c r="O3" s="48" t="s">
        <v>77</v>
      </c>
      <c r="P3" s="49" t="s">
        <v>124</v>
      </c>
      <c r="Q3" s="45" t="s">
        <v>125</v>
      </c>
      <c r="R3" s="49" t="s">
        <v>130</v>
      </c>
      <c r="S3" s="49" t="s">
        <v>131</v>
      </c>
      <c r="T3" s="49" t="s">
        <v>124</v>
      </c>
      <c r="U3" s="49" t="s">
        <v>124</v>
      </c>
      <c r="V3" s="49" t="s">
        <v>124</v>
      </c>
      <c r="W3" s="49" t="s">
        <v>124</v>
      </c>
      <c r="X3" s="49" t="s">
        <v>124</v>
      </c>
      <c r="Y3" s="50" t="str">
        <f>IF(CCUS_Projects_Database!$R2&lt;&gt;"",HYPERLINK(CCUS_Projects_Database!$R2,"Link 1"),"")</f>
        <v>Link 1</v>
      </c>
      <c r="Z3" s="50" t="str">
        <f>IF(CCUS_Projects_Database!$S2&lt;&gt;"",HYPERLINK(CCUS_Projects_Database!$S2,"Link 2"),"")</f>
        <v>Link 2</v>
      </c>
      <c r="AA3" s="50" t="str">
        <f>IF(CCUS_Projects_Database!$T2&lt;&gt;"",HYPERLINK(CCUS_Projects_Database!$T2,"Link 3"),"")</f>
        <v/>
      </c>
      <c r="AB3" s="50" t="str">
        <f>IF(CCUS_Projects_Database!$U2&lt;&gt;"",HYPERLINK(CCUS_Projects_Database!$U2,"Link 4"),"")</f>
        <v/>
      </c>
      <c r="AC3" s="50" t="str">
        <f>IF(CCUS_Projects_Database!$V2&lt;&gt;"",HYPERLINK(CCUS_Projects_Database!$V2,"Link 5"),"")</f>
        <v/>
      </c>
      <c r="AD3" s="50" t="str">
        <f>IF(CCUS_Projects_Database!$W2&lt;&gt;"",HYPERLINK(CCUS_Projects_Database!$W2,"Link 6"),"")</f>
        <v/>
      </c>
      <c r="AE3" s="50" t="str">
        <f>IF(CCUS_Projects_Database!$X2&lt;&gt;"",HYPERLINK(CCUS_Projects_Database!$X2,"Link 7"),"")</f>
        <v/>
      </c>
    </row>
    <row r="4">
      <c r="A4" s="37" t="s">
        <v>132</v>
      </c>
      <c r="B4" s="38">
        <v>1055.0</v>
      </c>
      <c r="C4" s="38" t="s">
        <v>133</v>
      </c>
      <c r="D4" s="39" t="s">
        <v>134</v>
      </c>
      <c r="E4" s="38" t="s">
        <v>135</v>
      </c>
      <c r="F4" s="38">
        <v>2022.0</v>
      </c>
      <c r="G4" s="38">
        <v>2022.0</v>
      </c>
      <c r="H4" s="38">
        <v>2026.0</v>
      </c>
      <c r="I4" s="38" t="s">
        <v>124</v>
      </c>
      <c r="J4" s="38" t="s">
        <v>30</v>
      </c>
      <c r="K4" s="40" t="s">
        <v>124</v>
      </c>
      <c r="L4" s="51">
        <v>1.5</v>
      </c>
      <c r="M4" s="40">
        <v>1.5</v>
      </c>
      <c r="N4" s="38" t="s">
        <v>136</v>
      </c>
      <c r="O4" s="41" t="s">
        <v>77</v>
      </c>
      <c r="P4" s="42" t="s">
        <v>124</v>
      </c>
      <c r="Q4" s="38" t="s">
        <v>137</v>
      </c>
      <c r="R4" s="42" t="s">
        <v>138</v>
      </c>
      <c r="S4" s="42" t="s">
        <v>139</v>
      </c>
      <c r="T4" s="42" t="s">
        <v>124</v>
      </c>
      <c r="U4" s="42" t="s">
        <v>124</v>
      </c>
      <c r="V4" s="42" t="s">
        <v>124</v>
      </c>
      <c r="W4" s="42" t="s">
        <v>124</v>
      </c>
      <c r="X4" s="42" t="s">
        <v>124</v>
      </c>
      <c r="Y4" s="43" t="str">
        <f>IF(CCUS_Projects_Database!$R4&lt;&gt;"",HYPERLINK(CCUS_Projects_Database!$R4,"Link 1"),"")</f>
        <v>Link 1</v>
      </c>
      <c r="Z4" s="43" t="str">
        <f>IF(CCUS_Projects_Database!$S4&lt;&gt;"",HYPERLINK(CCUS_Projects_Database!$S4,"Link 2"),"")</f>
        <v>Link 2</v>
      </c>
      <c r="AA4" s="43" t="str">
        <f>IF(CCUS_Projects_Database!$T4&lt;&gt;"",HYPERLINK(CCUS_Projects_Database!$T4,"Link 3"),"")</f>
        <v/>
      </c>
      <c r="AB4" s="43" t="str">
        <f>IF(CCUS_Projects_Database!$U4&lt;&gt;"",HYPERLINK(CCUS_Projects_Database!$U4,"Link 4"),"")</f>
        <v/>
      </c>
      <c r="AC4" s="43" t="str">
        <f>IF(CCUS_Projects_Database!$V4&lt;&gt;"",HYPERLINK(CCUS_Projects_Database!$V4,"Link 5"),"")</f>
        <v/>
      </c>
      <c r="AD4" s="43" t="str">
        <f>IF(CCUS_Projects_Database!$W4&lt;&gt;"",HYPERLINK(CCUS_Projects_Database!$W4,"Link 6"),"")</f>
        <v/>
      </c>
      <c r="AE4" s="43" t="str">
        <f>IF(CCUS_Projects_Database!$X4&lt;&gt;"",HYPERLINK(CCUS_Projects_Database!$X4,"Link 7"),"")</f>
        <v/>
      </c>
    </row>
    <row r="5">
      <c r="A5" s="44" t="s">
        <v>140</v>
      </c>
      <c r="B5" s="45">
        <v>3.0</v>
      </c>
      <c r="C5" s="45" t="s">
        <v>141</v>
      </c>
      <c r="D5" s="46" t="s">
        <v>142</v>
      </c>
      <c r="E5" s="45" t="s">
        <v>8</v>
      </c>
      <c r="F5" s="45">
        <v>2022.0</v>
      </c>
      <c r="G5" s="45" t="s">
        <v>124</v>
      </c>
      <c r="H5" s="45" t="s">
        <v>124</v>
      </c>
      <c r="I5" s="45" t="s">
        <v>124</v>
      </c>
      <c r="J5" s="45" t="s">
        <v>28</v>
      </c>
      <c r="K5" s="47" t="s">
        <v>124</v>
      </c>
      <c r="L5" s="47"/>
      <c r="M5" s="47" t="s">
        <v>124</v>
      </c>
      <c r="N5" s="45" t="s">
        <v>136</v>
      </c>
      <c r="O5" s="48" t="s">
        <v>71</v>
      </c>
      <c r="P5" s="49" t="s">
        <v>124</v>
      </c>
      <c r="Q5" s="45" t="s">
        <v>143</v>
      </c>
      <c r="R5" s="49" t="s">
        <v>144</v>
      </c>
      <c r="S5" s="49" t="s">
        <v>124</v>
      </c>
      <c r="T5" s="49" t="s">
        <v>124</v>
      </c>
      <c r="U5" s="49" t="s">
        <v>124</v>
      </c>
      <c r="V5" s="49" t="s">
        <v>124</v>
      </c>
      <c r="W5" s="49" t="s">
        <v>124</v>
      </c>
      <c r="X5" s="49" t="s">
        <v>124</v>
      </c>
      <c r="Y5" s="50" t="str">
        <f>IF(CCUS_Projects_Database!$R5&lt;&gt;"",HYPERLINK(CCUS_Projects_Database!$R5,"Link 1"),"")</f>
        <v>Link 1</v>
      </c>
      <c r="Z5" s="50" t="str">
        <f>IF(CCUS_Projects_Database!$S5&lt;&gt;"",HYPERLINK(CCUS_Projects_Database!$S5,"Link 2"),"")</f>
        <v/>
      </c>
      <c r="AA5" s="50" t="str">
        <f>IF(CCUS_Projects_Database!$T5&lt;&gt;"",HYPERLINK(CCUS_Projects_Database!$T5,"Link 3"),"")</f>
        <v/>
      </c>
      <c r="AB5" s="50" t="str">
        <f>IF(CCUS_Projects_Database!$U5&lt;&gt;"",HYPERLINK(CCUS_Projects_Database!$U5,"Link 4"),"")</f>
        <v/>
      </c>
      <c r="AC5" s="50" t="str">
        <f>IF(CCUS_Projects_Database!$V5&lt;&gt;"",HYPERLINK(CCUS_Projects_Database!$V5,"Link 5"),"")</f>
        <v/>
      </c>
      <c r="AD5" s="50" t="str">
        <f>IF(CCUS_Projects_Database!$W5&lt;&gt;"",HYPERLINK(CCUS_Projects_Database!$W5,"Link 6"),"")</f>
        <v/>
      </c>
      <c r="AE5" s="50" t="str">
        <f>IF(CCUS_Projects_Database!$X5&lt;&gt;"",HYPERLINK(CCUS_Projects_Database!$X5,"Link 7"),"")</f>
        <v/>
      </c>
    </row>
    <row r="6">
      <c r="A6" s="37" t="s">
        <v>145</v>
      </c>
      <c r="B6" s="38">
        <v>227.0</v>
      </c>
      <c r="C6" s="38" t="s">
        <v>146</v>
      </c>
      <c r="D6" s="39" t="s">
        <v>147</v>
      </c>
      <c r="E6" s="38" t="s">
        <v>6</v>
      </c>
      <c r="F6" s="38">
        <v>2018.0</v>
      </c>
      <c r="G6" s="38" t="s">
        <v>124</v>
      </c>
      <c r="H6" s="38">
        <v>2027.0</v>
      </c>
      <c r="I6" s="38" t="s">
        <v>124</v>
      </c>
      <c r="J6" s="38" t="s">
        <v>28</v>
      </c>
      <c r="K6" s="40" t="s">
        <v>124</v>
      </c>
      <c r="L6" s="51">
        <v>2.41</v>
      </c>
      <c r="M6" s="40">
        <v>2.41</v>
      </c>
      <c r="N6" s="38" t="s">
        <v>48</v>
      </c>
      <c r="O6" s="41" t="s">
        <v>77</v>
      </c>
      <c r="P6" s="42" t="s">
        <v>124</v>
      </c>
      <c r="Q6" s="38" t="s">
        <v>148</v>
      </c>
      <c r="R6" s="42" t="s">
        <v>149</v>
      </c>
      <c r="S6" s="42" t="s">
        <v>150</v>
      </c>
      <c r="T6" s="42" t="s">
        <v>151</v>
      </c>
      <c r="U6" s="42" t="s">
        <v>124</v>
      </c>
      <c r="V6" s="42" t="s">
        <v>124</v>
      </c>
      <c r="W6" s="42" t="s">
        <v>124</v>
      </c>
      <c r="X6" s="42" t="s">
        <v>124</v>
      </c>
      <c r="Y6" s="43" t="str">
        <f>IF(CCUS_Projects_Database!$R6&lt;&gt;"",HYPERLINK(CCUS_Projects_Database!$R6,"Link 1"),"")</f>
        <v>Link 1</v>
      </c>
      <c r="Z6" s="43" t="str">
        <f>IF(CCUS_Projects_Database!$S6&lt;&gt;"",HYPERLINK(CCUS_Projects_Database!$S6,"Link 2"),"")</f>
        <v>Link 2</v>
      </c>
      <c r="AA6" s="43" t="str">
        <f>IF(CCUS_Projects_Database!$T6&lt;&gt;"",HYPERLINK(CCUS_Projects_Database!$T6,"Link 3"),"")</f>
        <v>Link 3</v>
      </c>
      <c r="AB6" s="43" t="str">
        <f>IF(CCUS_Projects_Database!$U6&lt;&gt;"",HYPERLINK(CCUS_Projects_Database!$U6,"Link 4"),"")</f>
        <v/>
      </c>
      <c r="AC6" s="43" t="str">
        <f>IF(CCUS_Projects_Database!$V6&lt;&gt;"",HYPERLINK(CCUS_Projects_Database!$V6,"Link 5"),"")</f>
        <v/>
      </c>
      <c r="AD6" s="43" t="str">
        <f>IF(CCUS_Projects_Database!$W6&lt;&gt;"",HYPERLINK(CCUS_Projects_Database!$W6,"Link 6"),"")</f>
        <v/>
      </c>
      <c r="AE6" s="43" t="str">
        <f>IF(CCUS_Projects_Database!$X6&lt;&gt;"",HYPERLINK(CCUS_Projects_Database!$X6,"Link 7"),"")</f>
        <v/>
      </c>
    </row>
    <row r="7">
      <c r="A7" s="44" t="s">
        <v>152</v>
      </c>
      <c r="B7" s="45">
        <v>975.0</v>
      </c>
      <c r="C7" s="45" t="s">
        <v>141</v>
      </c>
      <c r="D7" s="46" t="s">
        <v>153</v>
      </c>
      <c r="E7" s="45" t="s">
        <v>8</v>
      </c>
      <c r="F7" s="45">
        <v>2023.0</v>
      </c>
      <c r="G7" s="45" t="s">
        <v>124</v>
      </c>
      <c r="H7" s="45" t="s">
        <v>124</v>
      </c>
      <c r="I7" s="45" t="s">
        <v>124</v>
      </c>
      <c r="J7" s="45" t="s">
        <v>28</v>
      </c>
      <c r="K7" s="47" t="s">
        <v>124</v>
      </c>
      <c r="L7" s="52">
        <v>1.8</v>
      </c>
      <c r="M7" s="47">
        <v>1.8</v>
      </c>
      <c r="N7" s="45" t="s">
        <v>46</v>
      </c>
      <c r="O7" s="48" t="s">
        <v>71</v>
      </c>
      <c r="P7" s="49" t="s">
        <v>154</v>
      </c>
      <c r="Q7" s="45" t="s">
        <v>143</v>
      </c>
      <c r="R7" s="49" t="s">
        <v>155</v>
      </c>
      <c r="S7" s="49" t="s">
        <v>124</v>
      </c>
      <c r="T7" s="49" t="s">
        <v>124</v>
      </c>
      <c r="U7" s="49" t="s">
        <v>124</v>
      </c>
      <c r="V7" s="49" t="s">
        <v>124</v>
      </c>
      <c r="W7" s="49" t="s">
        <v>124</v>
      </c>
      <c r="X7" s="49" t="s">
        <v>124</v>
      </c>
      <c r="Y7" s="50" t="str">
        <f>IF(CCUS_Projects_Database!$R7&lt;&gt;"",HYPERLINK(CCUS_Projects_Database!$R7,"Link 1"),"")</f>
        <v>Link 1</v>
      </c>
      <c r="Z7" s="50" t="str">
        <f>IF(CCUS_Projects_Database!$S7&lt;&gt;"",HYPERLINK(CCUS_Projects_Database!$S7,"Link 2"),"")</f>
        <v/>
      </c>
      <c r="AA7" s="50" t="str">
        <f>IF(CCUS_Projects_Database!$T7&lt;&gt;"",HYPERLINK(CCUS_Projects_Database!$T7,"Link 3"),"")</f>
        <v/>
      </c>
      <c r="AB7" s="50" t="str">
        <f>IF(CCUS_Projects_Database!$U7&lt;&gt;"",HYPERLINK(CCUS_Projects_Database!$U7,"Link 4"),"")</f>
        <v/>
      </c>
      <c r="AC7" s="50" t="str">
        <f>IF(CCUS_Projects_Database!$V7&lt;&gt;"",HYPERLINK(CCUS_Projects_Database!$V7,"Link 5"),"")</f>
        <v/>
      </c>
      <c r="AD7" s="50" t="str">
        <f>IF(CCUS_Projects_Database!$W7&lt;&gt;"",HYPERLINK(CCUS_Projects_Database!$W7,"Link 6"),"")</f>
        <v/>
      </c>
      <c r="AE7" s="50" t="str">
        <f>IF(CCUS_Projects_Database!$X7&lt;&gt;"",HYPERLINK(CCUS_Projects_Database!$X7,"Link 7"),"")</f>
        <v/>
      </c>
    </row>
    <row r="8">
      <c r="A8" s="37" t="s">
        <v>156</v>
      </c>
      <c r="B8" s="38">
        <v>7.0</v>
      </c>
      <c r="C8" s="38" t="s">
        <v>157</v>
      </c>
      <c r="D8" s="39" t="s">
        <v>158</v>
      </c>
      <c r="E8" s="38" t="s">
        <v>8</v>
      </c>
      <c r="F8" s="38">
        <v>2016.0</v>
      </c>
      <c r="G8" s="38">
        <v>2024.0</v>
      </c>
      <c r="H8" s="38">
        <v>2028.0</v>
      </c>
      <c r="I8" s="38" t="s">
        <v>124</v>
      </c>
      <c r="J8" s="38" t="s">
        <v>28</v>
      </c>
      <c r="K8" s="40" t="s">
        <v>124</v>
      </c>
      <c r="L8" s="51">
        <v>0.3</v>
      </c>
      <c r="M8" s="40">
        <v>0.3</v>
      </c>
      <c r="N8" s="38" t="s">
        <v>48</v>
      </c>
      <c r="O8" s="41" t="s">
        <v>71</v>
      </c>
      <c r="P8" s="42" t="s">
        <v>159</v>
      </c>
      <c r="Q8" s="38" t="s">
        <v>125</v>
      </c>
      <c r="R8" s="42" t="s">
        <v>160</v>
      </c>
      <c r="S8" s="42" t="s">
        <v>161</v>
      </c>
      <c r="T8" s="42" t="s">
        <v>162</v>
      </c>
      <c r="U8" s="42" t="s">
        <v>163</v>
      </c>
      <c r="V8" s="42" t="s">
        <v>164</v>
      </c>
      <c r="W8" s="42" t="s">
        <v>165</v>
      </c>
      <c r="X8" s="42" t="s">
        <v>124</v>
      </c>
      <c r="Y8" s="43" t="str">
        <f>IF(CCUS_Projects_Database!$R8&lt;&gt;"",HYPERLINK(CCUS_Projects_Database!$R8,"Link 1"),"")</f>
        <v>Link 1</v>
      </c>
      <c r="Z8" s="43" t="str">
        <f>IF(CCUS_Projects_Database!$S8&lt;&gt;"",HYPERLINK(CCUS_Projects_Database!$S8,"Link 2"),"")</f>
        <v>Link 2</v>
      </c>
      <c r="AA8" s="43" t="str">
        <f>IF(CCUS_Projects_Database!$T8&lt;&gt;"",HYPERLINK(CCUS_Projects_Database!$T8,"Link 3"),"")</f>
        <v>Link 3</v>
      </c>
      <c r="AB8" s="43" t="str">
        <f>IF(CCUS_Projects_Database!$U8&lt;&gt;"",HYPERLINK(CCUS_Projects_Database!$U8,"Link 4"),"")</f>
        <v>Link 4</v>
      </c>
      <c r="AC8" s="43" t="str">
        <f>IF(CCUS_Projects_Database!$V8&lt;&gt;"",HYPERLINK(CCUS_Projects_Database!$V8,"Link 5"),"")</f>
        <v>Link 5</v>
      </c>
      <c r="AD8" s="43" t="str">
        <f>IF(CCUS_Projects_Database!$W8&lt;&gt;"",HYPERLINK(CCUS_Projects_Database!$W8,"Link 6"),"")</f>
        <v>Link 6</v>
      </c>
      <c r="AE8" s="43" t="str">
        <f>IF(CCUS_Projects_Database!$X8&lt;&gt;"",HYPERLINK(CCUS_Projects_Database!$X8,"Link 7"),"")</f>
        <v/>
      </c>
    </row>
    <row r="9">
      <c r="A9" s="44" t="s">
        <v>166</v>
      </c>
      <c r="B9" s="45">
        <v>8.0</v>
      </c>
      <c r="C9" s="45" t="s">
        <v>157</v>
      </c>
      <c r="D9" s="46" t="s">
        <v>158</v>
      </c>
      <c r="E9" s="45" t="s">
        <v>14</v>
      </c>
      <c r="F9" s="45">
        <v>2016.0</v>
      </c>
      <c r="G9" s="45">
        <v>2024.0</v>
      </c>
      <c r="H9" s="45">
        <v>2028.0</v>
      </c>
      <c r="I9" s="45" t="s">
        <v>124</v>
      </c>
      <c r="J9" s="45" t="s">
        <v>28</v>
      </c>
      <c r="K9" s="47">
        <v>1.0</v>
      </c>
      <c r="L9" s="52">
        <v>0.55</v>
      </c>
      <c r="M9" s="47">
        <v>0.8</v>
      </c>
      <c r="N9" s="45" t="s">
        <v>14</v>
      </c>
      <c r="O9" s="48" t="s">
        <v>71</v>
      </c>
      <c r="P9" s="49" t="s">
        <v>159</v>
      </c>
      <c r="Q9" s="45" t="s">
        <v>125</v>
      </c>
      <c r="R9" s="49" t="s">
        <v>160</v>
      </c>
      <c r="S9" s="49" t="s">
        <v>161</v>
      </c>
      <c r="T9" s="49" t="s">
        <v>162</v>
      </c>
      <c r="U9" s="49" t="s">
        <v>163</v>
      </c>
      <c r="V9" s="49" t="s">
        <v>164</v>
      </c>
      <c r="W9" s="49" t="s">
        <v>165</v>
      </c>
      <c r="X9" s="49" t="s">
        <v>124</v>
      </c>
      <c r="Y9" s="50" t="str">
        <f>IF(CCUS_Projects_Database!$R9&lt;&gt;"",HYPERLINK(CCUS_Projects_Database!$R9,"Link 1"),"")</f>
        <v>Link 1</v>
      </c>
      <c r="Z9" s="50" t="str">
        <f>IF(CCUS_Projects_Database!$S9&lt;&gt;"",HYPERLINK(CCUS_Projects_Database!$S9,"Link 2"),"")</f>
        <v>Link 2</v>
      </c>
      <c r="AA9" s="50" t="str">
        <f>IF(CCUS_Projects_Database!$T9&lt;&gt;"",HYPERLINK(CCUS_Projects_Database!$T9,"Link 3"),"")</f>
        <v>Link 3</v>
      </c>
      <c r="AB9" s="50" t="str">
        <f>IF(CCUS_Projects_Database!$U9&lt;&gt;"",HYPERLINK(CCUS_Projects_Database!$U9,"Link 4"),"")</f>
        <v>Link 4</v>
      </c>
      <c r="AC9" s="50" t="str">
        <f>IF(CCUS_Projects_Database!$V9&lt;&gt;"",HYPERLINK(CCUS_Projects_Database!$V9,"Link 5"),"")</f>
        <v>Link 5</v>
      </c>
      <c r="AD9" s="50" t="str">
        <f>IF(CCUS_Projects_Database!$W9&lt;&gt;"",HYPERLINK(CCUS_Projects_Database!$W9,"Link 6"),"")</f>
        <v>Link 6</v>
      </c>
      <c r="AE9" s="50" t="str">
        <f>IF(CCUS_Projects_Database!$X9&lt;&gt;"",HYPERLINK(CCUS_Projects_Database!$X9,"Link 7"),"")</f>
        <v/>
      </c>
    </row>
    <row r="10">
      <c r="A10" s="37" t="s">
        <v>167</v>
      </c>
      <c r="B10" s="38">
        <v>9.0</v>
      </c>
      <c r="C10" s="38" t="s">
        <v>157</v>
      </c>
      <c r="D10" s="39" t="s">
        <v>158</v>
      </c>
      <c r="E10" s="38" t="s">
        <v>14</v>
      </c>
      <c r="F10" s="38">
        <v>2017.0</v>
      </c>
      <c r="G10" s="38" t="s">
        <v>124</v>
      </c>
      <c r="H10" s="38" t="s">
        <v>124</v>
      </c>
      <c r="I10" s="38" t="s">
        <v>124</v>
      </c>
      <c r="J10" s="38" t="s">
        <v>28</v>
      </c>
      <c r="K10" s="40">
        <v>2.0</v>
      </c>
      <c r="L10" s="51">
        <v>5.0</v>
      </c>
      <c r="M10" s="40">
        <v>5.0</v>
      </c>
      <c r="N10" s="38" t="s">
        <v>14</v>
      </c>
      <c r="O10" s="41" t="s">
        <v>71</v>
      </c>
      <c r="P10" s="42" t="s">
        <v>159</v>
      </c>
      <c r="Q10" s="38" t="s">
        <v>125</v>
      </c>
      <c r="R10" s="42" t="s">
        <v>160</v>
      </c>
      <c r="S10" s="42" t="s">
        <v>161</v>
      </c>
      <c r="T10" s="42" t="s">
        <v>162</v>
      </c>
      <c r="U10" s="42" t="s">
        <v>163</v>
      </c>
      <c r="V10" s="42" t="s">
        <v>164</v>
      </c>
      <c r="W10" s="42" t="s">
        <v>165</v>
      </c>
      <c r="X10" s="42" t="s">
        <v>168</v>
      </c>
      <c r="Y10" s="43" t="str">
        <f>IF(CCUS_Projects_Database!$R10&lt;&gt;"",HYPERLINK(CCUS_Projects_Database!$R10,"Link 1"),"")</f>
        <v>Link 1</v>
      </c>
      <c r="Z10" s="43" t="str">
        <f>IF(CCUS_Projects_Database!$S10&lt;&gt;"",HYPERLINK(CCUS_Projects_Database!$S10,"Link 2"),"")</f>
        <v>Link 2</v>
      </c>
      <c r="AA10" s="43" t="str">
        <f>IF(CCUS_Projects_Database!$T10&lt;&gt;"",HYPERLINK(CCUS_Projects_Database!$T10,"Link 3"),"")</f>
        <v>Link 3</v>
      </c>
      <c r="AB10" s="43" t="str">
        <f>IF(CCUS_Projects_Database!$U10&lt;&gt;"",HYPERLINK(CCUS_Projects_Database!$U10,"Link 4"),"")</f>
        <v>Link 4</v>
      </c>
      <c r="AC10" s="43" t="str">
        <f>IF(CCUS_Projects_Database!$V10&lt;&gt;"",HYPERLINK(CCUS_Projects_Database!$V10,"Link 5"),"")</f>
        <v>Link 5</v>
      </c>
      <c r="AD10" s="43" t="str">
        <f>IF(CCUS_Projects_Database!$W10&lt;&gt;"",HYPERLINK(CCUS_Projects_Database!$W10,"Link 6"),"")</f>
        <v>Link 6</v>
      </c>
      <c r="AE10" s="43" t="str">
        <f>IF(CCUS_Projects_Database!$X10&lt;&gt;"",HYPERLINK(CCUS_Projects_Database!$X10,"Link 7"),"")</f>
        <v>Link 7</v>
      </c>
    </row>
    <row r="11">
      <c r="A11" s="44" t="s">
        <v>169</v>
      </c>
      <c r="B11" s="45">
        <v>10.0</v>
      </c>
      <c r="C11" s="45" t="s">
        <v>157</v>
      </c>
      <c r="D11" s="46" t="s">
        <v>170</v>
      </c>
      <c r="E11" s="45" t="s">
        <v>8</v>
      </c>
      <c r="F11" s="45">
        <v>2018.0</v>
      </c>
      <c r="G11" s="45" t="s">
        <v>124</v>
      </c>
      <c r="H11" s="45">
        <v>2028.0</v>
      </c>
      <c r="I11" s="45" t="s">
        <v>124</v>
      </c>
      <c r="J11" s="45" t="s">
        <v>28</v>
      </c>
      <c r="K11" s="47" t="s">
        <v>124</v>
      </c>
      <c r="L11" s="52">
        <v>0.4</v>
      </c>
      <c r="M11" s="47">
        <v>0.4</v>
      </c>
      <c r="N11" s="45" t="s">
        <v>136</v>
      </c>
      <c r="O11" s="48" t="s">
        <v>71</v>
      </c>
      <c r="P11" s="49" t="s">
        <v>159</v>
      </c>
      <c r="Q11" s="45" t="s">
        <v>125</v>
      </c>
      <c r="R11" s="49" t="s">
        <v>171</v>
      </c>
      <c r="S11" s="49" t="s">
        <v>124</v>
      </c>
      <c r="T11" s="49" t="s">
        <v>124</v>
      </c>
      <c r="U11" s="49" t="s">
        <v>124</v>
      </c>
      <c r="V11" s="49" t="s">
        <v>124</v>
      </c>
      <c r="W11" s="49" t="s">
        <v>124</v>
      </c>
      <c r="X11" s="49" t="s">
        <v>124</v>
      </c>
      <c r="Y11" s="50" t="str">
        <f>IF(CCUS_Projects_Database!$R11&lt;&gt;"",HYPERLINK(CCUS_Projects_Database!$R11,"Link 1"),"")</f>
        <v>Link 1</v>
      </c>
      <c r="Z11" s="50" t="str">
        <f>IF(CCUS_Projects_Database!$S11&lt;&gt;"",HYPERLINK(CCUS_Projects_Database!$S11,"Link 2"),"")</f>
        <v/>
      </c>
      <c r="AA11" s="50" t="str">
        <f>IF(CCUS_Projects_Database!$T11&lt;&gt;"",HYPERLINK(CCUS_Projects_Database!$T11,"Link 3"),"")</f>
        <v/>
      </c>
      <c r="AB11" s="50" t="str">
        <f>IF(CCUS_Projects_Database!$U11&lt;&gt;"",HYPERLINK(CCUS_Projects_Database!$U11,"Link 4"),"")</f>
        <v/>
      </c>
      <c r="AC11" s="50" t="str">
        <f>IF(CCUS_Projects_Database!$V11&lt;&gt;"",HYPERLINK(CCUS_Projects_Database!$V11,"Link 5"),"")</f>
        <v/>
      </c>
      <c r="AD11" s="50" t="str">
        <f>IF(CCUS_Projects_Database!$W11&lt;&gt;"",HYPERLINK(CCUS_Projects_Database!$W11,"Link 6"),"")</f>
        <v/>
      </c>
      <c r="AE11" s="50" t="str">
        <f>IF(CCUS_Projects_Database!$X11&lt;&gt;"",HYPERLINK(CCUS_Projects_Database!$X11,"Link 7"),"")</f>
        <v/>
      </c>
    </row>
    <row r="12">
      <c r="A12" s="37" t="s">
        <v>172</v>
      </c>
      <c r="B12" s="38">
        <v>1018.0</v>
      </c>
      <c r="C12" s="38" t="s">
        <v>157</v>
      </c>
      <c r="D12" s="39" t="s">
        <v>173</v>
      </c>
      <c r="E12" s="38" t="s">
        <v>10</v>
      </c>
      <c r="F12" s="38">
        <v>2023.0</v>
      </c>
      <c r="G12" s="38" t="s">
        <v>124</v>
      </c>
      <c r="H12" s="38" t="s">
        <v>124</v>
      </c>
      <c r="I12" s="38" t="s">
        <v>124</v>
      </c>
      <c r="J12" s="38" t="s">
        <v>28</v>
      </c>
      <c r="K12" s="40" t="s">
        <v>124</v>
      </c>
      <c r="L12" s="51">
        <v>2.0</v>
      </c>
      <c r="M12" s="40">
        <v>2.0</v>
      </c>
      <c r="N12" s="38" t="s">
        <v>10</v>
      </c>
      <c r="O12" s="41" t="s">
        <v>71</v>
      </c>
      <c r="P12" s="42" t="s">
        <v>159</v>
      </c>
      <c r="Q12" s="38" t="s">
        <v>125</v>
      </c>
      <c r="R12" s="42" t="s">
        <v>174</v>
      </c>
      <c r="S12" s="42" t="s">
        <v>124</v>
      </c>
      <c r="T12" s="42" t="s">
        <v>124</v>
      </c>
      <c r="U12" s="42" t="s">
        <v>124</v>
      </c>
      <c r="V12" s="42" t="s">
        <v>124</v>
      </c>
      <c r="W12" s="42" t="s">
        <v>124</v>
      </c>
      <c r="X12" s="42" t="s">
        <v>124</v>
      </c>
      <c r="Y12" s="43" t="str">
        <f>IF(CCUS_Projects_Database!$R12&lt;&gt;"",HYPERLINK(CCUS_Projects_Database!$R12,"Link 1"),"")</f>
        <v>Link 1</v>
      </c>
      <c r="Z12" s="43" t="str">
        <f>IF(CCUS_Projects_Database!$S12&lt;&gt;"",HYPERLINK(CCUS_Projects_Database!$S12,"Link 2"),"")</f>
        <v/>
      </c>
      <c r="AA12" s="43" t="str">
        <f>IF(CCUS_Projects_Database!$T12&lt;&gt;"",HYPERLINK(CCUS_Projects_Database!$T12,"Link 3"),"")</f>
        <v/>
      </c>
      <c r="AB12" s="43" t="str">
        <f>IF(CCUS_Projects_Database!$U12&lt;&gt;"",HYPERLINK(CCUS_Projects_Database!$U12,"Link 4"),"")</f>
        <v/>
      </c>
      <c r="AC12" s="43" t="str">
        <f>IF(CCUS_Projects_Database!$V12&lt;&gt;"",HYPERLINK(CCUS_Projects_Database!$V12,"Link 5"),"")</f>
        <v/>
      </c>
      <c r="AD12" s="43" t="str">
        <f>IF(CCUS_Projects_Database!$W12&lt;&gt;"",HYPERLINK(CCUS_Projects_Database!$W12,"Link 6"),"")</f>
        <v/>
      </c>
      <c r="AE12" s="43" t="str">
        <f>IF(CCUS_Projects_Database!$X12&lt;&gt;"",HYPERLINK(CCUS_Projects_Database!$X12,"Link 7"),"")</f>
        <v/>
      </c>
    </row>
    <row r="13">
      <c r="A13" s="44" t="s">
        <v>175</v>
      </c>
      <c r="B13" s="45">
        <v>1033.0</v>
      </c>
      <c r="C13" s="45" t="s">
        <v>141</v>
      </c>
      <c r="D13" s="46" t="s">
        <v>176</v>
      </c>
      <c r="E13" s="45" t="s">
        <v>8</v>
      </c>
      <c r="F13" s="45">
        <v>2022.0</v>
      </c>
      <c r="G13" s="45">
        <v>2024.0</v>
      </c>
      <c r="H13" s="45" t="s">
        <v>124</v>
      </c>
      <c r="I13" s="45" t="s">
        <v>124</v>
      </c>
      <c r="J13" s="45" t="s">
        <v>28</v>
      </c>
      <c r="K13" s="47" t="s">
        <v>124</v>
      </c>
      <c r="L13" s="47"/>
      <c r="M13" s="47">
        <v>3.591</v>
      </c>
      <c r="N13" s="45" t="s">
        <v>136</v>
      </c>
      <c r="O13" s="48" t="s">
        <v>77</v>
      </c>
      <c r="P13" s="49" t="s">
        <v>124</v>
      </c>
      <c r="Q13" s="45" t="s">
        <v>143</v>
      </c>
      <c r="R13" s="49" t="s">
        <v>177</v>
      </c>
      <c r="S13" s="49" t="s">
        <v>178</v>
      </c>
      <c r="T13" s="49" t="s">
        <v>179</v>
      </c>
      <c r="U13" s="49" t="s">
        <v>124</v>
      </c>
      <c r="V13" s="49" t="s">
        <v>124</v>
      </c>
      <c r="W13" s="49" t="s">
        <v>124</v>
      </c>
      <c r="X13" s="49" t="s">
        <v>124</v>
      </c>
      <c r="Y13" s="50" t="str">
        <f>IF(CCUS_Projects_Database!$R13&lt;&gt;"",HYPERLINK(CCUS_Projects_Database!$R13,"Link 1"),"")</f>
        <v>Link 1</v>
      </c>
      <c r="Z13" s="50" t="str">
        <f>IF(CCUS_Projects_Database!$S13&lt;&gt;"",HYPERLINK(CCUS_Projects_Database!$S13,"Link 2"),"")</f>
        <v>Link 2</v>
      </c>
      <c r="AA13" s="50" t="str">
        <f>IF(CCUS_Projects_Database!$T13&lt;&gt;"",HYPERLINK(CCUS_Projects_Database!$T13,"Link 3"),"")</f>
        <v>Link 3</v>
      </c>
      <c r="AB13" s="50" t="str">
        <f>IF(CCUS_Projects_Database!$U13&lt;&gt;"",HYPERLINK(CCUS_Projects_Database!$U13,"Link 4"),"")</f>
        <v/>
      </c>
      <c r="AC13" s="50" t="str">
        <f>IF(CCUS_Projects_Database!$V13&lt;&gt;"",HYPERLINK(CCUS_Projects_Database!$V13,"Link 5"),"")</f>
        <v/>
      </c>
      <c r="AD13" s="50" t="str">
        <f>IF(CCUS_Projects_Database!$W13&lt;&gt;"",HYPERLINK(CCUS_Projects_Database!$W13,"Link 6"),"")</f>
        <v/>
      </c>
      <c r="AE13" s="50" t="str">
        <f>IF(CCUS_Projects_Database!$X13&lt;&gt;"",HYPERLINK(CCUS_Projects_Database!$X13,"Link 7"),"")</f>
        <v/>
      </c>
    </row>
    <row r="14">
      <c r="A14" s="37" t="s">
        <v>180</v>
      </c>
      <c r="B14" s="38">
        <v>11.0</v>
      </c>
      <c r="C14" s="38" t="s">
        <v>181</v>
      </c>
      <c r="D14" s="39" t="s">
        <v>182</v>
      </c>
      <c r="E14" s="38" t="s">
        <v>8</v>
      </c>
      <c r="F14" s="38">
        <v>2021.0</v>
      </c>
      <c r="G14" s="38" t="s">
        <v>124</v>
      </c>
      <c r="H14" s="38" t="s">
        <v>124</v>
      </c>
      <c r="I14" s="38" t="s">
        <v>124</v>
      </c>
      <c r="J14" s="38" t="s">
        <v>28</v>
      </c>
      <c r="K14" s="40" t="s">
        <v>124</v>
      </c>
      <c r="L14" s="40"/>
      <c r="M14" s="40" t="s">
        <v>124</v>
      </c>
      <c r="N14" s="38" t="s">
        <v>56</v>
      </c>
      <c r="O14" s="41" t="s">
        <v>71</v>
      </c>
      <c r="P14" s="42" t="s">
        <v>183</v>
      </c>
      <c r="Q14" s="38" t="s">
        <v>184</v>
      </c>
      <c r="R14" s="42" t="s">
        <v>185</v>
      </c>
      <c r="S14" s="42" t="s">
        <v>124</v>
      </c>
      <c r="T14" s="42" t="s">
        <v>124</v>
      </c>
      <c r="U14" s="42" t="s">
        <v>124</v>
      </c>
      <c r="V14" s="42" t="s">
        <v>124</v>
      </c>
      <c r="W14" s="42" t="s">
        <v>124</v>
      </c>
      <c r="X14" s="42" t="s">
        <v>124</v>
      </c>
      <c r="Y14" s="43" t="str">
        <f>IF(CCUS_Projects_Database!$R14&lt;&gt;"",HYPERLINK(CCUS_Projects_Database!$R14,"Link 1"),"")</f>
        <v>Link 1</v>
      </c>
      <c r="Z14" s="43" t="str">
        <f>IF(CCUS_Projects_Database!$S14&lt;&gt;"",HYPERLINK(CCUS_Projects_Database!$S14,"Link 2"),"")</f>
        <v/>
      </c>
      <c r="AA14" s="43" t="str">
        <f>IF(CCUS_Projects_Database!$T14&lt;&gt;"",HYPERLINK(CCUS_Projects_Database!$T14,"Link 3"),"")</f>
        <v/>
      </c>
      <c r="AB14" s="43" t="str">
        <f>IF(CCUS_Projects_Database!$U14&lt;&gt;"",HYPERLINK(CCUS_Projects_Database!$U14,"Link 4"),"")</f>
        <v/>
      </c>
      <c r="AC14" s="43" t="str">
        <f>IF(CCUS_Projects_Database!$V14&lt;&gt;"",HYPERLINK(CCUS_Projects_Database!$V14,"Link 5"),"")</f>
        <v/>
      </c>
      <c r="AD14" s="43" t="str">
        <f>IF(CCUS_Projects_Database!$W14&lt;&gt;"",HYPERLINK(CCUS_Projects_Database!$W14,"Link 6"),"")</f>
        <v/>
      </c>
      <c r="AE14" s="43" t="str">
        <f>IF(CCUS_Projects_Database!$X14&lt;&gt;"",HYPERLINK(CCUS_Projects_Database!$X14,"Link 7"),"")</f>
        <v/>
      </c>
    </row>
    <row r="15">
      <c r="A15" s="44" t="s">
        <v>186</v>
      </c>
      <c r="B15" s="45">
        <v>13.0</v>
      </c>
      <c r="C15" s="45" t="s">
        <v>141</v>
      </c>
      <c r="D15" s="46" t="s">
        <v>187</v>
      </c>
      <c r="E15" s="45" t="s">
        <v>8</v>
      </c>
      <c r="F15" s="45">
        <v>2022.0</v>
      </c>
      <c r="G15" s="45" t="s">
        <v>124</v>
      </c>
      <c r="H15" s="45"/>
      <c r="I15" s="45" t="s">
        <v>124</v>
      </c>
      <c r="J15" s="45" t="s">
        <v>28</v>
      </c>
      <c r="K15" s="47" t="s">
        <v>124</v>
      </c>
      <c r="L15" s="47"/>
      <c r="M15" s="47" t="s">
        <v>124</v>
      </c>
      <c r="N15" s="45" t="s">
        <v>50</v>
      </c>
      <c r="O15" s="48" t="s">
        <v>71</v>
      </c>
      <c r="P15" s="49" t="s">
        <v>188</v>
      </c>
      <c r="Q15" s="45" t="s">
        <v>143</v>
      </c>
      <c r="R15" s="49" t="s">
        <v>189</v>
      </c>
      <c r="S15" s="49" t="s">
        <v>124</v>
      </c>
      <c r="T15" s="49" t="s">
        <v>124</v>
      </c>
      <c r="U15" s="49" t="s">
        <v>124</v>
      </c>
      <c r="V15" s="49" t="s">
        <v>124</v>
      </c>
      <c r="W15" s="49" t="s">
        <v>124</v>
      </c>
      <c r="X15" s="49" t="s">
        <v>124</v>
      </c>
      <c r="Y15" s="50" t="str">
        <f>IF(CCUS_Projects_Database!$R15&lt;&gt;"",HYPERLINK(CCUS_Projects_Database!$R15,"Link 1"),"")</f>
        <v>Link 1</v>
      </c>
      <c r="Z15" s="50" t="str">
        <f>IF(CCUS_Projects_Database!$S15&lt;&gt;"",HYPERLINK(CCUS_Projects_Database!$S15,"Link 2"),"")</f>
        <v/>
      </c>
      <c r="AA15" s="50" t="str">
        <f>IF(CCUS_Projects_Database!$T15&lt;&gt;"",HYPERLINK(CCUS_Projects_Database!$T15,"Link 3"),"")</f>
        <v/>
      </c>
      <c r="AB15" s="50" t="str">
        <f>IF(CCUS_Projects_Database!$U15&lt;&gt;"",HYPERLINK(CCUS_Projects_Database!$U15,"Link 4"),"")</f>
        <v/>
      </c>
      <c r="AC15" s="50" t="str">
        <f>IF(CCUS_Projects_Database!$V15&lt;&gt;"",HYPERLINK(CCUS_Projects_Database!$V15,"Link 5"),"")</f>
        <v/>
      </c>
      <c r="AD15" s="50" t="str">
        <f>IF(CCUS_Projects_Database!$W15&lt;&gt;"",HYPERLINK(CCUS_Projects_Database!$W15,"Link 6"),"")</f>
        <v/>
      </c>
      <c r="AE15" s="50" t="str">
        <f>IF(CCUS_Projects_Database!$X15&lt;&gt;"",HYPERLINK(CCUS_Projects_Database!$X15,"Link 7"),"")</f>
        <v/>
      </c>
    </row>
    <row r="16">
      <c r="A16" s="37" t="s">
        <v>190</v>
      </c>
      <c r="B16" s="38">
        <v>14.0</v>
      </c>
      <c r="C16" s="38" t="s">
        <v>141</v>
      </c>
      <c r="D16" s="39" t="s">
        <v>187</v>
      </c>
      <c r="E16" s="38" t="s">
        <v>8</v>
      </c>
      <c r="F16" s="38">
        <v>2022.0</v>
      </c>
      <c r="G16" s="38" t="s">
        <v>124</v>
      </c>
      <c r="H16" s="38"/>
      <c r="I16" s="38" t="s">
        <v>124</v>
      </c>
      <c r="J16" s="38" t="s">
        <v>28</v>
      </c>
      <c r="K16" s="40" t="s">
        <v>124</v>
      </c>
      <c r="L16" s="40"/>
      <c r="M16" s="40" t="s">
        <v>124</v>
      </c>
      <c r="N16" s="38" t="s">
        <v>50</v>
      </c>
      <c r="O16" s="41" t="s">
        <v>71</v>
      </c>
      <c r="P16" s="42" t="s">
        <v>188</v>
      </c>
      <c r="Q16" s="38" t="s">
        <v>143</v>
      </c>
      <c r="R16" s="42" t="s">
        <v>189</v>
      </c>
      <c r="S16" s="42" t="s">
        <v>124</v>
      </c>
      <c r="T16" s="42" t="s">
        <v>124</v>
      </c>
      <c r="U16" s="42" t="s">
        <v>124</v>
      </c>
      <c r="V16" s="42" t="s">
        <v>124</v>
      </c>
      <c r="W16" s="42" t="s">
        <v>124</v>
      </c>
      <c r="X16" s="42" t="s">
        <v>124</v>
      </c>
      <c r="Y16" s="43" t="str">
        <f>IF(CCUS_Projects_Database!$R16&lt;&gt;"",HYPERLINK(CCUS_Projects_Database!$R16,"Link 1"),"")</f>
        <v>Link 1</v>
      </c>
      <c r="Z16" s="43" t="str">
        <f>IF(CCUS_Projects_Database!$S16&lt;&gt;"",HYPERLINK(CCUS_Projects_Database!$S16,"Link 2"),"")</f>
        <v/>
      </c>
      <c r="AA16" s="43" t="str">
        <f>IF(CCUS_Projects_Database!$T16&lt;&gt;"",HYPERLINK(CCUS_Projects_Database!$T16,"Link 3"),"")</f>
        <v/>
      </c>
      <c r="AB16" s="43" t="str">
        <f>IF(CCUS_Projects_Database!$U16&lt;&gt;"",HYPERLINK(CCUS_Projects_Database!$U16,"Link 4"),"")</f>
        <v/>
      </c>
      <c r="AC16" s="43" t="str">
        <f>IF(CCUS_Projects_Database!$V16&lt;&gt;"",HYPERLINK(CCUS_Projects_Database!$V16,"Link 5"),"")</f>
        <v/>
      </c>
      <c r="AD16" s="43" t="str">
        <f>IF(CCUS_Projects_Database!$W16&lt;&gt;"",HYPERLINK(CCUS_Projects_Database!$W16,"Link 6"),"")</f>
        <v/>
      </c>
      <c r="AE16" s="43" t="str">
        <f>IF(CCUS_Projects_Database!$X16&lt;&gt;"",HYPERLINK(CCUS_Projects_Database!$X16,"Link 7"),"")</f>
        <v/>
      </c>
    </row>
    <row r="17">
      <c r="A17" s="44" t="s">
        <v>191</v>
      </c>
      <c r="B17" s="45">
        <v>816.0</v>
      </c>
      <c r="C17" s="45" t="s">
        <v>141</v>
      </c>
      <c r="D17" s="46" t="s">
        <v>187</v>
      </c>
      <c r="E17" s="45" t="s">
        <v>14</v>
      </c>
      <c r="F17" s="45">
        <v>2022.0</v>
      </c>
      <c r="G17" s="45" t="s">
        <v>124</v>
      </c>
      <c r="H17" s="45">
        <v>2028.0</v>
      </c>
      <c r="I17" s="45" t="s">
        <v>124</v>
      </c>
      <c r="J17" s="45" t="s">
        <v>28</v>
      </c>
      <c r="K17" s="47">
        <v>2.0</v>
      </c>
      <c r="L17" s="52">
        <v>2.95</v>
      </c>
      <c r="M17" s="47">
        <v>2.95</v>
      </c>
      <c r="N17" s="45" t="s">
        <v>14</v>
      </c>
      <c r="O17" s="48" t="s">
        <v>71</v>
      </c>
      <c r="P17" s="49" t="s">
        <v>191</v>
      </c>
      <c r="Q17" s="45" t="s">
        <v>143</v>
      </c>
      <c r="R17" s="49" t="s">
        <v>124</v>
      </c>
      <c r="S17" s="49" t="s">
        <v>124</v>
      </c>
      <c r="T17" s="49" t="s">
        <v>124</v>
      </c>
      <c r="U17" s="49" t="s">
        <v>124</v>
      </c>
      <c r="V17" s="49" t="s">
        <v>124</v>
      </c>
      <c r="W17" s="49" t="s">
        <v>124</v>
      </c>
      <c r="X17" s="49" t="s">
        <v>124</v>
      </c>
      <c r="Y17" s="50" t="str">
        <f>IF(CCUS_Projects_Database!$R17&lt;&gt;"",HYPERLINK(CCUS_Projects_Database!$R17,"Link 1"),"")</f>
        <v/>
      </c>
      <c r="Z17" s="50" t="str">
        <f>IF(CCUS_Projects_Database!$S17&lt;&gt;"",HYPERLINK(CCUS_Projects_Database!$S17,"Link 2"),"")</f>
        <v/>
      </c>
      <c r="AA17" s="50" t="str">
        <f>IF(CCUS_Projects_Database!$T17&lt;&gt;"",HYPERLINK(CCUS_Projects_Database!$T17,"Link 3"),"")</f>
        <v/>
      </c>
      <c r="AB17" s="50" t="str">
        <f>IF(CCUS_Projects_Database!$U17&lt;&gt;"",HYPERLINK(CCUS_Projects_Database!$U17,"Link 4"),"")</f>
        <v/>
      </c>
      <c r="AC17" s="50" t="str">
        <f>IF(CCUS_Projects_Database!$V17&lt;&gt;"",HYPERLINK(CCUS_Projects_Database!$V17,"Link 5"),"")</f>
        <v/>
      </c>
      <c r="AD17" s="50" t="str">
        <f>IF(CCUS_Projects_Database!$W17&lt;&gt;"",HYPERLINK(CCUS_Projects_Database!$W17,"Link 6"),"")</f>
        <v/>
      </c>
      <c r="AE17" s="50" t="str">
        <f>IF(CCUS_Projects_Database!$X17&lt;&gt;"",HYPERLINK(CCUS_Projects_Database!$X17,"Link 7"),"")</f>
        <v/>
      </c>
    </row>
    <row r="18">
      <c r="A18" s="37" t="s">
        <v>192</v>
      </c>
      <c r="B18" s="38">
        <v>869.0</v>
      </c>
      <c r="C18" s="38" t="s">
        <v>141</v>
      </c>
      <c r="D18" s="39" t="s">
        <v>187</v>
      </c>
      <c r="E18" s="38" t="s">
        <v>12</v>
      </c>
      <c r="F18" s="38">
        <v>2023.0</v>
      </c>
      <c r="G18" s="38" t="s">
        <v>124</v>
      </c>
      <c r="H18" s="38">
        <v>2028.0</v>
      </c>
      <c r="I18" s="38" t="s">
        <v>124</v>
      </c>
      <c r="J18" s="38" t="s">
        <v>28</v>
      </c>
      <c r="K18" s="40" t="s">
        <v>124</v>
      </c>
      <c r="L18" s="51">
        <v>3.3</v>
      </c>
      <c r="M18" s="40">
        <v>3.3</v>
      </c>
      <c r="N18" s="38" t="s">
        <v>12</v>
      </c>
      <c r="O18" s="41" t="s">
        <v>77</v>
      </c>
      <c r="P18" s="42" t="s">
        <v>193</v>
      </c>
      <c r="Q18" s="38" t="s">
        <v>143</v>
      </c>
      <c r="R18" s="42" t="s">
        <v>194</v>
      </c>
      <c r="S18" s="42" t="s">
        <v>124</v>
      </c>
      <c r="T18" s="42" t="s">
        <v>124</v>
      </c>
      <c r="U18" s="42" t="s">
        <v>124</v>
      </c>
      <c r="V18" s="42" t="s">
        <v>124</v>
      </c>
      <c r="W18" s="42" t="s">
        <v>124</v>
      </c>
      <c r="X18" s="42" t="s">
        <v>124</v>
      </c>
      <c r="Y18" s="43" t="str">
        <f>IF(CCUS_Projects_Database!$R18&lt;&gt;"",HYPERLINK(CCUS_Projects_Database!$R18,"Link 1"),"")</f>
        <v>Link 1</v>
      </c>
      <c r="Z18" s="43" t="str">
        <f>IF(CCUS_Projects_Database!$S18&lt;&gt;"",HYPERLINK(CCUS_Projects_Database!$S18,"Link 2"),"")</f>
        <v/>
      </c>
      <c r="AA18" s="43" t="str">
        <f>IF(CCUS_Projects_Database!$T18&lt;&gt;"",HYPERLINK(CCUS_Projects_Database!$T18,"Link 3"),"")</f>
        <v/>
      </c>
      <c r="AB18" s="43" t="str">
        <f>IF(CCUS_Projects_Database!$U18&lt;&gt;"",HYPERLINK(CCUS_Projects_Database!$U18,"Link 4"),"")</f>
        <v/>
      </c>
      <c r="AC18" s="43" t="str">
        <f>IF(CCUS_Projects_Database!$V18&lt;&gt;"",HYPERLINK(CCUS_Projects_Database!$V18,"Link 5"),"")</f>
        <v/>
      </c>
      <c r="AD18" s="43" t="str">
        <f>IF(CCUS_Projects_Database!$W18&lt;&gt;"",HYPERLINK(CCUS_Projects_Database!$W18,"Link 6"),"")</f>
        <v/>
      </c>
      <c r="AE18" s="43" t="str">
        <f>IF(CCUS_Projects_Database!$X18&lt;&gt;"",HYPERLINK(CCUS_Projects_Database!$X18,"Link 7"),"")</f>
        <v/>
      </c>
    </row>
    <row r="19">
      <c r="A19" s="44" t="s">
        <v>195</v>
      </c>
      <c r="B19" s="45">
        <v>928.0</v>
      </c>
      <c r="C19" s="45" t="s">
        <v>196</v>
      </c>
      <c r="D19" s="46" t="s">
        <v>197</v>
      </c>
      <c r="E19" s="45" t="s">
        <v>12</v>
      </c>
      <c r="F19" s="45">
        <v>2023.0</v>
      </c>
      <c r="G19" s="45" t="s">
        <v>124</v>
      </c>
      <c r="H19" s="45">
        <v>2030.0</v>
      </c>
      <c r="I19" s="45" t="s">
        <v>124</v>
      </c>
      <c r="J19" s="45" t="s">
        <v>28</v>
      </c>
      <c r="K19" s="47">
        <v>2.0</v>
      </c>
      <c r="L19" s="52">
        <v>5.0</v>
      </c>
      <c r="M19" s="47">
        <v>5.0</v>
      </c>
      <c r="N19" s="45" t="s">
        <v>12</v>
      </c>
      <c r="O19" s="48" t="s">
        <v>71</v>
      </c>
      <c r="P19" s="49" t="s">
        <v>198</v>
      </c>
      <c r="Q19" s="45" t="s">
        <v>137</v>
      </c>
      <c r="R19" s="49" t="s">
        <v>199</v>
      </c>
      <c r="S19" s="49" t="s">
        <v>124</v>
      </c>
      <c r="T19" s="49" t="s">
        <v>124</v>
      </c>
      <c r="U19" s="49" t="s">
        <v>124</v>
      </c>
      <c r="V19" s="49" t="s">
        <v>124</v>
      </c>
      <c r="W19" s="49" t="s">
        <v>124</v>
      </c>
      <c r="X19" s="49" t="s">
        <v>124</v>
      </c>
      <c r="Y19" s="50" t="str">
        <f>IF(CCUS_Projects_Database!$R19&lt;&gt;"",HYPERLINK(CCUS_Projects_Database!$R19,"Link 1"),"")</f>
        <v>Link 1</v>
      </c>
      <c r="Z19" s="50" t="str">
        <f>IF(CCUS_Projects_Database!$S19&lt;&gt;"",HYPERLINK(CCUS_Projects_Database!$S19,"Link 2"),"")</f>
        <v/>
      </c>
      <c r="AA19" s="50" t="str">
        <f>IF(CCUS_Projects_Database!$T19&lt;&gt;"",HYPERLINK(CCUS_Projects_Database!$T19,"Link 3"),"")</f>
        <v/>
      </c>
      <c r="AB19" s="50" t="str">
        <f>IF(CCUS_Projects_Database!$U19&lt;&gt;"",HYPERLINK(CCUS_Projects_Database!$U19,"Link 4"),"")</f>
        <v/>
      </c>
      <c r="AC19" s="50" t="str">
        <f>IF(CCUS_Projects_Database!$V19&lt;&gt;"",HYPERLINK(CCUS_Projects_Database!$V19,"Link 5"),"")</f>
        <v/>
      </c>
      <c r="AD19" s="50" t="str">
        <f>IF(CCUS_Projects_Database!$W19&lt;&gt;"",HYPERLINK(CCUS_Projects_Database!$W19,"Link 6"),"")</f>
        <v/>
      </c>
      <c r="AE19" s="50" t="str">
        <f>IF(CCUS_Projects_Database!$X19&lt;&gt;"",HYPERLINK(CCUS_Projects_Database!$X19,"Link 7"),"")</f>
        <v/>
      </c>
    </row>
    <row r="20">
      <c r="A20" s="37" t="s">
        <v>200</v>
      </c>
      <c r="B20" s="38">
        <v>695.0</v>
      </c>
      <c r="C20" s="38" t="s">
        <v>141</v>
      </c>
      <c r="D20" s="39" t="s">
        <v>201</v>
      </c>
      <c r="E20" s="38" t="s">
        <v>8</v>
      </c>
      <c r="F20" s="38">
        <v>2021.0</v>
      </c>
      <c r="G20" s="38" t="s">
        <v>124</v>
      </c>
      <c r="H20" s="38" t="s">
        <v>124</v>
      </c>
      <c r="I20" s="38" t="s">
        <v>124</v>
      </c>
      <c r="J20" s="38" t="s">
        <v>28</v>
      </c>
      <c r="K20" s="40" t="s">
        <v>124</v>
      </c>
      <c r="L20" s="51">
        <v>0.19</v>
      </c>
      <c r="M20" s="40">
        <v>0.19</v>
      </c>
      <c r="N20" s="38" t="s">
        <v>54</v>
      </c>
      <c r="O20" s="41" t="s">
        <v>77</v>
      </c>
      <c r="P20" s="42" t="s">
        <v>124</v>
      </c>
      <c r="Q20" s="38" t="s">
        <v>143</v>
      </c>
      <c r="R20" s="42" t="s">
        <v>202</v>
      </c>
      <c r="S20" s="42" t="s">
        <v>124</v>
      </c>
      <c r="T20" s="42" t="s">
        <v>124</v>
      </c>
      <c r="U20" s="42" t="s">
        <v>124</v>
      </c>
      <c r="V20" s="42" t="s">
        <v>124</v>
      </c>
      <c r="W20" s="42" t="s">
        <v>124</v>
      </c>
      <c r="X20" s="42" t="s">
        <v>124</v>
      </c>
      <c r="Y20" s="43" t="str">
        <f>IF(CCUS_Projects_Database!$R20&lt;&gt;"",HYPERLINK(CCUS_Projects_Database!$R20,"Link 1"),"")</f>
        <v>Link 1</v>
      </c>
      <c r="Z20" s="43" t="str">
        <f>IF(CCUS_Projects_Database!$S20&lt;&gt;"",HYPERLINK(CCUS_Projects_Database!$S20,"Link 2"),"")</f>
        <v/>
      </c>
      <c r="AA20" s="43" t="str">
        <f>IF(CCUS_Projects_Database!$T20&lt;&gt;"",HYPERLINK(CCUS_Projects_Database!$T20,"Link 3"),"")</f>
        <v/>
      </c>
      <c r="AB20" s="43" t="str">
        <f>IF(CCUS_Projects_Database!$U20&lt;&gt;"",HYPERLINK(CCUS_Projects_Database!$U20,"Link 4"),"")</f>
        <v/>
      </c>
      <c r="AC20" s="43" t="str">
        <f>IF(CCUS_Projects_Database!$V20&lt;&gt;"",HYPERLINK(CCUS_Projects_Database!$V20,"Link 5"),"")</f>
        <v/>
      </c>
      <c r="AD20" s="43" t="str">
        <f>IF(CCUS_Projects_Database!$W20&lt;&gt;"",HYPERLINK(CCUS_Projects_Database!$W20,"Link 6"),"")</f>
        <v/>
      </c>
      <c r="AE20" s="43" t="str">
        <f>IF(CCUS_Projects_Database!$X20&lt;&gt;"",HYPERLINK(CCUS_Projects_Database!$X20,"Link 7"),"")</f>
        <v/>
      </c>
    </row>
    <row r="21" ht="15.75" customHeight="1">
      <c r="A21" s="44" t="s">
        <v>203</v>
      </c>
      <c r="B21" s="45">
        <v>1144.0</v>
      </c>
      <c r="C21" s="45" t="s">
        <v>204</v>
      </c>
      <c r="D21" s="46" t="s">
        <v>203</v>
      </c>
      <c r="E21" s="45" t="s">
        <v>16</v>
      </c>
      <c r="F21" s="45">
        <v>2021.0</v>
      </c>
      <c r="G21" s="45" t="s">
        <v>124</v>
      </c>
      <c r="H21" s="45">
        <v>2028.0</v>
      </c>
      <c r="I21" s="45" t="s">
        <v>124</v>
      </c>
      <c r="J21" s="45" t="s">
        <v>28</v>
      </c>
      <c r="K21" s="47" t="s">
        <v>124</v>
      </c>
      <c r="L21" s="52">
        <v>0.44</v>
      </c>
      <c r="M21" s="47">
        <v>0.44</v>
      </c>
      <c r="N21" s="45" t="s">
        <v>46</v>
      </c>
      <c r="O21" s="48" t="s">
        <v>75</v>
      </c>
      <c r="P21" s="49" t="s">
        <v>124</v>
      </c>
      <c r="Q21" s="45" t="s">
        <v>125</v>
      </c>
      <c r="R21" s="49" t="s">
        <v>205</v>
      </c>
      <c r="S21" s="49" t="s">
        <v>206</v>
      </c>
      <c r="T21" s="49" t="s">
        <v>124</v>
      </c>
      <c r="U21" s="49" t="s">
        <v>124</v>
      </c>
      <c r="V21" s="49" t="s">
        <v>124</v>
      </c>
      <c r="W21" s="49" t="s">
        <v>124</v>
      </c>
      <c r="X21" s="49" t="s">
        <v>124</v>
      </c>
      <c r="Y21" s="50" t="str">
        <f>IF(CCUS_Projects_Database!$R21&lt;&gt;"",HYPERLINK(CCUS_Projects_Database!$R21,"Link 1"),"")</f>
        <v>Link 1</v>
      </c>
      <c r="Z21" s="50" t="str">
        <f>IF(CCUS_Projects_Database!$S21&lt;&gt;"",HYPERLINK(CCUS_Projects_Database!$S21,"Link 2"),"")</f>
        <v>Link 2</v>
      </c>
      <c r="AA21" s="50" t="str">
        <f>IF(CCUS_Projects_Database!$T21&lt;&gt;"",HYPERLINK(CCUS_Projects_Database!$T21,"Link 3"),"")</f>
        <v/>
      </c>
      <c r="AB21" s="50" t="str">
        <f>IF(CCUS_Projects_Database!$U21&lt;&gt;"",HYPERLINK(CCUS_Projects_Database!$U21,"Link 4"),"")</f>
        <v/>
      </c>
      <c r="AC21" s="50" t="str">
        <f>IF(CCUS_Projects_Database!$V21&lt;&gt;"",HYPERLINK(CCUS_Projects_Database!$V21,"Link 5"),"")</f>
        <v/>
      </c>
      <c r="AD21" s="50" t="str">
        <f>IF(CCUS_Projects_Database!$W21&lt;&gt;"",HYPERLINK(CCUS_Projects_Database!$W21,"Link 6"),"")</f>
        <v/>
      </c>
      <c r="AE21" s="50" t="str">
        <f>IF(CCUS_Projects_Database!$X21&lt;&gt;"",HYPERLINK(CCUS_Projects_Database!$X21,"Link 7"),"")</f>
        <v/>
      </c>
    </row>
    <row r="22" ht="15.75" customHeight="1">
      <c r="A22" s="37" t="s">
        <v>207</v>
      </c>
      <c r="B22" s="38">
        <v>814.0</v>
      </c>
      <c r="C22" s="38" t="s">
        <v>141</v>
      </c>
      <c r="D22" s="39" t="s">
        <v>208</v>
      </c>
      <c r="E22" s="38" t="s">
        <v>12</v>
      </c>
      <c r="F22" s="38">
        <v>2021.0</v>
      </c>
      <c r="G22" s="38" t="s">
        <v>124</v>
      </c>
      <c r="H22" s="38">
        <v>2024.0</v>
      </c>
      <c r="I22" s="38" t="s">
        <v>124</v>
      </c>
      <c r="J22" s="38" t="s">
        <v>28</v>
      </c>
      <c r="K22" s="40" t="s">
        <v>124</v>
      </c>
      <c r="L22" s="51">
        <v>1.7</v>
      </c>
      <c r="M22" s="40">
        <v>1.4</v>
      </c>
      <c r="N22" s="38" t="s">
        <v>12</v>
      </c>
      <c r="O22" s="41" t="s">
        <v>71</v>
      </c>
      <c r="P22" s="42" t="s">
        <v>209</v>
      </c>
      <c r="Q22" s="38" t="s">
        <v>143</v>
      </c>
      <c r="R22" s="42" t="s">
        <v>210</v>
      </c>
      <c r="S22" s="42" t="s">
        <v>211</v>
      </c>
      <c r="T22" s="42" t="s">
        <v>124</v>
      </c>
      <c r="U22" s="42" t="s">
        <v>124</v>
      </c>
      <c r="V22" s="42" t="s">
        <v>124</v>
      </c>
      <c r="W22" s="42" t="s">
        <v>124</v>
      </c>
      <c r="X22" s="42" t="s">
        <v>124</v>
      </c>
      <c r="Y22" s="43" t="str">
        <f>IF(CCUS_Projects_Database!$R22&lt;&gt;"",HYPERLINK(CCUS_Projects_Database!$R22,"Link 1"),"")</f>
        <v>Link 1</v>
      </c>
      <c r="Z22" s="43" t="str">
        <f>IF(CCUS_Projects_Database!$S22&lt;&gt;"",HYPERLINK(CCUS_Projects_Database!$S22,"Link 2"),"")</f>
        <v>Link 2</v>
      </c>
      <c r="AA22" s="43" t="str">
        <f>IF(CCUS_Projects_Database!$T22&lt;&gt;"",HYPERLINK(CCUS_Projects_Database!$T22,"Link 3"),"")</f>
        <v/>
      </c>
      <c r="AB22" s="43" t="str">
        <f>IF(CCUS_Projects_Database!$U22&lt;&gt;"",HYPERLINK(CCUS_Projects_Database!$U22,"Link 4"),"")</f>
        <v/>
      </c>
      <c r="AC22" s="43" t="str">
        <f>IF(CCUS_Projects_Database!$V22&lt;&gt;"",HYPERLINK(CCUS_Projects_Database!$V22,"Link 5"),"")</f>
        <v/>
      </c>
      <c r="AD22" s="43" t="str">
        <f>IF(CCUS_Projects_Database!$W22&lt;&gt;"",HYPERLINK(CCUS_Projects_Database!$W22,"Link 6"),"")</f>
        <v/>
      </c>
      <c r="AE22" s="43" t="str">
        <f>IF(CCUS_Projects_Database!$X22&lt;&gt;"",HYPERLINK(CCUS_Projects_Database!$X22,"Link 7"),"")</f>
        <v/>
      </c>
    </row>
    <row r="23" ht="15.75" customHeight="1">
      <c r="A23" s="44" t="s">
        <v>212</v>
      </c>
      <c r="B23" s="45">
        <v>15.0</v>
      </c>
      <c r="C23" s="45" t="s">
        <v>141</v>
      </c>
      <c r="D23" s="46" t="s">
        <v>213</v>
      </c>
      <c r="E23" s="45" t="s">
        <v>8</v>
      </c>
      <c r="F23" s="45">
        <v>2021.0</v>
      </c>
      <c r="G23" s="45" t="s">
        <v>124</v>
      </c>
      <c r="H23" s="45">
        <v>2024.0</v>
      </c>
      <c r="I23" s="45" t="s">
        <v>124</v>
      </c>
      <c r="J23" s="45" t="s">
        <v>28</v>
      </c>
      <c r="K23" s="47" t="s">
        <v>124</v>
      </c>
      <c r="L23" s="52">
        <v>0.2</v>
      </c>
      <c r="M23" s="47">
        <v>0.2</v>
      </c>
      <c r="N23" s="45" t="s">
        <v>50</v>
      </c>
      <c r="O23" s="48" t="s">
        <v>71</v>
      </c>
      <c r="P23" s="49" t="s">
        <v>209</v>
      </c>
      <c r="Q23" s="45" t="s">
        <v>143</v>
      </c>
      <c r="R23" s="49" t="s">
        <v>214</v>
      </c>
      <c r="S23" s="49" t="s">
        <v>210</v>
      </c>
      <c r="T23" s="49" t="s">
        <v>210</v>
      </c>
      <c r="U23" s="49" t="s">
        <v>211</v>
      </c>
      <c r="V23" s="49" t="s">
        <v>124</v>
      </c>
      <c r="W23" s="49" t="s">
        <v>124</v>
      </c>
      <c r="X23" s="49" t="s">
        <v>124</v>
      </c>
      <c r="Y23" s="50" t="str">
        <f>IF(CCUS_Projects_Database!$R23&lt;&gt;"",HYPERLINK(CCUS_Projects_Database!$R23,"Link 1"),"")</f>
        <v>Link 1</v>
      </c>
      <c r="Z23" s="50" t="str">
        <f>IF(CCUS_Projects_Database!$S23&lt;&gt;"",HYPERLINK(CCUS_Projects_Database!$S23,"Link 2"),"")</f>
        <v>Link 2</v>
      </c>
      <c r="AA23" s="50" t="str">
        <f>IF(CCUS_Projects_Database!$T23&lt;&gt;"",HYPERLINK(CCUS_Projects_Database!$T23,"Link 3"),"")</f>
        <v>Link 3</v>
      </c>
      <c r="AB23" s="50" t="str">
        <f>IF(CCUS_Projects_Database!$U23&lt;&gt;"",HYPERLINK(CCUS_Projects_Database!$U23,"Link 4"),"")</f>
        <v>Link 4</v>
      </c>
      <c r="AC23" s="50" t="str">
        <f>IF(CCUS_Projects_Database!$V23&lt;&gt;"",HYPERLINK(CCUS_Projects_Database!$V23,"Link 5"),"")</f>
        <v/>
      </c>
      <c r="AD23" s="50" t="str">
        <f>IF(CCUS_Projects_Database!$W23&lt;&gt;"",HYPERLINK(CCUS_Projects_Database!$W23,"Link 6"),"")</f>
        <v/>
      </c>
      <c r="AE23" s="50" t="str">
        <f>IF(CCUS_Projects_Database!$X23&lt;&gt;"",HYPERLINK(CCUS_Projects_Database!$X23,"Link 7"),"")</f>
        <v/>
      </c>
    </row>
    <row r="24" ht="15.75" customHeight="1">
      <c r="A24" s="37" t="s">
        <v>215</v>
      </c>
      <c r="B24" s="38">
        <v>16.0</v>
      </c>
      <c r="C24" s="38" t="s">
        <v>141</v>
      </c>
      <c r="D24" s="39" t="s">
        <v>213</v>
      </c>
      <c r="E24" s="38" t="s">
        <v>8</v>
      </c>
      <c r="F24" s="38">
        <v>2021.0</v>
      </c>
      <c r="G24" s="38" t="s">
        <v>124</v>
      </c>
      <c r="H24" s="38">
        <v>2024.0</v>
      </c>
      <c r="I24" s="38" t="s">
        <v>124</v>
      </c>
      <c r="J24" s="38" t="s">
        <v>28</v>
      </c>
      <c r="K24" s="40" t="s">
        <v>124</v>
      </c>
      <c r="L24" s="51">
        <v>0.2</v>
      </c>
      <c r="M24" s="40">
        <v>0.2</v>
      </c>
      <c r="N24" s="38" t="s">
        <v>50</v>
      </c>
      <c r="O24" s="41" t="s">
        <v>71</v>
      </c>
      <c r="P24" s="42" t="s">
        <v>209</v>
      </c>
      <c r="Q24" s="38" t="s">
        <v>143</v>
      </c>
      <c r="R24" s="42" t="s">
        <v>214</v>
      </c>
      <c r="S24" s="42" t="s">
        <v>210</v>
      </c>
      <c r="T24" s="42" t="s">
        <v>210</v>
      </c>
      <c r="U24" s="42" t="s">
        <v>211</v>
      </c>
      <c r="V24" s="42" t="s">
        <v>124</v>
      </c>
      <c r="W24" s="42" t="s">
        <v>124</v>
      </c>
      <c r="X24" s="42" t="s">
        <v>124</v>
      </c>
      <c r="Y24" s="43" t="str">
        <f>IF(CCUS_Projects_Database!$R24&lt;&gt;"",HYPERLINK(CCUS_Projects_Database!$R24,"Link 1"),"")</f>
        <v>Link 1</v>
      </c>
      <c r="Z24" s="43" t="str">
        <f>IF(CCUS_Projects_Database!$S24&lt;&gt;"",HYPERLINK(CCUS_Projects_Database!$S24,"Link 2"),"")</f>
        <v>Link 2</v>
      </c>
      <c r="AA24" s="43" t="str">
        <f>IF(CCUS_Projects_Database!$T24&lt;&gt;"",HYPERLINK(CCUS_Projects_Database!$T24,"Link 3"),"")</f>
        <v>Link 3</v>
      </c>
      <c r="AB24" s="43" t="str">
        <f>IF(CCUS_Projects_Database!$U24&lt;&gt;"",HYPERLINK(CCUS_Projects_Database!$U24,"Link 4"),"")</f>
        <v>Link 4</v>
      </c>
      <c r="AC24" s="43" t="str">
        <f>IF(CCUS_Projects_Database!$V24&lt;&gt;"",HYPERLINK(CCUS_Projects_Database!$V24,"Link 5"),"")</f>
        <v/>
      </c>
      <c r="AD24" s="43" t="str">
        <f>IF(CCUS_Projects_Database!$W24&lt;&gt;"",HYPERLINK(CCUS_Projects_Database!$W24,"Link 6"),"")</f>
        <v/>
      </c>
      <c r="AE24" s="43" t="str">
        <f>IF(CCUS_Projects_Database!$X24&lt;&gt;"",HYPERLINK(CCUS_Projects_Database!$X24,"Link 7"),"")</f>
        <v/>
      </c>
    </row>
    <row r="25" ht="15.75" customHeight="1">
      <c r="A25" s="44" t="s">
        <v>216</v>
      </c>
      <c r="B25" s="45">
        <v>18.0</v>
      </c>
      <c r="C25" s="45" t="s">
        <v>204</v>
      </c>
      <c r="D25" s="46" t="s">
        <v>217</v>
      </c>
      <c r="E25" s="45" t="s">
        <v>8</v>
      </c>
      <c r="F25" s="45">
        <v>2012.0</v>
      </c>
      <c r="G25" s="45">
        <v>2023.0</v>
      </c>
      <c r="H25" s="45">
        <v>2026.0</v>
      </c>
      <c r="I25" s="45" t="s">
        <v>124</v>
      </c>
      <c r="J25" s="45" t="s">
        <v>30</v>
      </c>
      <c r="K25" s="47" t="s">
        <v>124</v>
      </c>
      <c r="L25" s="52">
        <v>0.5</v>
      </c>
      <c r="M25" s="47">
        <v>0.5</v>
      </c>
      <c r="N25" s="45" t="s">
        <v>54</v>
      </c>
      <c r="O25" s="48" t="s">
        <v>71</v>
      </c>
      <c r="P25" s="49" t="s">
        <v>218</v>
      </c>
      <c r="Q25" s="45" t="s">
        <v>125</v>
      </c>
      <c r="R25" s="49" t="s">
        <v>219</v>
      </c>
      <c r="S25" s="49" t="s">
        <v>220</v>
      </c>
      <c r="T25" s="49" t="s">
        <v>221</v>
      </c>
      <c r="U25" s="49" t="s">
        <v>222</v>
      </c>
      <c r="V25" s="49" t="s">
        <v>124</v>
      </c>
      <c r="W25" s="49" t="s">
        <v>124</v>
      </c>
      <c r="X25" s="49" t="s">
        <v>124</v>
      </c>
      <c r="Y25" s="50" t="str">
        <f>IF(CCUS_Projects_Database!$R25&lt;&gt;"",HYPERLINK(CCUS_Projects_Database!$R25,"Link 1"),"")</f>
        <v>Link 1</v>
      </c>
      <c r="Z25" s="50" t="str">
        <f>IF(CCUS_Projects_Database!$S25&lt;&gt;"",HYPERLINK(CCUS_Projects_Database!$S25,"Link 2"),"")</f>
        <v>Link 2</v>
      </c>
      <c r="AA25" s="50" t="str">
        <f>IF(CCUS_Projects_Database!$T25&lt;&gt;"",HYPERLINK(CCUS_Projects_Database!$T25,"Link 3"),"")</f>
        <v>Link 3</v>
      </c>
      <c r="AB25" s="50" t="str">
        <f>IF(CCUS_Projects_Database!$U25&lt;&gt;"",HYPERLINK(CCUS_Projects_Database!$U25,"Link 4"),"")</f>
        <v>Link 4</v>
      </c>
      <c r="AC25" s="50" t="str">
        <f>IF(CCUS_Projects_Database!$V25&lt;&gt;"",HYPERLINK(CCUS_Projects_Database!$V25,"Link 5"),"")</f>
        <v/>
      </c>
      <c r="AD25" s="50" t="str">
        <f>IF(CCUS_Projects_Database!$W25&lt;&gt;"",HYPERLINK(CCUS_Projects_Database!$W25,"Link 6"),"")</f>
        <v/>
      </c>
      <c r="AE25" s="50" t="str">
        <f>IF(CCUS_Projects_Database!$X25&lt;&gt;"",HYPERLINK(CCUS_Projects_Database!$X25,"Link 7"),"")</f>
        <v/>
      </c>
    </row>
    <row r="26" ht="15.75" customHeight="1">
      <c r="A26" s="37" t="s">
        <v>223</v>
      </c>
      <c r="B26" s="38">
        <v>541.0</v>
      </c>
      <c r="C26" s="38" t="s">
        <v>224</v>
      </c>
      <c r="D26" s="39" t="s">
        <v>225</v>
      </c>
      <c r="E26" s="38" t="s">
        <v>8</v>
      </c>
      <c r="F26" s="38">
        <v>2022.0</v>
      </c>
      <c r="G26" s="38" t="s">
        <v>124</v>
      </c>
      <c r="H26" s="38">
        <v>2028.0</v>
      </c>
      <c r="I26" s="38" t="s">
        <v>124</v>
      </c>
      <c r="J26" s="38" t="s">
        <v>28</v>
      </c>
      <c r="K26" s="40" t="s">
        <v>124</v>
      </c>
      <c r="L26" s="40"/>
      <c r="M26" s="40" t="s">
        <v>124</v>
      </c>
      <c r="N26" s="38" t="s">
        <v>136</v>
      </c>
      <c r="O26" s="41" t="s">
        <v>77</v>
      </c>
      <c r="P26" s="42" t="s">
        <v>124</v>
      </c>
      <c r="Q26" s="38" t="s">
        <v>148</v>
      </c>
      <c r="R26" s="42" t="s">
        <v>226</v>
      </c>
      <c r="S26" s="42" t="s">
        <v>227</v>
      </c>
      <c r="T26" s="42" t="s">
        <v>124</v>
      </c>
      <c r="U26" s="42" t="s">
        <v>124</v>
      </c>
      <c r="V26" s="42" t="s">
        <v>124</v>
      </c>
      <c r="W26" s="42" t="s">
        <v>124</v>
      </c>
      <c r="X26" s="42" t="s">
        <v>124</v>
      </c>
      <c r="Y26" s="43" t="str">
        <f>IF(CCUS_Projects_Database!$R26&lt;&gt;"",HYPERLINK(CCUS_Projects_Database!$R26,"Link 1"),"")</f>
        <v>Link 1</v>
      </c>
      <c r="Z26" s="43" t="str">
        <f>IF(CCUS_Projects_Database!$S26&lt;&gt;"",HYPERLINK(CCUS_Projects_Database!$S26,"Link 2"),"")</f>
        <v>Link 2</v>
      </c>
      <c r="AA26" s="43" t="str">
        <f>IF(CCUS_Projects_Database!$T26&lt;&gt;"",HYPERLINK(CCUS_Projects_Database!$T26,"Link 3"),"")</f>
        <v/>
      </c>
      <c r="AB26" s="43" t="str">
        <f>IF(CCUS_Projects_Database!$U26&lt;&gt;"",HYPERLINK(CCUS_Projects_Database!$U26,"Link 4"),"")</f>
        <v/>
      </c>
      <c r="AC26" s="43" t="str">
        <f>IF(CCUS_Projects_Database!$V26&lt;&gt;"",HYPERLINK(CCUS_Projects_Database!$V26,"Link 5"),"")</f>
        <v/>
      </c>
      <c r="AD26" s="43" t="str">
        <f>IF(CCUS_Projects_Database!$W26&lt;&gt;"",HYPERLINK(CCUS_Projects_Database!$W26,"Link 6"),"")</f>
        <v/>
      </c>
      <c r="AE26" s="43" t="str">
        <f>IF(CCUS_Projects_Database!$X26&lt;&gt;"",HYPERLINK(CCUS_Projects_Database!$X26,"Link 7"),"")</f>
        <v/>
      </c>
    </row>
    <row r="27" ht="15.75" customHeight="1">
      <c r="A27" s="44" t="s">
        <v>228</v>
      </c>
      <c r="B27" s="45">
        <v>150.0</v>
      </c>
      <c r="C27" s="45" t="s">
        <v>204</v>
      </c>
      <c r="D27" s="46" t="s">
        <v>229</v>
      </c>
      <c r="E27" s="45" t="s">
        <v>8</v>
      </c>
      <c r="F27" s="45">
        <v>2019.0</v>
      </c>
      <c r="G27" s="45">
        <v>2023.0</v>
      </c>
      <c r="H27" s="45">
        <v>2026.0</v>
      </c>
      <c r="I27" s="45" t="s">
        <v>124</v>
      </c>
      <c r="J27" s="45" t="s">
        <v>30</v>
      </c>
      <c r="K27" s="47" t="s">
        <v>124</v>
      </c>
      <c r="L27" s="47"/>
      <c r="M27" s="47">
        <v>1.011</v>
      </c>
      <c r="N27" s="45" t="s">
        <v>54</v>
      </c>
      <c r="O27" s="48" t="s">
        <v>71</v>
      </c>
      <c r="P27" s="49" t="s">
        <v>218</v>
      </c>
      <c r="Q27" s="45" t="s">
        <v>125</v>
      </c>
      <c r="R27" s="49" t="s">
        <v>219</v>
      </c>
      <c r="S27" s="49" t="s">
        <v>230</v>
      </c>
      <c r="T27" s="49" t="s">
        <v>231</v>
      </c>
      <c r="U27" s="49" t="s">
        <v>124</v>
      </c>
      <c r="V27" s="49" t="s">
        <v>124</v>
      </c>
      <c r="W27" s="49" t="s">
        <v>124</v>
      </c>
      <c r="X27" s="49" t="s">
        <v>124</v>
      </c>
      <c r="Y27" s="50" t="str">
        <f>IF(CCUS_Projects_Database!$R27&lt;&gt;"",HYPERLINK(CCUS_Projects_Database!$R27,"Link 1"),"")</f>
        <v>Link 1</v>
      </c>
      <c r="Z27" s="50" t="str">
        <f>IF(CCUS_Projects_Database!$S27&lt;&gt;"",HYPERLINK(CCUS_Projects_Database!$S27,"Link 2"),"")</f>
        <v>Link 2</v>
      </c>
      <c r="AA27" s="50" t="str">
        <f>IF(CCUS_Projects_Database!$T27&lt;&gt;"",HYPERLINK(CCUS_Projects_Database!$T27,"Link 3"),"")</f>
        <v>Link 3</v>
      </c>
      <c r="AB27" s="50" t="str">
        <f>IF(CCUS_Projects_Database!$U27&lt;&gt;"",HYPERLINK(CCUS_Projects_Database!$U27,"Link 4"),"")</f>
        <v/>
      </c>
      <c r="AC27" s="50" t="str">
        <f>IF(CCUS_Projects_Database!$V27&lt;&gt;"",HYPERLINK(CCUS_Projects_Database!$V27,"Link 5"),"")</f>
        <v/>
      </c>
      <c r="AD27" s="50" t="str">
        <f>IF(CCUS_Projects_Database!$W27&lt;&gt;"",HYPERLINK(CCUS_Projects_Database!$W27,"Link 6"),"")</f>
        <v/>
      </c>
      <c r="AE27" s="50" t="str">
        <f>IF(CCUS_Projects_Database!$X27&lt;&gt;"",HYPERLINK(CCUS_Projects_Database!$X27,"Link 7"),"")</f>
        <v/>
      </c>
    </row>
    <row r="28" ht="15.75" customHeight="1">
      <c r="A28" s="37" t="s">
        <v>232</v>
      </c>
      <c r="B28" s="38">
        <v>21.0</v>
      </c>
      <c r="C28" s="38" t="s">
        <v>141</v>
      </c>
      <c r="D28" s="39" t="s">
        <v>233</v>
      </c>
      <c r="E28" s="38" t="s">
        <v>16</v>
      </c>
      <c r="F28" s="38">
        <v>2022.0</v>
      </c>
      <c r="G28" s="38" t="s">
        <v>124</v>
      </c>
      <c r="H28" s="38" t="s">
        <v>124</v>
      </c>
      <c r="I28" s="38" t="s">
        <v>124</v>
      </c>
      <c r="J28" s="38" t="s">
        <v>28</v>
      </c>
      <c r="K28" s="40" t="s">
        <v>124</v>
      </c>
      <c r="L28" s="40"/>
      <c r="M28" s="40" t="s">
        <v>124</v>
      </c>
      <c r="N28" s="38" t="s">
        <v>64</v>
      </c>
      <c r="O28" s="41" t="s">
        <v>75</v>
      </c>
      <c r="P28" s="42" t="s">
        <v>124</v>
      </c>
      <c r="Q28" s="38" t="s">
        <v>143</v>
      </c>
      <c r="R28" s="42" t="s">
        <v>234</v>
      </c>
      <c r="S28" s="42" t="s">
        <v>124</v>
      </c>
      <c r="T28" s="42" t="s">
        <v>124</v>
      </c>
      <c r="U28" s="42" t="s">
        <v>124</v>
      </c>
      <c r="V28" s="42" t="s">
        <v>124</v>
      </c>
      <c r="W28" s="42" t="s">
        <v>124</v>
      </c>
      <c r="X28" s="42" t="s">
        <v>124</v>
      </c>
      <c r="Y28" s="43" t="str">
        <f>IF(CCUS_Projects_Database!$R28&lt;&gt;"",HYPERLINK(CCUS_Projects_Database!$R28,"Link 1"),"")</f>
        <v>Link 1</v>
      </c>
      <c r="Z28" s="43" t="str">
        <f>IF(CCUS_Projects_Database!$S28&lt;&gt;"",HYPERLINK(CCUS_Projects_Database!$S28,"Link 2"),"")</f>
        <v/>
      </c>
      <c r="AA28" s="43" t="str">
        <f>IF(CCUS_Projects_Database!$T28&lt;&gt;"",HYPERLINK(CCUS_Projects_Database!$T28,"Link 3"),"")</f>
        <v/>
      </c>
      <c r="AB28" s="43" t="str">
        <f>IF(CCUS_Projects_Database!$U28&lt;&gt;"",HYPERLINK(CCUS_Projects_Database!$U28,"Link 4"),"")</f>
        <v/>
      </c>
      <c r="AC28" s="43" t="str">
        <f>IF(CCUS_Projects_Database!$V28&lt;&gt;"",HYPERLINK(CCUS_Projects_Database!$V28,"Link 5"),"")</f>
        <v/>
      </c>
      <c r="AD28" s="43" t="str">
        <f>IF(CCUS_Projects_Database!$W28&lt;&gt;"",HYPERLINK(CCUS_Projects_Database!$W28,"Link 6"),"")</f>
        <v/>
      </c>
      <c r="AE28" s="43" t="str">
        <f>IF(CCUS_Projects_Database!$X28&lt;&gt;"",HYPERLINK(CCUS_Projects_Database!$X28,"Link 7"),"")</f>
        <v/>
      </c>
    </row>
    <row r="29" ht="15.75" customHeight="1">
      <c r="A29" s="44" t="s">
        <v>235</v>
      </c>
      <c r="B29" s="45">
        <v>22.0</v>
      </c>
      <c r="C29" s="45" t="s">
        <v>141</v>
      </c>
      <c r="D29" s="46" t="s">
        <v>236</v>
      </c>
      <c r="E29" s="45" t="s">
        <v>8</v>
      </c>
      <c r="F29" s="45">
        <v>2022.0</v>
      </c>
      <c r="G29" s="45" t="s">
        <v>124</v>
      </c>
      <c r="H29" s="45" t="s">
        <v>124</v>
      </c>
      <c r="I29" s="45" t="s">
        <v>124</v>
      </c>
      <c r="J29" s="45" t="s">
        <v>28</v>
      </c>
      <c r="K29" s="47" t="s">
        <v>124</v>
      </c>
      <c r="L29" s="47"/>
      <c r="M29" s="47" t="s">
        <v>124</v>
      </c>
      <c r="N29" s="45" t="s">
        <v>64</v>
      </c>
      <c r="O29" s="48" t="s">
        <v>71</v>
      </c>
      <c r="P29" s="49" t="s">
        <v>124</v>
      </c>
      <c r="Q29" s="45" t="s">
        <v>143</v>
      </c>
      <c r="R29" s="49" t="s">
        <v>234</v>
      </c>
      <c r="S29" s="49" t="s">
        <v>237</v>
      </c>
      <c r="T29" s="49" t="s">
        <v>124</v>
      </c>
      <c r="U29" s="49" t="s">
        <v>124</v>
      </c>
      <c r="V29" s="49" t="s">
        <v>124</v>
      </c>
      <c r="W29" s="49" t="s">
        <v>124</v>
      </c>
      <c r="X29" s="49" t="s">
        <v>124</v>
      </c>
      <c r="Y29" s="50" t="str">
        <f>IF(CCUS_Projects_Database!$R29&lt;&gt;"",HYPERLINK(CCUS_Projects_Database!$R29,"Link 1"),"")</f>
        <v>Link 1</v>
      </c>
      <c r="Z29" s="50" t="str">
        <f>IF(CCUS_Projects_Database!$S29&lt;&gt;"",HYPERLINK(CCUS_Projects_Database!$S29,"Link 2"),"")</f>
        <v>Link 2</v>
      </c>
      <c r="AA29" s="50" t="str">
        <f>IF(CCUS_Projects_Database!$T29&lt;&gt;"",HYPERLINK(CCUS_Projects_Database!$T29,"Link 3"),"")</f>
        <v/>
      </c>
      <c r="AB29" s="50" t="str">
        <f>IF(CCUS_Projects_Database!$U29&lt;&gt;"",HYPERLINK(CCUS_Projects_Database!$U29,"Link 4"),"")</f>
        <v/>
      </c>
      <c r="AC29" s="50" t="str">
        <f>IF(CCUS_Projects_Database!$V29&lt;&gt;"",HYPERLINK(CCUS_Projects_Database!$V29,"Link 5"),"")</f>
        <v/>
      </c>
      <c r="AD29" s="50" t="str">
        <f>IF(CCUS_Projects_Database!$W29&lt;&gt;"",HYPERLINK(CCUS_Projects_Database!$W29,"Link 6"),"")</f>
        <v/>
      </c>
      <c r="AE29" s="50" t="str">
        <f>IF(CCUS_Projects_Database!$X29&lt;&gt;"",HYPERLINK(CCUS_Projects_Database!$X29,"Link 7"),"")</f>
        <v/>
      </c>
    </row>
    <row r="30" ht="15.75" customHeight="1">
      <c r="A30" s="37" t="s">
        <v>238</v>
      </c>
      <c r="B30" s="38">
        <v>952.0</v>
      </c>
      <c r="C30" s="38" t="s">
        <v>239</v>
      </c>
      <c r="D30" s="39" t="s">
        <v>240</v>
      </c>
      <c r="E30" s="38" t="s">
        <v>16</v>
      </c>
      <c r="F30" s="38">
        <v>2023.0</v>
      </c>
      <c r="G30" s="38" t="s">
        <v>124</v>
      </c>
      <c r="H30" s="38">
        <v>2024.0</v>
      </c>
      <c r="I30" s="38" t="s">
        <v>124</v>
      </c>
      <c r="J30" s="38" t="s">
        <v>28</v>
      </c>
      <c r="K30" s="40" t="s">
        <v>124</v>
      </c>
      <c r="L30" s="51">
        <v>0.001</v>
      </c>
      <c r="M30" s="40">
        <v>0.001</v>
      </c>
      <c r="N30" s="38" t="s">
        <v>64</v>
      </c>
      <c r="O30" s="41" t="s">
        <v>75</v>
      </c>
      <c r="P30" s="42" t="s">
        <v>124</v>
      </c>
      <c r="Q30" s="38" t="s">
        <v>143</v>
      </c>
      <c r="R30" s="42" t="s">
        <v>241</v>
      </c>
      <c r="S30" s="42" t="s">
        <v>124</v>
      </c>
      <c r="T30" s="42" t="s">
        <v>124</v>
      </c>
      <c r="U30" s="42" t="s">
        <v>124</v>
      </c>
      <c r="V30" s="42" t="s">
        <v>124</v>
      </c>
      <c r="W30" s="42" t="s">
        <v>124</v>
      </c>
      <c r="X30" s="42" t="s">
        <v>124</v>
      </c>
      <c r="Y30" s="43" t="str">
        <f>IF(CCUS_Projects_Database!$R30&lt;&gt;"",HYPERLINK(CCUS_Projects_Database!$R30,"Link 1"),"")</f>
        <v>Link 1</v>
      </c>
      <c r="Z30" s="43" t="str">
        <f>IF(CCUS_Projects_Database!$S30&lt;&gt;"",HYPERLINK(CCUS_Projects_Database!$S30,"Link 2"),"")</f>
        <v/>
      </c>
      <c r="AA30" s="43" t="str">
        <f>IF(CCUS_Projects_Database!$T30&lt;&gt;"",HYPERLINK(CCUS_Projects_Database!$T30,"Link 3"),"")</f>
        <v/>
      </c>
      <c r="AB30" s="43" t="str">
        <f>IF(CCUS_Projects_Database!$U30&lt;&gt;"",HYPERLINK(CCUS_Projects_Database!$U30,"Link 4"),"")</f>
        <v/>
      </c>
      <c r="AC30" s="43" t="str">
        <f>IF(CCUS_Projects_Database!$V30&lt;&gt;"",HYPERLINK(CCUS_Projects_Database!$V30,"Link 5"),"")</f>
        <v/>
      </c>
      <c r="AD30" s="43" t="str">
        <f>IF(CCUS_Projects_Database!$W30&lt;&gt;"",HYPERLINK(CCUS_Projects_Database!$W30,"Link 6"),"")</f>
        <v/>
      </c>
      <c r="AE30" s="43" t="str">
        <f>IF(CCUS_Projects_Database!$X30&lt;&gt;"",HYPERLINK(CCUS_Projects_Database!$X30,"Link 7"),"")</f>
        <v/>
      </c>
    </row>
    <row r="31" ht="15.75" customHeight="1">
      <c r="A31" s="44" t="s">
        <v>242</v>
      </c>
      <c r="B31" s="45">
        <v>1032.0</v>
      </c>
      <c r="C31" s="45" t="s">
        <v>243</v>
      </c>
      <c r="D31" s="46" t="s">
        <v>244</v>
      </c>
      <c r="E31" s="45" t="s">
        <v>16</v>
      </c>
      <c r="F31" s="45">
        <v>2022.0</v>
      </c>
      <c r="G31" s="45">
        <v>2025.0</v>
      </c>
      <c r="H31" s="45">
        <v>2027.0</v>
      </c>
      <c r="I31" s="45" t="s">
        <v>124</v>
      </c>
      <c r="J31" s="45" t="s">
        <v>28</v>
      </c>
      <c r="K31" s="47" t="s">
        <v>124</v>
      </c>
      <c r="L31" s="52">
        <v>0.1</v>
      </c>
      <c r="M31" s="47">
        <v>0.1</v>
      </c>
      <c r="N31" s="45" t="s">
        <v>46</v>
      </c>
      <c r="O31" s="48" t="s">
        <v>75</v>
      </c>
      <c r="P31" s="49" t="s">
        <v>124</v>
      </c>
      <c r="Q31" s="45" t="s">
        <v>125</v>
      </c>
      <c r="R31" s="49" t="s">
        <v>245</v>
      </c>
      <c r="S31" s="49" t="s">
        <v>124</v>
      </c>
      <c r="T31" s="49" t="s">
        <v>124</v>
      </c>
      <c r="U31" s="49" t="s">
        <v>124</v>
      </c>
      <c r="V31" s="49" t="s">
        <v>124</v>
      </c>
      <c r="W31" s="49" t="s">
        <v>124</v>
      </c>
      <c r="X31" s="49" t="s">
        <v>124</v>
      </c>
      <c r="Y31" s="50" t="str">
        <f>IF(CCUS_Projects_Database!$R31&lt;&gt;"",HYPERLINK(CCUS_Projects_Database!$R31,"Link 1"),"")</f>
        <v>Link 1</v>
      </c>
      <c r="Z31" s="50" t="str">
        <f>IF(CCUS_Projects_Database!$S31&lt;&gt;"",HYPERLINK(CCUS_Projects_Database!$S31,"Link 2"),"")</f>
        <v/>
      </c>
      <c r="AA31" s="50" t="str">
        <f>IF(CCUS_Projects_Database!$T31&lt;&gt;"",HYPERLINK(CCUS_Projects_Database!$T31,"Link 3"),"")</f>
        <v/>
      </c>
      <c r="AB31" s="50" t="str">
        <f>IF(CCUS_Projects_Database!$U31&lt;&gt;"",HYPERLINK(CCUS_Projects_Database!$U31,"Link 4"),"")</f>
        <v/>
      </c>
      <c r="AC31" s="50" t="str">
        <f>IF(CCUS_Projects_Database!$V31&lt;&gt;"",HYPERLINK(CCUS_Projects_Database!$V31,"Link 5"),"")</f>
        <v/>
      </c>
      <c r="AD31" s="50" t="str">
        <f>IF(CCUS_Projects_Database!$W31&lt;&gt;"",HYPERLINK(CCUS_Projects_Database!$W31,"Link 6"),"")</f>
        <v/>
      </c>
      <c r="AE31" s="50" t="str">
        <f>IF(CCUS_Projects_Database!$X31&lt;&gt;"",HYPERLINK(CCUS_Projects_Database!$X31,"Link 7"),"")</f>
        <v/>
      </c>
    </row>
    <row r="32" ht="15.75" customHeight="1">
      <c r="A32" s="37" t="s">
        <v>246</v>
      </c>
      <c r="B32" s="38">
        <v>1099.0</v>
      </c>
      <c r="C32" s="38" t="s">
        <v>247</v>
      </c>
      <c r="D32" s="39" t="s">
        <v>248</v>
      </c>
      <c r="E32" s="38" t="s">
        <v>8</v>
      </c>
      <c r="F32" s="38">
        <v>2023.0</v>
      </c>
      <c r="G32" s="38" t="s">
        <v>124</v>
      </c>
      <c r="H32" s="38" t="s">
        <v>124</v>
      </c>
      <c r="I32" s="38" t="s">
        <v>124</v>
      </c>
      <c r="J32" s="38" t="s">
        <v>28</v>
      </c>
      <c r="K32" s="40" t="s">
        <v>124</v>
      </c>
      <c r="L32" s="51">
        <v>0.25</v>
      </c>
      <c r="M32" s="40">
        <v>0.25</v>
      </c>
      <c r="N32" s="38" t="s">
        <v>46</v>
      </c>
      <c r="O32" s="41" t="s">
        <v>77</v>
      </c>
      <c r="P32" s="42" t="s">
        <v>124</v>
      </c>
      <c r="Q32" s="38" t="s">
        <v>125</v>
      </c>
      <c r="R32" s="42" t="s">
        <v>249</v>
      </c>
      <c r="S32" s="42" t="s">
        <v>124</v>
      </c>
      <c r="T32" s="42" t="s">
        <v>124</v>
      </c>
      <c r="U32" s="42" t="s">
        <v>124</v>
      </c>
      <c r="V32" s="42" t="s">
        <v>124</v>
      </c>
      <c r="W32" s="42" t="s">
        <v>124</v>
      </c>
      <c r="X32" s="42" t="s">
        <v>124</v>
      </c>
      <c r="Y32" s="43" t="str">
        <f>IF(CCUS_Projects_Database!$R32&lt;&gt;"",HYPERLINK(CCUS_Projects_Database!$R32,"Link 1"),"")</f>
        <v>Link 1</v>
      </c>
      <c r="Z32" s="43" t="str">
        <f>IF(CCUS_Projects_Database!$S32&lt;&gt;"",HYPERLINK(CCUS_Projects_Database!$S32,"Link 2"),"")</f>
        <v/>
      </c>
      <c r="AA32" s="43" t="str">
        <f>IF(CCUS_Projects_Database!$T32&lt;&gt;"",HYPERLINK(CCUS_Projects_Database!$T32,"Link 3"),"")</f>
        <v/>
      </c>
      <c r="AB32" s="43" t="str">
        <f>IF(CCUS_Projects_Database!$U32&lt;&gt;"",HYPERLINK(CCUS_Projects_Database!$U32,"Link 4"),"")</f>
        <v/>
      </c>
      <c r="AC32" s="43" t="str">
        <f>IF(CCUS_Projects_Database!$V32&lt;&gt;"",HYPERLINK(CCUS_Projects_Database!$V32,"Link 5"),"")</f>
        <v/>
      </c>
      <c r="AD32" s="43" t="str">
        <f>IF(CCUS_Projects_Database!$W32&lt;&gt;"",HYPERLINK(CCUS_Projects_Database!$W32,"Link 6"),"")</f>
        <v/>
      </c>
      <c r="AE32" s="43" t="str">
        <f>IF(CCUS_Projects_Database!$X32&lt;&gt;"",HYPERLINK(CCUS_Projects_Database!$X32,"Link 7"),"")</f>
        <v/>
      </c>
    </row>
    <row r="33" ht="15.75" customHeight="1">
      <c r="A33" s="44" t="s">
        <v>250</v>
      </c>
      <c r="B33" s="45">
        <v>920.0</v>
      </c>
      <c r="C33" s="45" t="s">
        <v>141</v>
      </c>
      <c r="D33" s="46" t="s">
        <v>248</v>
      </c>
      <c r="E33" s="45" t="s">
        <v>8</v>
      </c>
      <c r="F33" s="45">
        <v>2023.0</v>
      </c>
      <c r="G33" s="45" t="s">
        <v>124</v>
      </c>
      <c r="H33" s="45" t="s">
        <v>124</v>
      </c>
      <c r="I33" s="45" t="s">
        <v>124</v>
      </c>
      <c r="J33" s="45" t="s">
        <v>28</v>
      </c>
      <c r="K33" s="47" t="s">
        <v>124</v>
      </c>
      <c r="L33" s="52">
        <v>1.5</v>
      </c>
      <c r="M33" s="47">
        <v>1.5</v>
      </c>
      <c r="N33" s="45" t="s">
        <v>56</v>
      </c>
      <c r="O33" s="48" t="s">
        <v>77</v>
      </c>
      <c r="P33" s="49" t="s">
        <v>124</v>
      </c>
      <c r="Q33" s="45" t="s">
        <v>143</v>
      </c>
      <c r="R33" s="49" t="s">
        <v>251</v>
      </c>
      <c r="S33" s="49" t="s">
        <v>124</v>
      </c>
      <c r="T33" s="49" t="s">
        <v>124</v>
      </c>
      <c r="U33" s="49" t="s">
        <v>124</v>
      </c>
      <c r="V33" s="49" t="s">
        <v>124</v>
      </c>
      <c r="W33" s="49" t="s">
        <v>124</v>
      </c>
      <c r="X33" s="49" t="s">
        <v>124</v>
      </c>
      <c r="Y33" s="50" t="str">
        <f>IF(CCUS_Projects_Database!$R33&lt;&gt;"",HYPERLINK(CCUS_Projects_Database!$R33,"Link 1"),"")</f>
        <v>Link 1</v>
      </c>
      <c r="Z33" s="50" t="str">
        <f>IF(CCUS_Projects_Database!$S33&lt;&gt;"",HYPERLINK(CCUS_Projects_Database!$S33,"Link 2"),"")</f>
        <v/>
      </c>
      <c r="AA33" s="50" t="str">
        <f>IF(CCUS_Projects_Database!$T33&lt;&gt;"",HYPERLINK(CCUS_Projects_Database!$T33,"Link 3"),"")</f>
        <v/>
      </c>
      <c r="AB33" s="50" t="str">
        <f>IF(CCUS_Projects_Database!$U33&lt;&gt;"",HYPERLINK(CCUS_Projects_Database!$U33,"Link 4"),"")</f>
        <v/>
      </c>
      <c r="AC33" s="50" t="str">
        <f>IF(CCUS_Projects_Database!$V33&lt;&gt;"",HYPERLINK(CCUS_Projects_Database!$V33,"Link 5"),"")</f>
        <v/>
      </c>
      <c r="AD33" s="50" t="str">
        <f>IF(CCUS_Projects_Database!$W33&lt;&gt;"",HYPERLINK(CCUS_Projects_Database!$W33,"Link 6"),"")</f>
        <v/>
      </c>
      <c r="AE33" s="50" t="str">
        <f>IF(CCUS_Projects_Database!$X33&lt;&gt;"",HYPERLINK(CCUS_Projects_Database!$X33,"Link 7"),"")</f>
        <v/>
      </c>
    </row>
    <row r="34" ht="15.75" customHeight="1">
      <c r="A34" s="37" t="s">
        <v>252</v>
      </c>
      <c r="B34" s="38">
        <v>1097.0</v>
      </c>
      <c r="C34" s="38" t="s">
        <v>253</v>
      </c>
      <c r="D34" s="39" t="s">
        <v>248</v>
      </c>
      <c r="E34" s="38" t="s">
        <v>8</v>
      </c>
      <c r="F34" s="38">
        <v>2023.0</v>
      </c>
      <c r="G34" s="38" t="s">
        <v>124</v>
      </c>
      <c r="H34" s="38" t="s">
        <v>124</v>
      </c>
      <c r="I34" s="38" t="s">
        <v>124</v>
      </c>
      <c r="J34" s="38" t="s">
        <v>28</v>
      </c>
      <c r="K34" s="40" t="s">
        <v>124</v>
      </c>
      <c r="L34" s="51">
        <v>14.0</v>
      </c>
      <c r="M34" s="40">
        <v>14.0</v>
      </c>
      <c r="N34" s="38" t="s">
        <v>46</v>
      </c>
      <c r="O34" s="41" t="s">
        <v>77</v>
      </c>
      <c r="P34" s="42" t="s">
        <v>124</v>
      </c>
      <c r="Q34" s="38" t="s">
        <v>253</v>
      </c>
      <c r="R34" s="42" t="s">
        <v>254</v>
      </c>
      <c r="S34" s="42" t="s">
        <v>124</v>
      </c>
      <c r="T34" s="42" t="s">
        <v>124</v>
      </c>
      <c r="U34" s="42" t="s">
        <v>124</v>
      </c>
      <c r="V34" s="42" t="s">
        <v>124</v>
      </c>
      <c r="W34" s="42" t="s">
        <v>124</v>
      </c>
      <c r="X34" s="42" t="s">
        <v>124</v>
      </c>
      <c r="Y34" s="43" t="str">
        <f>IF(CCUS_Projects_Database!$R34&lt;&gt;"",HYPERLINK(CCUS_Projects_Database!$R34,"Link 1"),"")</f>
        <v>Link 1</v>
      </c>
      <c r="Z34" s="43" t="str">
        <f>IF(CCUS_Projects_Database!$S34&lt;&gt;"",HYPERLINK(CCUS_Projects_Database!$S34,"Link 2"),"")</f>
        <v/>
      </c>
      <c r="AA34" s="43" t="str">
        <f>IF(CCUS_Projects_Database!$T34&lt;&gt;"",HYPERLINK(CCUS_Projects_Database!$T34,"Link 3"),"")</f>
        <v/>
      </c>
      <c r="AB34" s="43" t="str">
        <f>IF(CCUS_Projects_Database!$U34&lt;&gt;"",HYPERLINK(CCUS_Projects_Database!$U34,"Link 4"),"")</f>
        <v/>
      </c>
      <c r="AC34" s="43" t="str">
        <f>IF(CCUS_Projects_Database!$V34&lt;&gt;"",HYPERLINK(CCUS_Projects_Database!$V34,"Link 5"),"")</f>
        <v/>
      </c>
      <c r="AD34" s="43" t="str">
        <f>IF(CCUS_Projects_Database!$W34&lt;&gt;"",HYPERLINK(CCUS_Projects_Database!$W34,"Link 6"),"")</f>
        <v/>
      </c>
      <c r="AE34" s="43" t="str">
        <f>IF(CCUS_Projects_Database!$X34&lt;&gt;"",HYPERLINK(CCUS_Projects_Database!$X34,"Link 7"),"")</f>
        <v/>
      </c>
    </row>
    <row r="35" ht="15.75" customHeight="1">
      <c r="A35" s="44" t="s">
        <v>255</v>
      </c>
      <c r="B35" s="45">
        <v>1103.0</v>
      </c>
      <c r="C35" s="45" t="s">
        <v>141</v>
      </c>
      <c r="D35" s="46" t="s">
        <v>248</v>
      </c>
      <c r="E35" s="45" t="s">
        <v>8</v>
      </c>
      <c r="F35" s="45">
        <v>2023.0</v>
      </c>
      <c r="G35" s="45" t="s">
        <v>124</v>
      </c>
      <c r="H35" s="45" t="s">
        <v>124</v>
      </c>
      <c r="I35" s="45" t="s">
        <v>124</v>
      </c>
      <c r="J35" s="45" t="s">
        <v>28</v>
      </c>
      <c r="K35" s="47" t="s">
        <v>124</v>
      </c>
      <c r="L35" s="52">
        <v>1.2</v>
      </c>
      <c r="M35" s="47">
        <v>1.2</v>
      </c>
      <c r="N35" s="45" t="s">
        <v>54</v>
      </c>
      <c r="O35" s="48" t="s">
        <v>77</v>
      </c>
      <c r="P35" s="49" t="s">
        <v>124</v>
      </c>
      <c r="Q35" s="45" t="s">
        <v>143</v>
      </c>
      <c r="R35" s="49" t="s">
        <v>124</v>
      </c>
      <c r="S35" s="49" t="s">
        <v>124</v>
      </c>
      <c r="T35" s="49" t="s">
        <v>124</v>
      </c>
      <c r="U35" s="49" t="s">
        <v>124</v>
      </c>
      <c r="V35" s="49" t="s">
        <v>124</v>
      </c>
      <c r="W35" s="49" t="s">
        <v>124</v>
      </c>
      <c r="X35" s="49" t="s">
        <v>124</v>
      </c>
      <c r="Y35" s="50" t="str">
        <f>IF(CCUS_Projects_Database!$R35&lt;&gt;"",HYPERLINK(CCUS_Projects_Database!$R35,"Link 1"),"")</f>
        <v/>
      </c>
      <c r="Z35" s="50" t="str">
        <f>IF(CCUS_Projects_Database!$S35&lt;&gt;"",HYPERLINK(CCUS_Projects_Database!$S35,"Link 2"),"")</f>
        <v/>
      </c>
      <c r="AA35" s="50" t="str">
        <f>IF(CCUS_Projects_Database!$T35&lt;&gt;"",HYPERLINK(CCUS_Projects_Database!$T35,"Link 3"),"")</f>
        <v/>
      </c>
      <c r="AB35" s="50" t="str">
        <f>IF(CCUS_Projects_Database!$U35&lt;&gt;"",HYPERLINK(CCUS_Projects_Database!$U35,"Link 4"),"")</f>
        <v/>
      </c>
      <c r="AC35" s="50" t="str">
        <f>IF(CCUS_Projects_Database!$V35&lt;&gt;"",HYPERLINK(CCUS_Projects_Database!$V35,"Link 5"),"")</f>
        <v/>
      </c>
      <c r="AD35" s="50" t="str">
        <f>IF(CCUS_Projects_Database!$W35&lt;&gt;"",HYPERLINK(CCUS_Projects_Database!$W35,"Link 6"),"")</f>
        <v/>
      </c>
      <c r="AE35" s="50" t="str">
        <f>IF(CCUS_Projects_Database!$X35&lt;&gt;"",HYPERLINK(CCUS_Projects_Database!$X35,"Link 7"),"")</f>
        <v/>
      </c>
    </row>
    <row r="36" ht="15.75" customHeight="1">
      <c r="A36" s="37" t="s">
        <v>256</v>
      </c>
      <c r="B36" s="38">
        <v>1100.0</v>
      </c>
      <c r="C36" s="38" t="s">
        <v>257</v>
      </c>
      <c r="D36" s="39" t="s">
        <v>248</v>
      </c>
      <c r="E36" s="38" t="s">
        <v>8</v>
      </c>
      <c r="F36" s="38">
        <v>2023.0</v>
      </c>
      <c r="G36" s="38" t="s">
        <v>124</v>
      </c>
      <c r="H36" s="38" t="s">
        <v>124</v>
      </c>
      <c r="I36" s="38" t="s">
        <v>124</v>
      </c>
      <c r="J36" s="38" t="s">
        <v>28</v>
      </c>
      <c r="K36" s="40" t="s">
        <v>124</v>
      </c>
      <c r="L36" s="51">
        <v>0.2</v>
      </c>
      <c r="M36" s="40">
        <v>0.2</v>
      </c>
      <c r="N36" s="38" t="s">
        <v>46</v>
      </c>
      <c r="O36" s="41" t="s">
        <v>77</v>
      </c>
      <c r="P36" s="42" t="s">
        <v>124</v>
      </c>
      <c r="Q36" s="38" t="s">
        <v>125</v>
      </c>
      <c r="R36" s="42" t="s">
        <v>124</v>
      </c>
      <c r="S36" s="42" t="s">
        <v>124</v>
      </c>
      <c r="T36" s="42" t="s">
        <v>124</v>
      </c>
      <c r="U36" s="42" t="s">
        <v>124</v>
      </c>
      <c r="V36" s="42" t="s">
        <v>124</v>
      </c>
      <c r="W36" s="42" t="s">
        <v>124</v>
      </c>
      <c r="X36" s="42" t="s">
        <v>124</v>
      </c>
      <c r="Y36" s="43" t="str">
        <f>IF(CCUS_Projects_Database!$R36&lt;&gt;"",HYPERLINK(CCUS_Projects_Database!$R36,"Link 1"),"")</f>
        <v/>
      </c>
      <c r="Z36" s="43" t="str">
        <f>IF(CCUS_Projects_Database!$S36&lt;&gt;"",HYPERLINK(CCUS_Projects_Database!$S36,"Link 2"),"")</f>
        <v/>
      </c>
      <c r="AA36" s="43" t="str">
        <f>IF(CCUS_Projects_Database!$T36&lt;&gt;"",HYPERLINK(CCUS_Projects_Database!$T36,"Link 3"),"")</f>
        <v/>
      </c>
      <c r="AB36" s="43" t="str">
        <f>IF(CCUS_Projects_Database!$U36&lt;&gt;"",HYPERLINK(CCUS_Projects_Database!$U36,"Link 4"),"")</f>
        <v/>
      </c>
      <c r="AC36" s="43" t="str">
        <f>IF(CCUS_Projects_Database!$V36&lt;&gt;"",HYPERLINK(CCUS_Projects_Database!$V36,"Link 5"),"")</f>
        <v/>
      </c>
      <c r="AD36" s="43" t="str">
        <f>IF(CCUS_Projects_Database!$W36&lt;&gt;"",HYPERLINK(CCUS_Projects_Database!$W36,"Link 6"),"")</f>
        <v/>
      </c>
      <c r="AE36" s="43" t="str">
        <f>IF(CCUS_Projects_Database!$X36&lt;&gt;"",HYPERLINK(CCUS_Projects_Database!$X36,"Link 7"),"")</f>
        <v/>
      </c>
    </row>
    <row r="37" ht="15.75" customHeight="1">
      <c r="A37" s="44" t="s">
        <v>258</v>
      </c>
      <c r="B37" s="45">
        <v>1102.0</v>
      </c>
      <c r="C37" s="45" t="s">
        <v>253</v>
      </c>
      <c r="D37" s="46" t="s">
        <v>248</v>
      </c>
      <c r="E37" s="45" t="s">
        <v>8</v>
      </c>
      <c r="F37" s="45">
        <v>2024.0</v>
      </c>
      <c r="G37" s="45" t="s">
        <v>124</v>
      </c>
      <c r="H37" s="45" t="s">
        <v>124</v>
      </c>
      <c r="I37" s="45" t="s">
        <v>124</v>
      </c>
      <c r="J37" s="45" t="s">
        <v>28</v>
      </c>
      <c r="K37" s="47" t="s">
        <v>124</v>
      </c>
      <c r="L37" s="47"/>
      <c r="M37" s="47" t="s">
        <v>124</v>
      </c>
      <c r="N37" s="45" t="s">
        <v>46</v>
      </c>
      <c r="O37" s="48" t="s">
        <v>77</v>
      </c>
      <c r="P37" s="49" t="s">
        <v>124</v>
      </c>
      <c r="Q37" s="45" t="s">
        <v>125</v>
      </c>
      <c r="R37" s="49" t="s">
        <v>259</v>
      </c>
      <c r="S37" s="49" t="s">
        <v>124</v>
      </c>
      <c r="T37" s="49" t="s">
        <v>124</v>
      </c>
      <c r="U37" s="49" t="s">
        <v>124</v>
      </c>
      <c r="V37" s="49" t="s">
        <v>124</v>
      </c>
      <c r="W37" s="49" t="s">
        <v>124</v>
      </c>
      <c r="X37" s="49" t="s">
        <v>124</v>
      </c>
      <c r="Y37" s="50" t="str">
        <f>IF(CCUS_Projects_Database!$R37&lt;&gt;"",HYPERLINK(CCUS_Projects_Database!$R37,"Link 1"),"")</f>
        <v>Link 1</v>
      </c>
      <c r="Z37" s="50" t="str">
        <f>IF(CCUS_Projects_Database!$S37&lt;&gt;"",HYPERLINK(CCUS_Projects_Database!$S37,"Link 2"),"")</f>
        <v/>
      </c>
      <c r="AA37" s="50" t="str">
        <f>IF(CCUS_Projects_Database!$T37&lt;&gt;"",HYPERLINK(CCUS_Projects_Database!$T37,"Link 3"),"")</f>
        <v/>
      </c>
      <c r="AB37" s="50" t="str">
        <f>IF(CCUS_Projects_Database!$U37&lt;&gt;"",HYPERLINK(CCUS_Projects_Database!$U37,"Link 4"),"")</f>
        <v/>
      </c>
      <c r="AC37" s="50" t="str">
        <f>IF(CCUS_Projects_Database!$V37&lt;&gt;"",HYPERLINK(CCUS_Projects_Database!$V37,"Link 5"),"")</f>
        <v/>
      </c>
      <c r="AD37" s="50" t="str">
        <f>IF(CCUS_Projects_Database!$W37&lt;&gt;"",HYPERLINK(CCUS_Projects_Database!$W37,"Link 6"),"")</f>
        <v/>
      </c>
      <c r="AE37" s="50" t="str">
        <f>IF(CCUS_Projects_Database!$X37&lt;&gt;"",HYPERLINK(CCUS_Projects_Database!$X37,"Link 7"),"")</f>
        <v/>
      </c>
    </row>
    <row r="38" ht="15.75" customHeight="1">
      <c r="A38" s="37" t="s">
        <v>260</v>
      </c>
      <c r="B38" s="38">
        <v>1098.0</v>
      </c>
      <c r="C38" s="38" t="s">
        <v>243</v>
      </c>
      <c r="D38" s="39" t="s">
        <v>248</v>
      </c>
      <c r="E38" s="38" t="s">
        <v>16</v>
      </c>
      <c r="F38" s="38">
        <v>2023.0</v>
      </c>
      <c r="G38" s="38" t="s">
        <v>124</v>
      </c>
      <c r="H38" s="38" t="s">
        <v>124</v>
      </c>
      <c r="I38" s="38" t="s">
        <v>124</v>
      </c>
      <c r="J38" s="38" t="s">
        <v>28</v>
      </c>
      <c r="K38" s="40" t="s">
        <v>124</v>
      </c>
      <c r="L38" s="51">
        <v>0.1</v>
      </c>
      <c r="M38" s="40">
        <v>0.1</v>
      </c>
      <c r="N38" s="38" t="s">
        <v>46</v>
      </c>
      <c r="O38" s="41" t="s">
        <v>75</v>
      </c>
      <c r="P38" s="42" t="s">
        <v>124</v>
      </c>
      <c r="Q38" s="38" t="s">
        <v>125</v>
      </c>
      <c r="R38" s="42" t="s">
        <v>261</v>
      </c>
      <c r="S38" s="42" t="s">
        <v>124</v>
      </c>
      <c r="T38" s="42" t="s">
        <v>124</v>
      </c>
      <c r="U38" s="42" t="s">
        <v>124</v>
      </c>
      <c r="V38" s="42" t="s">
        <v>124</v>
      </c>
      <c r="W38" s="42" t="s">
        <v>124</v>
      </c>
      <c r="X38" s="42" t="s">
        <v>124</v>
      </c>
      <c r="Y38" s="43" t="str">
        <f>IF(CCUS_Projects_Database!$R38&lt;&gt;"",HYPERLINK(CCUS_Projects_Database!$R38,"Link 1"),"")</f>
        <v>Link 1</v>
      </c>
      <c r="Z38" s="43" t="str">
        <f>IF(CCUS_Projects_Database!$S38&lt;&gt;"",HYPERLINK(CCUS_Projects_Database!$S38,"Link 2"),"")</f>
        <v/>
      </c>
      <c r="AA38" s="43" t="str">
        <f>IF(CCUS_Projects_Database!$T38&lt;&gt;"",HYPERLINK(CCUS_Projects_Database!$T38,"Link 3"),"")</f>
        <v/>
      </c>
      <c r="AB38" s="43" t="str">
        <f>IF(CCUS_Projects_Database!$U38&lt;&gt;"",HYPERLINK(CCUS_Projects_Database!$U38,"Link 4"),"")</f>
        <v/>
      </c>
      <c r="AC38" s="43" t="str">
        <f>IF(CCUS_Projects_Database!$V38&lt;&gt;"",HYPERLINK(CCUS_Projects_Database!$V38,"Link 5"),"")</f>
        <v/>
      </c>
      <c r="AD38" s="43" t="str">
        <f>IF(CCUS_Projects_Database!$W38&lt;&gt;"",HYPERLINK(CCUS_Projects_Database!$W38,"Link 6"),"")</f>
        <v/>
      </c>
      <c r="AE38" s="43" t="str">
        <f>IF(CCUS_Projects_Database!$X38&lt;&gt;"",HYPERLINK(CCUS_Projects_Database!$X38,"Link 7"),"")</f>
        <v/>
      </c>
    </row>
    <row r="39" ht="15.75" customHeight="1">
      <c r="A39" s="44" t="s">
        <v>262</v>
      </c>
      <c r="B39" s="45">
        <v>976.0</v>
      </c>
      <c r="C39" s="45" t="s">
        <v>141</v>
      </c>
      <c r="D39" s="46" t="s">
        <v>263</v>
      </c>
      <c r="E39" s="45" t="s">
        <v>12</v>
      </c>
      <c r="F39" s="45">
        <v>2023.0</v>
      </c>
      <c r="G39" s="45" t="s">
        <v>124</v>
      </c>
      <c r="H39" s="45" t="s">
        <v>124</v>
      </c>
      <c r="I39" s="45" t="s">
        <v>124</v>
      </c>
      <c r="J39" s="45" t="s">
        <v>28</v>
      </c>
      <c r="K39" s="47" t="s">
        <v>124</v>
      </c>
      <c r="L39" s="47"/>
      <c r="M39" s="47" t="s">
        <v>124</v>
      </c>
      <c r="N39" s="45" t="s">
        <v>12</v>
      </c>
      <c r="O39" s="48" t="s">
        <v>71</v>
      </c>
      <c r="P39" s="49" t="s">
        <v>262</v>
      </c>
      <c r="Q39" s="45" t="s">
        <v>143</v>
      </c>
      <c r="R39" s="49" t="s">
        <v>155</v>
      </c>
      <c r="S39" s="49" t="s">
        <v>124</v>
      </c>
      <c r="T39" s="49" t="s">
        <v>124</v>
      </c>
      <c r="U39" s="49" t="s">
        <v>124</v>
      </c>
      <c r="V39" s="49" t="s">
        <v>124</v>
      </c>
      <c r="W39" s="49" t="s">
        <v>124</v>
      </c>
      <c r="X39" s="49" t="s">
        <v>124</v>
      </c>
      <c r="Y39" s="50" t="str">
        <f>IF(CCUS_Projects_Database!$R39&lt;&gt;"",HYPERLINK(CCUS_Projects_Database!$R39,"Link 1"),"")</f>
        <v>Link 1</v>
      </c>
      <c r="Z39" s="50" t="str">
        <f>IF(CCUS_Projects_Database!$S39&lt;&gt;"",HYPERLINK(CCUS_Projects_Database!$S39,"Link 2"),"")</f>
        <v/>
      </c>
      <c r="AA39" s="50" t="str">
        <f>IF(CCUS_Projects_Database!$T39&lt;&gt;"",HYPERLINK(CCUS_Projects_Database!$T39,"Link 3"),"")</f>
        <v/>
      </c>
      <c r="AB39" s="50" t="str">
        <f>IF(CCUS_Projects_Database!$U39&lt;&gt;"",HYPERLINK(CCUS_Projects_Database!$U39,"Link 4"),"")</f>
        <v/>
      </c>
      <c r="AC39" s="50" t="str">
        <f>IF(CCUS_Projects_Database!$V39&lt;&gt;"",HYPERLINK(CCUS_Projects_Database!$V39,"Link 5"),"")</f>
        <v/>
      </c>
      <c r="AD39" s="50" t="str">
        <f>IF(CCUS_Projects_Database!$W39&lt;&gt;"",HYPERLINK(CCUS_Projects_Database!$W39,"Link 6"),"")</f>
        <v/>
      </c>
      <c r="AE39" s="50" t="str">
        <f>IF(CCUS_Projects_Database!$X39&lt;&gt;"",HYPERLINK(CCUS_Projects_Database!$X39,"Link 7"),"")</f>
        <v/>
      </c>
    </row>
    <row r="40" ht="15.75" customHeight="1">
      <c r="A40" s="37" t="s">
        <v>264</v>
      </c>
      <c r="B40" s="38">
        <v>24.0</v>
      </c>
      <c r="C40" s="38" t="s">
        <v>239</v>
      </c>
      <c r="D40" s="39" t="s">
        <v>265</v>
      </c>
      <c r="E40" s="38" t="s">
        <v>14</v>
      </c>
      <c r="F40" s="38">
        <v>2021.0</v>
      </c>
      <c r="G40" s="38">
        <v>2025.0</v>
      </c>
      <c r="H40" s="38">
        <v>2027.0</v>
      </c>
      <c r="I40" s="38" t="s">
        <v>124</v>
      </c>
      <c r="J40" s="38" t="s">
        <v>28</v>
      </c>
      <c r="K40" s="40" t="s">
        <v>124</v>
      </c>
      <c r="L40" s="51">
        <v>10.0</v>
      </c>
      <c r="M40" s="40">
        <v>10.0</v>
      </c>
      <c r="N40" s="38" t="s">
        <v>14</v>
      </c>
      <c r="O40" s="41" t="s">
        <v>71</v>
      </c>
      <c r="P40" s="42" t="s">
        <v>266</v>
      </c>
      <c r="Q40" s="38" t="s">
        <v>143</v>
      </c>
      <c r="R40" s="42" t="s">
        <v>267</v>
      </c>
      <c r="S40" s="42" t="s">
        <v>268</v>
      </c>
      <c r="T40" s="42" t="s">
        <v>124</v>
      </c>
      <c r="U40" s="42" t="s">
        <v>124</v>
      </c>
      <c r="V40" s="42" t="s">
        <v>124</v>
      </c>
      <c r="W40" s="42" t="s">
        <v>124</v>
      </c>
      <c r="X40" s="42" t="s">
        <v>124</v>
      </c>
      <c r="Y40" s="43" t="str">
        <f>IF(CCUS_Projects_Database!$R40&lt;&gt;"",HYPERLINK(CCUS_Projects_Database!$R40,"Link 1"),"")</f>
        <v>Link 1</v>
      </c>
      <c r="Z40" s="43" t="str">
        <f>IF(CCUS_Projects_Database!$S40&lt;&gt;"",HYPERLINK(CCUS_Projects_Database!$S40,"Link 2"),"")</f>
        <v>Link 2</v>
      </c>
      <c r="AA40" s="43" t="str">
        <f>IF(CCUS_Projects_Database!$T40&lt;&gt;"",HYPERLINK(CCUS_Projects_Database!$T40,"Link 3"),"")</f>
        <v/>
      </c>
      <c r="AB40" s="43" t="str">
        <f>IF(CCUS_Projects_Database!$U40&lt;&gt;"",HYPERLINK(CCUS_Projects_Database!$U40,"Link 4"),"")</f>
        <v/>
      </c>
      <c r="AC40" s="43" t="str">
        <f>IF(CCUS_Projects_Database!$V40&lt;&gt;"",HYPERLINK(CCUS_Projects_Database!$V40,"Link 5"),"")</f>
        <v/>
      </c>
      <c r="AD40" s="43" t="str">
        <f>IF(CCUS_Projects_Database!$W40&lt;&gt;"",HYPERLINK(CCUS_Projects_Database!$W40,"Link 6"),"")</f>
        <v/>
      </c>
      <c r="AE40" s="43" t="str">
        <f>IF(CCUS_Projects_Database!$X40&lt;&gt;"",HYPERLINK(CCUS_Projects_Database!$X40,"Link 7"),"")</f>
        <v/>
      </c>
    </row>
    <row r="41" ht="15.75" customHeight="1">
      <c r="A41" s="44" t="s">
        <v>269</v>
      </c>
      <c r="B41" s="45">
        <v>492.0</v>
      </c>
      <c r="C41" s="45" t="s">
        <v>239</v>
      </c>
      <c r="D41" s="46" t="s">
        <v>265</v>
      </c>
      <c r="E41" s="45" t="s">
        <v>14</v>
      </c>
      <c r="F41" s="45">
        <v>2021.0</v>
      </c>
      <c r="G41" s="45" t="s">
        <v>124</v>
      </c>
      <c r="H41" s="45" t="s">
        <v>124</v>
      </c>
      <c r="I41" s="45" t="s">
        <v>124</v>
      </c>
      <c r="J41" s="45" t="s">
        <v>28</v>
      </c>
      <c r="K41" s="47" t="s">
        <v>124</v>
      </c>
      <c r="L41" s="52">
        <v>10.0</v>
      </c>
      <c r="M41" s="47">
        <v>10.0</v>
      </c>
      <c r="N41" s="45" t="s">
        <v>14</v>
      </c>
      <c r="O41" s="48" t="s">
        <v>71</v>
      </c>
      <c r="P41" s="49" t="s">
        <v>266</v>
      </c>
      <c r="Q41" s="45" t="s">
        <v>143</v>
      </c>
      <c r="R41" s="49" t="s">
        <v>268</v>
      </c>
      <c r="S41" s="49" t="s">
        <v>124</v>
      </c>
      <c r="T41" s="49" t="s">
        <v>124</v>
      </c>
      <c r="U41" s="49" t="s">
        <v>124</v>
      </c>
      <c r="V41" s="49" t="s">
        <v>124</v>
      </c>
      <c r="W41" s="49" t="s">
        <v>124</v>
      </c>
      <c r="X41" s="49" t="s">
        <v>124</v>
      </c>
      <c r="Y41" s="50" t="str">
        <f>IF(CCUS_Projects_Database!$R41&lt;&gt;"",HYPERLINK(CCUS_Projects_Database!$R41,"Link 1"),"")</f>
        <v>Link 1</v>
      </c>
      <c r="Z41" s="50" t="str">
        <f>IF(CCUS_Projects_Database!$S41&lt;&gt;"",HYPERLINK(CCUS_Projects_Database!$S41,"Link 2"),"")</f>
        <v/>
      </c>
      <c r="AA41" s="50" t="str">
        <f>IF(CCUS_Projects_Database!$T41&lt;&gt;"",HYPERLINK(CCUS_Projects_Database!$T41,"Link 3"),"")</f>
        <v/>
      </c>
      <c r="AB41" s="50" t="str">
        <f>IF(CCUS_Projects_Database!$U41&lt;&gt;"",HYPERLINK(CCUS_Projects_Database!$U41,"Link 4"),"")</f>
        <v/>
      </c>
      <c r="AC41" s="50" t="str">
        <f>IF(CCUS_Projects_Database!$V41&lt;&gt;"",HYPERLINK(CCUS_Projects_Database!$V41,"Link 5"),"")</f>
        <v/>
      </c>
      <c r="AD41" s="50" t="str">
        <f>IF(CCUS_Projects_Database!$W41&lt;&gt;"",HYPERLINK(CCUS_Projects_Database!$W41,"Link 6"),"")</f>
        <v/>
      </c>
      <c r="AE41" s="50" t="str">
        <f>IF(CCUS_Projects_Database!$X41&lt;&gt;"",HYPERLINK(CCUS_Projects_Database!$X41,"Link 7"),"")</f>
        <v/>
      </c>
    </row>
    <row r="42" ht="15.75" customHeight="1">
      <c r="A42" s="37" t="s">
        <v>270</v>
      </c>
      <c r="B42" s="38">
        <v>831.0</v>
      </c>
      <c r="C42" s="38" t="s">
        <v>239</v>
      </c>
      <c r="D42" s="39" t="s">
        <v>271</v>
      </c>
      <c r="E42" s="38" t="s">
        <v>10</v>
      </c>
      <c r="F42" s="38">
        <v>2023.0</v>
      </c>
      <c r="G42" s="38">
        <v>2023.0</v>
      </c>
      <c r="H42" s="38">
        <v>2024.0</v>
      </c>
      <c r="I42" s="38" t="s">
        <v>124</v>
      </c>
      <c r="J42" s="38" t="s">
        <v>30</v>
      </c>
      <c r="K42" s="40" t="s">
        <v>124</v>
      </c>
      <c r="L42" s="51">
        <v>7.0</v>
      </c>
      <c r="M42" s="40">
        <v>7.0</v>
      </c>
      <c r="N42" s="38" t="s">
        <v>10</v>
      </c>
      <c r="O42" s="41" t="s">
        <v>71</v>
      </c>
      <c r="P42" s="42" t="s">
        <v>272</v>
      </c>
      <c r="Q42" s="38" t="s">
        <v>143</v>
      </c>
      <c r="R42" s="42" t="s">
        <v>273</v>
      </c>
      <c r="S42" s="42" t="s">
        <v>274</v>
      </c>
      <c r="T42" s="42" t="s">
        <v>124</v>
      </c>
      <c r="U42" s="42" t="s">
        <v>124</v>
      </c>
      <c r="V42" s="42" t="s">
        <v>124</v>
      </c>
      <c r="W42" s="42" t="s">
        <v>124</v>
      </c>
      <c r="X42" s="42" t="s">
        <v>124</v>
      </c>
      <c r="Y42" s="43" t="str">
        <f>IF(CCUS_Projects_Database!$R42&lt;&gt;"",HYPERLINK(CCUS_Projects_Database!$R42,"Link 1"),"")</f>
        <v>Link 1</v>
      </c>
      <c r="Z42" s="43" t="str">
        <f>IF(CCUS_Projects_Database!$S42&lt;&gt;"",HYPERLINK(CCUS_Projects_Database!$S42,"Link 2"),"")</f>
        <v>Link 2</v>
      </c>
      <c r="AA42" s="43" t="str">
        <f>IF(CCUS_Projects_Database!$T42&lt;&gt;"",HYPERLINK(CCUS_Projects_Database!$T42,"Link 3"),"")</f>
        <v/>
      </c>
      <c r="AB42" s="43" t="str">
        <f>IF(CCUS_Projects_Database!$U42&lt;&gt;"",HYPERLINK(CCUS_Projects_Database!$U42,"Link 4"),"")</f>
        <v/>
      </c>
      <c r="AC42" s="43" t="str">
        <f>IF(CCUS_Projects_Database!$V42&lt;&gt;"",HYPERLINK(CCUS_Projects_Database!$V42,"Link 5"),"")</f>
        <v/>
      </c>
      <c r="AD42" s="43" t="str">
        <f>IF(CCUS_Projects_Database!$W42&lt;&gt;"",HYPERLINK(CCUS_Projects_Database!$W42,"Link 6"),"")</f>
        <v/>
      </c>
      <c r="AE42" s="43" t="str">
        <f>IF(CCUS_Projects_Database!$X42&lt;&gt;"",HYPERLINK(CCUS_Projects_Database!$X42,"Link 7"),"")</f>
        <v/>
      </c>
    </row>
    <row r="43" ht="15.75" customHeight="1">
      <c r="A43" s="44" t="s">
        <v>275</v>
      </c>
      <c r="B43" s="45">
        <v>25.0</v>
      </c>
      <c r="C43" s="45" t="s">
        <v>239</v>
      </c>
      <c r="D43" s="46" t="s">
        <v>276</v>
      </c>
      <c r="E43" s="45" t="s">
        <v>10</v>
      </c>
      <c r="F43" s="45">
        <v>2011.0</v>
      </c>
      <c r="G43" s="45">
        <v>2018.0</v>
      </c>
      <c r="H43" s="45">
        <v>2020.0</v>
      </c>
      <c r="I43" s="45" t="s">
        <v>124</v>
      </c>
      <c r="J43" s="45" t="s">
        <v>32</v>
      </c>
      <c r="K43" s="47" t="s">
        <v>124</v>
      </c>
      <c r="L43" s="52">
        <v>14.6</v>
      </c>
      <c r="M43" s="47">
        <v>14.6</v>
      </c>
      <c r="N43" s="45" t="s">
        <v>10</v>
      </c>
      <c r="O43" s="48" t="s">
        <v>73</v>
      </c>
      <c r="P43" s="49" t="s">
        <v>277</v>
      </c>
      <c r="Q43" s="45" t="s">
        <v>143</v>
      </c>
      <c r="R43" s="49" t="s">
        <v>278</v>
      </c>
      <c r="S43" s="49" t="s">
        <v>124</v>
      </c>
      <c r="T43" s="49" t="s">
        <v>124</v>
      </c>
      <c r="U43" s="49" t="s">
        <v>124</v>
      </c>
      <c r="V43" s="49" t="s">
        <v>124</v>
      </c>
      <c r="W43" s="49" t="s">
        <v>124</v>
      </c>
      <c r="X43" s="49" t="s">
        <v>124</v>
      </c>
      <c r="Y43" s="50" t="str">
        <f>IF(CCUS_Projects_Database!$R43&lt;&gt;"",HYPERLINK(CCUS_Projects_Database!$R43,"Link 1"),"")</f>
        <v>Link 1</v>
      </c>
      <c r="Z43" s="50" t="str">
        <f>IF(CCUS_Projects_Database!$S43&lt;&gt;"",HYPERLINK(CCUS_Projects_Database!$S43,"Link 2"),"")</f>
        <v/>
      </c>
      <c r="AA43" s="50" t="str">
        <f>IF(CCUS_Projects_Database!$T43&lt;&gt;"",HYPERLINK(CCUS_Projects_Database!$T43,"Link 3"),"")</f>
        <v/>
      </c>
      <c r="AB43" s="50" t="str">
        <f>IF(CCUS_Projects_Database!$U43&lt;&gt;"",HYPERLINK(CCUS_Projects_Database!$U43,"Link 4"),"")</f>
        <v/>
      </c>
      <c r="AC43" s="50" t="str">
        <f>IF(CCUS_Projects_Database!$V43&lt;&gt;"",HYPERLINK(CCUS_Projects_Database!$V43,"Link 5"),"")</f>
        <v/>
      </c>
      <c r="AD43" s="50" t="str">
        <f>IF(CCUS_Projects_Database!$W43&lt;&gt;"",HYPERLINK(CCUS_Projects_Database!$W43,"Link 6"),"")</f>
        <v/>
      </c>
      <c r="AE43" s="50" t="str">
        <f>IF(CCUS_Projects_Database!$X43&lt;&gt;"",HYPERLINK(CCUS_Projects_Database!$X43,"Link 7"),"")</f>
        <v/>
      </c>
    </row>
    <row r="44" ht="15.75" customHeight="1">
      <c r="A44" s="37" t="s">
        <v>279</v>
      </c>
      <c r="B44" s="38">
        <v>1107.0</v>
      </c>
      <c r="C44" s="38" t="s">
        <v>157</v>
      </c>
      <c r="D44" s="39" t="s">
        <v>280</v>
      </c>
      <c r="E44" s="38" t="s">
        <v>8</v>
      </c>
      <c r="F44" s="38">
        <v>2021.0</v>
      </c>
      <c r="G44" s="38" t="s">
        <v>124</v>
      </c>
      <c r="H44" s="38" t="s">
        <v>124</v>
      </c>
      <c r="I44" s="38" t="s">
        <v>124</v>
      </c>
      <c r="J44" s="38" t="s">
        <v>28</v>
      </c>
      <c r="K44" s="40" t="s">
        <v>124</v>
      </c>
      <c r="L44" s="40"/>
      <c r="M44" s="40" t="s">
        <v>124</v>
      </c>
      <c r="N44" s="38" t="s">
        <v>50</v>
      </c>
      <c r="O44" s="41" t="s">
        <v>71</v>
      </c>
      <c r="P44" s="42" t="s">
        <v>281</v>
      </c>
      <c r="Q44" s="38" t="s">
        <v>125</v>
      </c>
      <c r="R44" s="42" t="s">
        <v>282</v>
      </c>
      <c r="S44" s="42" t="s">
        <v>124</v>
      </c>
      <c r="T44" s="42" t="s">
        <v>124</v>
      </c>
      <c r="U44" s="42" t="s">
        <v>124</v>
      </c>
      <c r="V44" s="42" t="s">
        <v>124</v>
      </c>
      <c r="W44" s="42" t="s">
        <v>124</v>
      </c>
      <c r="X44" s="42" t="s">
        <v>124</v>
      </c>
      <c r="Y44" s="43" t="str">
        <f>IF(CCUS_Projects_Database!$R44&lt;&gt;"",HYPERLINK(CCUS_Projects_Database!$R44,"Link 1"),"")</f>
        <v>Link 1</v>
      </c>
      <c r="Z44" s="43" t="str">
        <f>IF(CCUS_Projects_Database!$S44&lt;&gt;"",HYPERLINK(CCUS_Projects_Database!$S44,"Link 2"),"")</f>
        <v/>
      </c>
      <c r="AA44" s="43" t="str">
        <f>IF(CCUS_Projects_Database!$T44&lt;&gt;"",HYPERLINK(CCUS_Projects_Database!$T44,"Link 3"),"")</f>
        <v/>
      </c>
      <c r="AB44" s="43" t="str">
        <f>IF(CCUS_Projects_Database!$U44&lt;&gt;"",HYPERLINK(CCUS_Projects_Database!$U44,"Link 4"),"")</f>
        <v/>
      </c>
      <c r="AC44" s="43" t="str">
        <f>IF(CCUS_Projects_Database!$V44&lt;&gt;"",HYPERLINK(CCUS_Projects_Database!$V44,"Link 5"),"")</f>
        <v/>
      </c>
      <c r="AD44" s="43" t="str">
        <f>IF(CCUS_Projects_Database!$W44&lt;&gt;"",HYPERLINK(CCUS_Projects_Database!$W44,"Link 6"),"")</f>
        <v/>
      </c>
      <c r="AE44" s="43" t="str">
        <f>IF(CCUS_Projects_Database!$X44&lt;&gt;"",HYPERLINK(CCUS_Projects_Database!$X44,"Link 7"),"")</f>
        <v/>
      </c>
    </row>
    <row r="45" ht="15.75" customHeight="1">
      <c r="A45" s="44" t="s">
        <v>283</v>
      </c>
      <c r="B45" s="45">
        <v>28.0</v>
      </c>
      <c r="C45" s="45" t="s">
        <v>284</v>
      </c>
      <c r="D45" s="46" t="s">
        <v>285</v>
      </c>
      <c r="E45" s="45" t="s">
        <v>14</v>
      </c>
      <c r="F45" s="45">
        <v>2020.0</v>
      </c>
      <c r="G45" s="45" t="s">
        <v>124</v>
      </c>
      <c r="H45" s="45" t="s">
        <v>124</v>
      </c>
      <c r="I45" s="45" t="s">
        <v>124</v>
      </c>
      <c r="J45" s="45" t="s">
        <v>28</v>
      </c>
      <c r="K45" s="47">
        <v>2.0</v>
      </c>
      <c r="L45" s="52">
        <v>3.0</v>
      </c>
      <c r="M45" s="47">
        <v>3.0</v>
      </c>
      <c r="N45" s="45" t="s">
        <v>14</v>
      </c>
      <c r="O45" s="48" t="s">
        <v>71</v>
      </c>
      <c r="P45" s="49" t="s">
        <v>286</v>
      </c>
      <c r="Q45" s="45" t="s">
        <v>125</v>
      </c>
      <c r="R45" s="49" t="s">
        <v>287</v>
      </c>
      <c r="S45" s="49" t="s">
        <v>288</v>
      </c>
      <c r="T45" s="49" t="s">
        <v>289</v>
      </c>
      <c r="U45" s="49" t="s">
        <v>287</v>
      </c>
      <c r="V45" s="49" t="s">
        <v>288</v>
      </c>
      <c r="W45" s="49" t="s">
        <v>124</v>
      </c>
      <c r="X45" s="49" t="s">
        <v>124</v>
      </c>
      <c r="Y45" s="50" t="str">
        <f>IF(CCUS_Projects_Database!$R45&lt;&gt;"",HYPERLINK(CCUS_Projects_Database!$R45,"Link 1"),"")</f>
        <v>Link 1</v>
      </c>
      <c r="Z45" s="50" t="str">
        <f>IF(CCUS_Projects_Database!$S45&lt;&gt;"",HYPERLINK(CCUS_Projects_Database!$S45,"Link 2"),"")</f>
        <v>Link 2</v>
      </c>
      <c r="AA45" s="50" t="str">
        <f>IF(CCUS_Projects_Database!$T45&lt;&gt;"",HYPERLINK(CCUS_Projects_Database!$T45,"Link 3"),"")</f>
        <v>Link 3</v>
      </c>
      <c r="AB45" s="50" t="str">
        <f>IF(CCUS_Projects_Database!$U45&lt;&gt;"",HYPERLINK(CCUS_Projects_Database!$U45,"Link 4"),"")</f>
        <v>Link 4</v>
      </c>
      <c r="AC45" s="50" t="str">
        <f>IF(CCUS_Projects_Database!$V45&lt;&gt;"",HYPERLINK(CCUS_Projects_Database!$V45,"Link 5"),"")</f>
        <v>Link 5</v>
      </c>
      <c r="AD45" s="50" t="str">
        <f>IF(CCUS_Projects_Database!$W45&lt;&gt;"",HYPERLINK(CCUS_Projects_Database!$W45,"Link 6"),"")</f>
        <v/>
      </c>
      <c r="AE45" s="50" t="str">
        <f>IF(CCUS_Projects_Database!$X45&lt;&gt;"",HYPERLINK(CCUS_Projects_Database!$X45,"Link 7"),"")</f>
        <v/>
      </c>
    </row>
    <row r="46" ht="15.75" customHeight="1">
      <c r="A46" s="37" t="s">
        <v>290</v>
      </c>
      <c r="B46" s="38">
        <v>29.0</v>
      </c>
      <c r="C46" s="38" t="s">
        <v>291</v>
      </c>
      <c r="D46" s="39" t="s">
        <v>292</v>
      </c>
      <c r="E46" s="38" t="s">
        <v>8</v>
      </c>
      <c r="F46" s="38">
        <v>2022.0</v>
      </c>
      <c r="G46" s="38" t="s">
        <v>124</v>
      </c>
      <c r="H46" s="38" t="s">
        <v>124</v>
      </c>
      <c r="I46" s="38" t="s">
        <v>124</v>
      </c>
      <c r="J46" s="38" t="s">
        <v>28</v>
      </c>
      <c r="K46" s="40" t="s">
        <v>124</v>
      </c>
      <c r="L46" s="40"/>
      <c r="M46" s="40" t="s">
        <v>124</v>
      </c>
      <c r="N46" s="38" t="s">
        <v>62</v>
      </c>
      <c r="O46" s="41" t="s">
        <v>77</v>
      </c>
      <c r="P46" s="42" t="s">
        <v>124</v>
      </c>
      <c r="Q46" s="38" t="s">
        <v>137</v>
      </c>
      <c r="R46" s="42" t="s">
        <v>293</v>
      </c>
      <c r="S46" s="42" t="s">
        <v>124</v>
      </c>
      <c r="T46" s="42" t="s">
        <v>124</v>
      </c>
      <c r="U46" s="42" t="s">
        <v>124</v>
      </c>
      <c r="V46" s="42" t="s">
        <v>124</v>
      </c>
      <c r="W46" s="42" t="s">
        <v>124</v>
      </c>
      <c r="X46" s="42" t="s">
        <v>124</v>
      </c>
      <c r="Y46" s="43" t="str">
        <f>IF(CCUS_Projects_Database!$R46&lt;&gt;"",HYPERLINK(CCUS_Projects_Database!$R46,"Link 1"),"")</f>
        <v>Link 1</v>
      </c>
      <c r="Z46" s="43" t="str">
        <f>IF(CCUS_Projects_Database!$S46&lt;&gt;"",HYPERLINK(CCUS_Projects_Database!$S46,"Link 2"),"")</f>
        <v/>
      </c>
      <c r="AA46" s="43" t="str">
        <f>IF(CCUS_Projects_Database!$T46&lt;&gt;"",HYPERLINK(CCUS_Projects_Database!$T46,"Link 3"),"")</f>
        <v/>
      </c>
      <c r="AB46" s="43" t="str">
        <f>IF(CCUS_Projects_Database!$U46&lt;&gt;"",HYPERLINK(CCUS_Projects_Database!$U46,"Link 4"),"")</f>
        <v/>
      </c>
      <c r="AC46" s="43" t="str">
        <f>IF(CCUS_Projects_Database!$V46&lt;&gt;"",HYPERLINK(CCUS_Projects_Database!$V46,"Link 5"),"")</f>
        <v/>
      </c>
      <c r="AD46" s="43" t="str">
        <f>IF(CCUS_Projects_Database!$W46&lt;&gt;"",HYPERLINK(CCUS_Projects_Database!$W46,"Link 6"),"")</f>
        <v/>
      </c>
      <c r="AE46" s="43" t="str">
        <f>IF(CCUS_Projects_Database!$X46&lt;&gt;"",HYPERLINK(CCUS_Projects_Database!$X46,"Link 7"),"")</f>
        <v/>
      </c>
    </row>
    <row r="47" ht="15.75" customHeight="1">
      <c r="A47" s="44" t="s">
        <v>294</v>
      </c>
      <c r="B47" s="45">
        <v>809.0</v>
      </c>
      <c r="C47" s="45" t="s">
        <v>122</v>
      </c>
      <c r="D47" s="46" t="s">
        <v>295</v>
      </c>
      <c r="E47" s="45" t="s">
        <v>8</v>
      </c>
      <c r="F47" s="45">
        <v>2021.0</v>
      </c>
      <c r="G47" s="45" t="s">
        <v>124</v>
      </c>
      <c r="H47" s="45" t="s">
        <v>124</v>
      </c>
      <c r="I47" s="45" t="s">
        <v>124</v>
      </c>
      <c r="J47" s="45" t="s">
        <v>28</v>
      </c>
      <c r="K47" s="47" t="s">
        <v>124</v>
      </c>
      <c r="L47" s="52">
        <v>0.24</v>
      </c>
      <c r="M47" s="47">
        <v>0.24</v>
      </c>
      <c r="N47" s="45" t="s">
        <v>62</v>
      </c>
      <c r="O47" s="48" t="s">
        <v>77</v>
      </c>
      <c r="P47" s="49" t="s">
        <v>124</v>
      </c>
      <c r="Q47" s="45" t="s">
        <v>125</v>
      </c>
      <c r="R47" s="49" t="s">
        <v>296</v>
      </c>
      <c r="S47" s="49" t="s">
        <v>297</v>
      </c>
      <c r="T47" s="49" t="s">
        <v>124</v>
      </c>
      <c r="U47" s="49" t="s">
        <v>124</v>
      </c>
      <c r="V47" s="49" t="s">
        <v>124</v>
      </c>
      <c r="W47" s="49" t="s">
        <v>124</v>
      </c>
      <c r="X47" s="49" t="s">
        <v>124</v>
      </c>
      <c r="Y47" s="50" t="str">
        <f>IF(CCUS_Projects_Database!$R47&lt;&gt;"",HYPERLINK(CCUS_Projects_Database!$R47,"Link 1"),"")</f>
        <v>Link 1</v>
      </c>
      <c r="Z47" s="50" t="str">
        <f>IF(CCUS_Projects_Database!$S47&lt;&gt;"",HYPERLINK(CCUS_Projects_Database!$S47,"Link 2"),"")</f>
        <v>Link 2</v>
      </c>
      <c r="AA47" s="50" t="str">
        <f>IF(CCUS_Projects_Database!$T47&lt;&gt;"",HYPERLINK(CCUS_Projects_Database!$T47,"Link 3"),"")</f>
        <v/>
      </c>
      <c r="AB47" s="50" t="str">
        <f>IF(CCUS_Projects_Database!$U47&lt;&gt;"",HYPERLINK(CCUS_Projects_Database!$U47,"Link 4"),"")</f>
        <v/>
      </c>
      <c r="AC47" s="50" t="str">
        <f>IF(CCUS_Projects_Database!$V47&lt;&gt;"",HYPERLINK(CCUS_Projects_Database!$V47,"Link 5"),"")</f>
        <v/>
      </c>
      <c r="AD47" s="50" t="str">
        <f>IF(CCUS_Projects_Database!$W47&lt;&gt;"",HYPERLINK(CCUS_Projects_Database!$W47,"Link 6"),"")</f>
        <v/>
      </c>
      <c r="AE47" s="50" t="str">
        <f>IF(CCUS_Projects_Database!$X47&lt;&gt;"",HYPERLINK(CCUS_Projects_Database!$X47,"Link 7"),"")</f>
        <v/>
      </c>
    </row>
    <row r="48" ht="15.75" customHeight="1">
      <c r="A48" s="37" t="s">
        <v>298</v>
      </c>
      <c r="B48" s="38">
        <v>89.0</v>
      </c>
      <c r="C48" s="38" t="s">
        <v>299</v>
      </c>
      <c r="D48" s="39" t="s">
        <v>300</v>
      </c>
      <c r="E48" s="38" t="s">
        <v>8</v>
      </c>
      <c r="F48" s="38">
        <v>2020.0</v>
      </c>
      <c r="G48" s="38" t="s">
        <v>124</v>
      </c>
      <c r="H48" s="38">
        <v>2025.0</v>
      </c>
      <c r="I48" s="38" t="s">
        <v>124</v>
      </c>
      <c r="J48" s="38" t="s">
        <v>28</v>
      </c>
      <c r="K48" s="40" t="s">
        <v>124</v>
      </c>
      <c r="L48" s="51">
        <v>0.5</v>
      </c>
      <c r="M48" s="40">
        <v>0.5</v>
      </c>
      <c r="N48" s="38" t="s">
        <v>46</v>
      </c>
      <c r="O48" s="41" t="s">
        <v>71</v>
      </c>
      <c r="P48" s="42" t="s">
        <v>124</v>
      </c>
      <c r="Q48" s="38" t="s">
        <v>125</v>
      </c>
      <c r="R48" s="42" t="s">
        <v>301</v>
      </c>
      <c r="S48" s="42" t="s">
        <v>302</v>
      </c>
      <c r="T48" s="42" t="s">
        <v>303</v>
      </c>
      <c r="U48" s="42" t="s">
        <v>304</v>
      </c>
      <c r="V48" s="42" t="s">
        <v>124</v>
      </c>
      <c r="W48" s="42" t="s">
        <v>124</v>
      </c>
      <c r="X48" s="42" t="s">
        <v>124</v>
      </c>
      <c r="Y48" s="43" t="str">
        <f>IF(CCUS_Projects_Database!$R48&lt;&gt;"",HYPERLINK(CCUS_Projects_Database!$R48,"Link 1"),"")</f>
        <v>Link 1</v>
      </c>
      <c r="Z48" s="43" t="str">
        <f>IF(CCUS_Projects_Database!$S48&lt;&gt;"",HYPERLINK(CCUS_Projects_Database!$S48,"Link 2"),"")</f>
        <v>Link 2</v>
      </c>
      <c r="AA48" s="43" t="str">
        <f>IF(CCUS_Projects_Database!$T48&lt;&gt;"",HYPERLINK(CCUS_Projects_Database!$T48,"Link 3"),"")</f>
        <v>Link 3</v>
      </c>
      <c r="AB48" s="43" t="str">
        <f>IF(CCUS_Projects_Database!$U48&lt;&gt;"",HYPERLINK(CCUS_Projects_Database!$U48,"Link 4"),"")</f>
        <v>Link 4</v>
      </c>
      <c r="AC48" s="43" t="str">
        <f>IF(CCUS_Projects_Database!$V48&lt;&gt;"",HYPERLINK(CCUS_Projects_Database!$V48,"Link 5"),"")</f>
        <v/>
      </c>
      <c r="AD48" s="43" t="str">
        <f>IF(CCUS_Projects_Database!$W48&lt;&gt;"",HYPERLINK(CCUS_Projects_Database!$W48,"Link 6"),"")</f>
        <v/>
      </c>
      <c r="AE48" s="43" t="str">
        <f>IF(CCUS_Projects_Database!$X48&lt;&gt;"",HYPERLINK(CCUS_Projects_Database!$X48,"Link 7"),"")</f>
        <v/>
      </c>
    </row>
    <row r="49" ht="15.75" customHeight="1">
      <c r="A49" s="44" t="s">
        <v>305</v>
      </c>
      <c r="B49" s="45">
        <v>560.0</v>
      </c>
      <c r="C49" s="45" t="s">
        <v>306</v>
      </c>
      <c r="D49" s="46" t="s">
        <v>307</v>
      </c>
      <c r="E49" s="45" t="s">
        <v>6</v>
      </c>
      <c r="F49" s="45">
        <v>2022.0</v>
      </c>
      <c r="G49" s="45" t="s">
        <v>124</v>
      </c>
      <c r="H49" s="45">
        <v>2028.0</v>
      </c>
      <c r="I49" s="45" t="s">
        <v>124</v>
      </c>
      <c r="J49" s="45" t="s">
        <v>28</v>
      </c>
      <c r="K49" s="47">
        <v>1.0</v>
      </c>
      <c r="L49" s="52">
        <v>0.8</v>
      </c>
      <c r="M49" s="47">
        <v>0.8</v>
      </c>
      <c r="N49" s="45" t="s">
        <v>56</v>
      </c>
      <c r="O49" s="48" t="s">
        <v>71</v>
      </c>
      <c r="P49" s="49" t="s">
        <v>124</v>
      </c>
      <c r="Q49" s="45" t="s">
        <v>125</v>
      </c>
      <c r="R49" s="49" t="s">
        <v>308</v>
      </c>
      <c r="S49" s="49" t="s">
        <v>309</v>
      </c>
      <c r="T49" s="49" t="s">
        <v>124</v>
      </c>
      <c r="U49" s="49" t="s">
        <v>124</v>
      </c>
      <c r="V49" s="49" t="s">
        <v>124</v>
      </c>
      <c r="W49" s="49" t="s">
        <v>124</v>
      </c>
      <c r="X49" s="49" t="s">
        <v>124</v>
      </c>
      <c r="Y49" s="50" t="str">
        <f>IF(CCUS_Projects_Database!$R49&lt;&gt;"",HYPERLINK(CCUS_Projects_Database!$R49,"Link 1"),"")</f>
        <v>Link 1</v>
      </c>
      <c r="Z49" s="50" t="str">
        <f>IF(CCUS_Projects_Database!$S49&lt;&gt;"",HYPERLINK(CCUS_Projects_Database!$S49,"Link 2"),"")</f>
        <v>Link 2</v>
      </c>
      <c r="AA49" s="50" t="str">
        <f>IF(CCUS_Projects_Database!$T49&lt;&gt;"",HYPERLINK(CCUS_Projects_Database!$T49,"Link 3"),"")</f>
        <v/>
      </c>
      <c r="AB49" s="50" t="str">
        <f>IF(CCUS_Projects_Database!$U49&lt;&gt;"",HYPERLINK(CCUS_Projects_Database!$U49,"Link 4"),"")</f>
        <v/>
      </c>
      <c r="AC49" s="50" t="str">
        <f>IF(CCUS_Projects_Database!$V49&lt;&gt;"",HYPERLINK(CCUS_Projects_Database!$V49,"Link 5"),"")</f>
        <v/>
      </c>
      <c r="AD49" s="50" t="str">
        <f>IF(CCUS_Projects_Database!$W49&lt;&gt;"",HYPERLINK(CCUS_Projects_Database!$W49,"Link 6"),"")</f>
        <v/>
      </c>
      <c r="AE49" s="50" t="str">
        <f>IF(CCUS_Projects_Database!$X49&lt;&gt;"",HYPERLINK(CCUS_Projects_Database!$X49,"Link 7"),"")</f>
        <v/>
      </c>
    </row>
    <row r="50" ht="15.75" customHeight="1">
      <c r="A50" s="37" t="s">
        <v>310</v>
      </c>
      <c r="B50" s="38">
        <v>31.0</v>
      </c>
      <c r="C50" s="38" t="s">
        <v>311</v>
      </c>
      <c r="D50" s="39" t="s">
        <v>312</v>
      </c>
      <c r="E50" s="38" t="s">
        <v>10</v>
      </c>
      <c r="F50" s="38">
        <v>2019.0</v>
      </c>
      <c r="G50" s="38">
        <v>2024.0</v>
      </c>
      <c r="H50" s="38">
        <v>2027.0</v>
      </c>
      <c r="I50" s="38" t="s">
        <v>124</v>
      </c>
      <c r="J50" s="38" t="s">
        <v>28</v>
      </c>
      <c r="K50" s="40">
        <v>1.0</v>
      </c>
      <c r="L50" s="51">
        <v>2.5</v>
      </c>
      <c r="M50" s="40">
        <v>2.5</v>
      </c>
      <c r="N50" s="38" t="s">
        <v>10</v>
      </c>
      <c r="O50" s="41" t="s">
        <v>71</v>
      </c>
      <c r="P50" s="42" t="s">
        <v>313</v>
      </c>
      <c r="Q50" s="38" t="s">
        <v>125</v>
      </c>
      <c r="R50" s="42" t="s">
        <v>314</v>
      </c>
      <c r="S50" s="42" t="s">
        <v>315</v>
      </c>
      <c r="T50" s="42" t="s">
        <v>316</v>
      </c>
      <c r="U50" s="42" t="s">
        <v>317</v>
      </c>
      <c r="V50" s="42" t="s">
        <v>124</v>
      </c>
      <c r="W50" s="42" t="s">
        <v>124</v>
      </c>
      <c r="X50" s="42" t="s">
        <v>124</v>
      </c>
      <c r="Y50" s="43" t="str">
        <f>IF(CCUS_Projects_Database!$R50&lt;&gt;"",HYPERLINK(CCUS_Projects_Database!$R50,"Link 1"),"")</f>
        <v>Link 1</v>
      </c>
      <c r="Z50" s="43" t="str">
        <f>IF(CCUS_Projects_Database!$S50&lt;&gt;"",HYPERLINK(CCUS_Projects_Database!$S50,"Link 2"),"")</f>
        <v>Link 2</v>
      </c>
      <c r="AA50" s="43" t="str">
        <f>IF(CCUS_Projects_Database!$T50&lt;&gt;"",HYPERLINK(CCUS_Projects_Database!$T50,"Link 3"),"")</f>
        <v>Link 3</v>
      </c>
      <c r="AB50" s="43" t="str">
        <f>IF(CCUS_Projects_Database!$U50&lt;&gt;"",HYPERLINK(CCUS_Projects_Database!$U50,"Link 4"),"")</f>
        <v>Link 4</v>
      </c>
      <c r="AC50" s="43" t="str">
        <f>IF(CCUS_Projects_Database!$V50&lt;&gt;"",HYPERLINK(CCUS_Projects_Database!$V50,"Link 5"),"")</f>
        <v/>
      </c>
      <c r="AD50" s="43" t="str">
        <f>IF(CCUS_Projects_Database!$W50&lt;&gt;"",HYPERLINK(CCUS_Projects_Database!$W50,"Link 6"),"")</f>
        <v/>
      </c>
      <c r="AE50" s="43" t="str">
        <f>IF(CCUS_Projects_Database!$X50&lt;&gt;"",HYPERLINK(CCUS_Projects_Database!$X50,"Link 7"),"")</f>
        <v/>
      </c>
    </row>
    <row r="51" ht="15.75" customHeight="1">
      <c r="A51" s="44" t="s">
        <v>318</v>
      </c>
      <c r="B51" s="45">
        <v>585.0</v>
      </c>
      <c r="C51" s="45" t="s">
        <v>311</v>
      </c>
      <c r="D51" s="46" t="s">
        <v>312</v>
      </c>
      <c r="E51" s="45" t="s">
        <v>10</v>
      </c>
      <c r="F51" s="45">
        <v>2019.0</v>
      </c>
      <c r="G51" s="45">
        <v>2024.0</v>
      </c>
      <c r="H51" s="45">
        <v>2030.0</v>
      </c>
      <c r="I51" s="45" t="s">
        <v>124</v>
      </c>
      <c r="J51" s="45" t="s">
        <v>28</v>
      </c>
      <c r="K51" s="47">
        <v>2.0</v>
      </c>
      <c r="L51" s="52">
        <v>7.5</v>
      </c>
      <c r="M51" s="47">
        <v>7.5</v>
      </c>
      <c r="N51" s="45" t="s">
        <v>10</v>
      </c>
      <c r="O51" s="48" t="s">
        <v>71</v>
      </c>
      <c r="P51" s="49" t="s">
        <v>313</v>
      </c>
      <c r="Q51" s="45" t="s">
        <v>125</v>
      </c>
      <c r="R51" s="49" t="s">
        <v>124</v>
      </c>
      <c r="S51" s="49" t="s">
        <v>124</v>
      </c>
      <c r="T51" s="49" t="s">
        <v>124</v>
      </c>
      <c r="U51" s="49" t="s">
        <v>124</v>
      </c>
      <c r="V51" s="49" t="s">
        <v>124</v>
      </c>
      <c r="W51" s="49" t="s">
        <v>124</v>
      </c>
      <c r="X51" s="49" t="s">
        <v>124</v>
      </c>
      <c r="Y51" s="50" t="str">
        <f>IF(CCUS_Projects_Database!$R51&lt;&gt;"",HYPERLINK(CCUS_Projects_Database!$R51,"Link 1"),"")</f>
        <v/>
      </c>
      <c r="Z51" s="50" t="str">
        <f>IF(CCUS_Projects_Database!$S51&lt;&gt;"",HYPERLINK(CCUS_Projects_Database!$S51,"Link 2"),"")</f>
        <v/>
      </c>
      <c r="AA51" s="50" t="str">
        <f>IF(CCUS_Projects_Database!$T51&lt;&gt;"",HYPERLINK(CCUS_Projects_Database!$T51,"Link 3"),"")</f>
        <v/>
      </c>
      <c r="AB51" s="50" t="str">
        <f>IF(CCUS_Projects_Database!$U51&lt;&gt;"",HYPERLINK(CCUS_Projects_Database!$U51,"Link 4"),"")</f>
        <v/>
      </c>
      <c r="AC51" s="50" t="str">
        <f>IF(CCUS_Projects_Database!$V51&lt;&gt;"",HYPERLINK(CCUS_Projects_Database!$V51,"Link 5"),"")</f>
        <v/>
      </c>
      <c r="AD51" s="50" t="str">
        <f>IF(CCUS_Projects_Database!$W51&lt;&gt;"",HYPERLINK(CCUS_Projects_Database!$W51,"Link 6"),"")</f>
        <v/>
      </c>
      <c r="AE51" s="50" t="str">
        <f>IF(CCUS_Projects_Database!$X51&lt;&gt;"",HYPERLINK(CCUS_Projects_Database!$X51,"Link 7"),"")</f>
        <v/>
      </c>
    </row>
    <row r="52" ht="15.75" customHeight="1">
      <c r="A52" s="37" t="s">
        <v>319</v>
      </c>
      <c r="B52" s="38">
        <v>1010.0</v>
      </c>
      <c r="C52" s="38" t="s">
        <v>141</v>
      </c>
      <c r="D52" s="39" t="s">
        <v>320</v>
      </c>
      <c r="E52" s="38" t="s">
        <v>12</v>
      </c>
      <c r="F52" s="38">
        <v>2022.0</v>
      </c>
      <c r="G52" s="38" t="s">
        <v>124</v>
      </c>
      <c r="H52" s="38" t="s">
        <v>124</v>
      </c>
      <c r="I52" s="38" t="s">
        <v>124</v>
      </c>
      <c r="J52" s="38" t="s">
        <v>28</v>
      </c>
      <c r="K52" s="40" t="s">
        <v>124</v>
      </c>
      <c r="L52" s="40"/>
      <c r="M52" s="40" t="s">
        <v>124</v>
      </c>
      <c r="N52" s="38" t="s">
        <v>12</v>
      </c>
      <c r="O52" s="41" t="s">
        <v>71</v>
      </c>
      <c r="P52" s="42" t="s">
        <v>321</v>
      </c>
      <c r="Q52" s="38" t="s">
        <v>143</v>
      </c>
      <c r="R52" s="42" t="s">
        <v>322</v>
      </c>
      <c r="S52" s="42" t="s">
        <v>323</v>
      </c>
      <c r="T52" s="42" t="s">
        <v>124</v>
      </c>
      <c r="U52" s="42" t="s">
        <v>124</v>
      </c>
      <c r="V52" s="42" t="s">
        <v>124</v>
      </c>
      <c r="W52" s="42" t="s">
        <v>124</v>
      </c>
      <c r="X52" s="42" t="s">
        <v>124</v>
      </c>
      <c r="Y52" s="43" t="str">
        <f>IF(CCUS_Projects_Database!$R52&lt;&gt;"",HYPERLINK(CCUS_Projects_Database!$R52,"Link 1"),"")</f>
        <v>Link 1</v>
      </c>
      <c r="Z52" s="43" t="str">
        <f>IF(CCUS_Projects_Database!$S52&lt;&gt;"",HYPERLINK(CCUS_Projects_Database!$S52,"Link 2"),"")</f>
        <v>Link 2</v>
      </c>
      <c r="AA52" s="43" t="str">
        <f>IF(CCUS_Projects_Database!$T52&lt;&gt;"",HYPERLINK(CCUS_Projects_Database!$T52,"Link 3"),"")</f>
        <v/>
      </c>
      <c r="AB52" s="43" t="str">
        <f>IF(CCUS_Projects_Database!$U52&lt;&gt;"",HYPERLINK(CCUS_Projects_Database!$U52,"Link 4"),"")</f>
        <v/>
      </c>
      <c r="AC52" s="43" t="str">
        <f>IF(CCUS_Projects_Database!$V52&lt;&gt;"",HYPERLINK(CCUS_Projects_Database!$V52,"Link 5"),"")</f>
        <v/>
      </c>
      <c r="AD52" s="43" t="str">
        <f>IF(CCUS_Projects_Database!$W52&lt;&gt;"",HYPERLINK(CCUS_Projects_Database!$W52,"Link 6"),"")</f>
        <v/>
      </c>
      <c r="AE52" s="43" t="str">
        <f>IF(CCUS_Projects_Database!$X52&lt;&gt;"",HYPERLINK(CCUS_Projects_Database!$X52,"Link 7"),"")</f>
        <v/>
      </c>
    </row>
    <row r="53" ht="15.75" customHeight="1">
      <c r="A53" s="44" t="s">
        <v>324</v>
      </c>
      <c r="B53" s="45">
        <v>32.0</v>
      </c>
      <c r="C53" s="45" t="s">
        <v>204</v>
      </c>
      <c r="D53" s="46" t="s">
        <v>325</v>
      </c>
      <c r="E53" s="45" t="s">
        <v>12</v>
      </c>
      <c r="F53" s="45">
        <v>2019.0</v>
      </c>
      <c r="G53" s="45">
        <v>2025.0</v>
      </c>
      <c r="H53" s="45">
        <v>2029.0</v>
      </c>
      <c r="I53" s="45" t="s">
        <v>124</v>
      </c>
      <c r="J53" s="45" t="s">
        <v>28</v>
      </c>
      <c r="K53" s="47">
        <v>1.0</v>
      </c>
      <c r="L53" s="52">
        <v>7.7</v>
      </c>
      <c r="M53" s="47">
        <v>7.7</v>
      </c>
      <c r="N53" s="45" t="s">
        <v>12</v>
      </c>
      <c r="O53" s="48" t="s">
        <v>71</v>
      </c>
      <c r="P53" s="49" t="s">
        <v>326</v>
      </c>
      <c r="Q53" s="45" t="s">
        <v>125</v>
      </c>
      <c r="R53" s="49" t="s">
        <v>327</v>
      </c>
      <c r="S53" s="49" t="s">
        <v>328</v>
      </c>
      <c r="T53" s="49" t="s">
        <v>329</v>
      </c>
      <c r="U53" s="49" t="s">
        <v>330</v>
      </c>
      <c r="V53" s="49" t="s">
        <v>331</v>
      </c>
      <c r="W53" s="49" t="s">
        <v>124</v>
      </c>
      <c r="X53" s="49" t="s">
        <v>124</v>
      </c>
      <c r="Y53" s="50" t="str">
        <f>IF(CCUS_Projects_Database!$R53&lt;&gt;"",HYPERLINK(CCUS_Projects_Database!$R53,"Link 1"),"")</f>
        <v>Link 1</v>
      </c>
      <c r="Z53" s="50" t="str">
        <f>IF(CCUS_Projects_Database!$S53&lt;&gt;"",HYPERLINK(CCUS_Projects_Database!$S53,"Link 2"),"")</f>
        <v>Link 2</v>
      </c>
      <c r="AA53" s="50" t="str">
        <f>IF(CCUS_Projects_Database!$T53&lt;&gt;"",HYPERLINK(CCUS_Projects_Database!$T53,"Link 3"),"")</f>
        <v>Link 3</v>
      </c>
      <c r="AB53" s="50" t="str">
        <f>IF(CCUS_Projects_Database!$U53&lt;&gt;"",HYPERLINK(CCUS_Projects_Database!$U53,"Link 4"),"")</f>
        <v>Link 4</v>
      </c>
      <c r="AC53" s="50" t="str">
        <f>IF(CCUS_Projects_Database!$V53&lt;&gt;"",HYPERLINK(CCUS_Projects_Database!$V53,"Link 5"),"")</f>
        <v>Link 5</v>
      </c>
      <c r="AD53" s="50" t="str">
        <f>IF(CCUS_Projects_Database!$W53&lt;&gt;"",HYPERLINK(CCUS_Projects_Database!$W53,"Link 6"),"")</f>
        <v/>
      </c>
      <c r="AE53" s="50" t="str">
        <f>IF(CCUS_Projects_Database!$X53&lt;&gt;"",HYPERLINK(CCUS_Projects_Database!$X53,"Link 7"),"")</f>
        <v/>
      </c>
    </row>
    <row r="54" ht="15.75" customHeight="1">
      <c r="A54" s="37" t="s">
        <v>332</v>
      </c>
      <c r="B54" s="38">
        <v>33.0</v>
      </c>
      <c r="C54" s="38" t="s">
        <v>204</v>
      </c>
      <c r="D54" s="39" t="s">
        <v>333</v>
      </c>
      <c r="E54" s="38" t="s">
        <v>12</v>
      </c>
      <c r="F54" s="38">
        <v>2019.0</v>
      </c>
      <c r="G54" s="38" t="s">
        <v>124</v>
      </c>
      <c r="H54" s="38">
        <v>2030.0</v>
      </c>
      <c r="I54" s="38" t="s">
        <v>124</v>
      </c>
      <c r="J54" s="38" t="s">
        <v>28</v>
      </c>
      <c r="K54" s="40">
        <v>2.0</v>
      </c>
      <c r="L54" s="51">
        <v>3.1</v>
      </c>
      <c r="M54" s="40">
        <v>3.1</v>
      </c>
      <c r="N54" s="38" t="s">
        <v>12</v>
      </c>
      <c r="O54" s="41" t="s">
        <v>71</v>
      </c>
      <c r="P54" s="42" t="s">
        <v>326</v>
      </c>
      <c r="Q54" s="38" t="s">
        <v>125</v>
      </c>
      <c r="R54" s="42" t="s">
        <v>327</v>
      </c>
      <c r="S54" s="42" t="s">
        <v>329</v>
      </c>
      <c r="T54" s="42" t="s">
        <v>331</v>
      </c>
      <c r="U54" s="42" t="s">
        <v>124</v>
      </c>
      <c r="V54" s="42" t="s">
        <v>124</v>
      </c>
      <c r="W54" s="42" t="s">
        <v>124</v>
      </c>
      <c r="X54" s="42" t="s">
        <v>124</v>
      </c>
      <c r="Y54" s="43" t="str">
        <f>IF(CCUS_Projects_Database!$R54&lt;&gt;"",HYPERLINK(CCUS_Projects_Database!$R54,"Link 1"),"")</f>
        <v>Link 1</v>
      </c>
      <c r="Z54" s="43" t="str">
        <f>IF(CCUS_Projects_Database!$S54&lt;&gt;"",HYPERLINK(CCUS_Projects_Database!$S54,"Link 2"),"")</f>
        <v>Link 2</v>
      </c>
      <c r="AA54" s="43" t="str">
        <f>IF(CCUS_Projects_Database!$T54&lt;&gt;"",HYPERLINK(CCUS_Projects_Database!$T54,"Link 3"),"")</f>
        <v>Link 3</v>
      </c>
      <c r="AB54" s="43" t="str">
        <f>IF(CCUS_Projects_Database!$U54&lt;&gt;"",HYPERLINK(CCUS_Projects_Database!$U54,"Link 4"),"")</f>
        <v/>
      </c>
      <c r="AC54" s="43" t="str">
        <f>IF(CCUS_Projects_Database!$V54&lt;&gt;"",HYPERLINK(CCUS_Projects_Database!$V54,"Link 5"),"")</f>
        <v/>
      </c>
      <c r="AD54" s="43" t="str">
        <f>IF(CCUS_Projects_Database!$W54&lt;&gt;"",HYPERLINK(CCUS_Projects_Database!$W54,"Link 6"),"")</f>
        <v/>
      </c>
      <c r="AE54" s="43" t="str">
        <f>IF(CCUS_Projects_Database!$X54&lt;&gt;"",HYPERLINK(CCUS_Projects_Database!$X54,"Link 7"),"")</f>
        <v/>
      </c>
    </row>
    <row r="55" ht="15.75" customHeight="1">
      <c r="A55" s="44" t="s">
        <v>334</v>
      </c>
      <c r="B55" s="45">
        <v>19.0</v>
      </c>
      <c r="C55" s="45" t="s">
        <v>204</v>
      </c>
      <c r="D55" s="46" t="s">
        <v>325</v>
      </c>
      <c r="E55" s="45" t="s">
        <v>10</v>
      </c>
      <c r="F55" s="45">
        <v>2019.0</v>
      </c>
      <c r="G55" s="45">
        <v>2025.0</v>
      </c>
      <c r="H55" s="45">
        <v>2029.0</v>
      </c>
      <c r="I55" s="45" t="s">
        <v>124</v>
      </c>
      <c r="J55" s="45" t="s">
        <v>28</v>
      </c>
      <c r="K55" s="47">
        <v>1.0</v>
      </c>
      <c r="L55" s="52">
        <v>22.0</v>
      </c>
      <c r="M55" s="47">
        <v>22.0</v>
      </c>
      <c r="N55" s="45" t="s">
        <v>10</v>
      </c>
      <c r="O55" s="48" t="s">
        <v>71</v>
      </c>
      <c r="P55" s="49" t="s">
        <v>326</v>
      </c>
      <c r="Q55" s="45" t="s">
        <v>125</v>
      </c>
      <c r="R55" s="49" t="s">
        <v>327</v>
      </c>
      <c r="S55" s="49" t="s">
        <v>328</v>
      </c>
      <c r="T55" s="49" t="s">
        <v>329</v>
      </c>
      <c r="U55" s="49" t="s">
        <v>330</v>
      </c>
      <c r="V55" s="49" t="s">
        <v>331</v>
      </c>
      <c r="W55" s="49" t="s">
        <v>124</v>
      </c>
      <c r="X55" s="49" t="s">
        <v>124</v>
      </c>
      <c r="Y55" s="50" t="str">
        <f>IF(CCUS_Projects_Database!$R55&lt;&gt;"",HYPERLINK(CCUS_Projects_Database!$R55,"Link 1"),"")</f>
        <v>Link 1</v>
      </c>
      <c r="Z55" s="50" t="str">
        <f>IF(CCUS_Projects_Database!$S55&lt;&gt;"",HYPERLINK(CCUS_Projects_Database!$S55,"Link 2"),"")</f>
        <v>Link 2</v>
      </c>
      <c r="AA55" s="50" t="str">
        <f>IF(CCUS_Projects_Database!$T55&lt;&gt;"",HYPERLINK(CCUS_Projects_Database!$T55,"Link 3"),"")</f>
        <v>Link 3</v>
      </c>
      <c r="AB55" s="50" t="str">
        <f>IF(CCUS_Projects_Database!$U55&lt;&gt;"",HYPERLINK(CCUS_Projects_Database!$U55,"Link 4"),"")</f>
        <v>Link 4</v>
      </c>
      <c r="AC55" s="50" t="str">
        <f>IF(CCUS_Projects_Database!$V55&lt;&gt;"",HYPERLINK(CCUS_Projects_Database!$V55,"Link 5"),"")</f>
        <v>Link 5</v>
      </c>
      <c r="AD55" s="50" t="str">
        <f>IF(CCUS_Projects_Database!$W55&lt;&gt;"",HYPERLINK(CCUS_Projects_Database!$W55,"Link 6"),"")</f>
        <v/>
      </c>
      <c r="AE55" s="50" t="str">
        <f>IF(CCUS_Projects_Database!$X55&lt;&gt;"",HYPERLINK(CCUS_Projects_Database!$X55,"Link 7"),"")</f>
        <v/>
      </c>
    </row>
    <row r="56" ht="15.75" customHeight="1">
      <c r="A56" s="37" t="s">
        <v>335</v>
      </c>
      <c r="B56" s="38">
        <v>34.0</v>
      </c>
      <c r="C56" s="38" t="s">
        <v>311</v>
      </c>
      <c r="D56" s="39" t="s">
        <v>336</v>
      </c>
      <c r="E56" s="38" t="s">
        <v>16</v>
      </c>
      <c r="F56" s="38">
        <v>2011.0</v>
      </c>
      <c r="G56" s="38">
        <v>2015.0</v>
      </c>
      <c r="H56" s="38">
        <v>2022.0</v>
      </c>
      <c r="I56" s="38" t="s">
        <v>124</v>
      </c>
      <c r="J56" s="38" t="s">
        <v>32</v>
      </c>
      <c r="K56" s="40" t="s">
        <v>124</v>
      </c>
      <c r="L56" s="51">
        <v>0.125</v>
      </c>
      <c r="M56" s="40">
        <v>0.125</v>
      </c>
      <c r="N56" s="38" t="s">
        <v>58</v>
      </c>
      <c r="O56" s="41" t="s">
        <v>75</v>
      </c>
      <c r="P56" s="42" t="s">
        <v>124</v>
      </c>
      <c r="Q56" s="38" t="s">
        <v>125</v>
      </c>
      <c r="R56" s="42" t="s">
        <v>337</v>
      </c>
      <c r="S56" s="42" t="s">
        <v>338</v>
      </c>
      <c r="T56" s="42" t="s">
        <v>339</v>
      </c>
      <c r="U56" s="42" t="s">
        <v>340</v>
      </c>
      <c r="V56" s="42" t="s">
        <v>124</v>
      </c>
      <c r="W56" s="42" t="s">
        <v>124</v>
      </c>
      <c r="X56" s="42" t="s">
        <v>124</v>
      </c>
      <c r="Y56" s="43" t="str">
        <f>IF(CCUS_Projects_Database!$R56&lt;&gt;"",HYPERLINK(CCUS_Projects_Database!$R56,"Link 1"),"")</f>
        <v>Link 1</v>
      </c>
      <c r="Z56" s="43" t="str">
        <f>IF(CCUS_Projects_Database!$S56&lt;&gt;"",HYPERLINK(CCUS_Projects_Database!$S56,"Link 2"),"")</f>
        <v>Link 2</v>
      </c>
      <c r="AA56" s="43" t="str">
        <f>IF(CCUS_Projects_Database!$T56&lt;&gt;"",HYPERLINK(CCUS_Projects_Database!$T56,"Link 3"),"")</f>
        <v>Link 3</v>
      </c>
      <c r="AB56" s="43" t="str">
        <f>IF(CCUS_Projects_Database!$U56&lt;&gt;"",HYPERLINK(CCUS_Projects_Database!$U56,"Link 4"),"")</f>
        <v>Link 4</v>
      </c>
      <c r="AC56" s="43" t="str">
        <f>IF(CCUS_Projects_Database!$V56&lt;&gt;"",HYPERLINK(CCUS_Projects_Database!$V56,"Link 5"),"")</f>
        <v/>
      </c>
      <c r="AD56" s="43" t="str">
        <f>IF(CCUS_Projects_Database!$W56&lt;&gt;"",HYPERLINK(CCUS_Projects_Database!$W56,"Link 6"),"")</f>
        <v/>
      </c>
      <c r="AE56" s="43" t="str">
        <f>IF(CCUS_Projects_Database!$X56&lt;&gt;"",HYPERLINK(CCUS_Projects_Database!$X56,"Link 7"),"")</f>
        <v/>
      </c>
    </row>
    <row r="57" ht="15.75" customHeight="1">
      <c r="A57" s="44" t="s">
        <v>341</v>
      </c>
      <c r="B57" s="45">
        <v>582.0</v>
      </c>
      <c r="C57" s="45" t="s">
        <v>122</v>
      </c>
      <c r="D57" s="46" t="s">
        <v>342</v>
      </c>
      <c r="E57" s="45" t="s">
        <v>8</v>
      </c>
      <c r="F57" s="45">
        <v>2020.0</v>
      </c>
      <c r="G57" s="45" t="s">
        <v>124</v>
      </c>
      <c r="H57" s="45" t="s">
        <v>124</v>
      </c>
      <c r="I57" s="45" t="s">
        <v>124</v>
      </c>
      <c r="J57" s="45" t="s">
        <v>28</v>
      </c>
      <c r="K57" s="47">
        <v>2.0</v>
      </c>
      <c r="L57" s="52">
        <v>1.925</v>
      </c>
      <c r="M57" s="47">
        <v>1.0</v>
      </c>
      <c r="N57" s="45" t="s">
        <v>58</v>
      </c>
      <c r="O57" s="48" t="s">
        <v>71</v>
      </c>
      <c r="P57" s="49" t="s">
        <v>124</v>
      </c>
      <c r="Q57" s="45" t="s">
        <v>125</v>
      </c>
      <c r="R57" s="49" t="s">
        <v>343</v>
      </c>
      <c r="S57" s="49" t="s">
        <v>124</v>
      </c>
      <c r="T57" s="49" t="s">
        <v>124</v>
      </c>
      <c r="U57" s="49" t="s">
        <v>124</v>
      </c>
      <c r="V57" s="49" t="s">
        <v>124</v>
      </c>
      <c r="W57" s="49" t="s">
        <v>124</v>
      </c>
      <c r="X57" s="49" t="s">
        <v>124</v>
      </c>
      <c r="Y57" s="50" t="str">
        <f>IF(CCUS_Projects_Database!$R57&lt;&gt;"",HYPERLINK(CCUS_Projects_Database!$R57,"Link 1"),"")</f>
        <v>Link 1</v>
      </c>
      <c r="Z57" s="50" t="str">
        <f>IF(CCUS_Projects_Database!$S57&lt;&gt;"",HYPERLINK(CCUS_Projects_Database!$S57,"Link 2"),"")</f>
        <v/>
      </c>
      <c r="AA57" s="50" t="str">
        <f>IF(CCUS_Projects_Database!$T57&lt;&gt;"",HYPERLINK(CCUS_Projects_Database!$T57,"Link 3"),"")</f>
        <v/>
      </c>
      <c r="AB57" s="50" t="str">
        <f>IF(CCUS_Projects_Database!$U57&lt;&gt;"",HYPERLINK(CCUS_Projects_Database!$U57,"Link 4"),"")</f>
        <v/>
      </c>
      <c r="AC57" s="50" t="str">
        <f>IF(CCUS_Projects_Database!$V57&lt;&gt;"",HYPERLINK(CCUS_Projects_Database!$V57,"Link 5"),"")</f>
        <v/>
      </c>
      <c r="AD57" s="50" t="str">
        <f>IF(CCUS_Projects_Database!$W57&lt;&gt;"",HYPERLINK(CCUS_Projects_Database!$W57,"Link 6"),"")</f>
        <v/>
      </c>
      <c r="AE57" s="50" t="str">
        <f>IF(CCUS_Projects_Database!$X57&lt;&gt;"",HYPERLINK(CCUS_Projects_Database!$X57,"Link 7"),"")</f>
        <v/>
      </c>
    </row>
    <row r="58" ht="15.75" customHeight="1">
      <c r="A58" s="37" t="s">
        <v>344</v>
      </c>
      <c r="B58" s="38">
        <v>729.0</v>
      </c>
      <c r="C58" s="38" t="s">
        <v>299</v>
      </c>
      <c r="D58" s="39" t="s">
        <v>345</v>
      </c>
      <c r="E58" s="38" t="s">
        <v>8</v>
      </c>
      <c r="F58" s="38">
        <v>2021.0</v>
      </c>
      <c r="G58" s="38" t="s">
        <v>124</v>
      </c>
      <c r="H58" s="38">
        <v>2030.0</v>
      </c>
      <c r="I58" s="38" t="s">
        <v>124</v>
      </c>
      <c r="J58" s="38" t="s">
        <v>28</v>
      </c>
      <c r="K58" s="40" t="s">
        <v>124</v>
      </c>
      <c r="L58" s="40"/>
      <c r="M58" s="40" t="s">
        <v>124</v>
      </c>
      <c r="N58" s="38" t="s">
        <v>46</v>
      </c>
      <c r="O58" s="41" t="s">
        <v>77</v>
      </c>
      <c r="P58" s="42" t="s">
        <v>124</v>
      </c>
      <c r="Q58" s="38" t="s">
        <v>125</v>
      </c>
      <c r="R58" s="42" t="s">
        <v>346</v>
      </c>
      <c r="S58" s="42" t="s">
        <v>124</v>
      </c>
      <c r="T58" s="42" t="s">
        <v>124</v>
      </c>
      <c r="U58" s="42" t="s">
        <v>124</v>
      </c>
      <c r="V58" s="42" t="s">
        <v>124</v>
      </c>
      <c r="W58" s="42" t="s">
        <v>124</v>
      </c>
      <c r="X58" s="42" t="s">
        <v>124</v>
      </c>
      <c r="Y58" s="43" t="str">
        <f>IF(CCUS_Projects_Database!$R58&lt;&gt;"",HYPERLINK(CCUS_Projects_Database!$R58,"Link 1"),"")</f>
        <v>Link 1</v>
      </c>
      <c r="Z58" s="43" t="str">
        <f>IF(CCUS_Projects_Database!$S58&lt;&gt;"",HYPERLINK(CCUS_Projects_Database!$S58,"Link 2"),"")</f>
        <v/>
      </c>
      <c r="AA58" s="43" t="str">
        <f>IF(CCUS_Projects_Database!$T58&lt;&gt;"",HYPERLINK(CCUS_Projects_Database!$T58,"Link 3"),"")</f>
        <v/>
      </c>
      <c r="AB58" s="43" t="str">
        <f>IF(CCUS_Projects_Database!$U58&lt;&gt;"",HYPERLINK(CCUS_Projects_Database!$U58,"Link 4"),"")</f>
        <v/>
      </c>
      <c r="AC58" s="43" t="str">
        <f>IF(CCUS_Projects_Database!$V58&lt;&gt;"",HYPERLINK(CCUS_Projects_Database!$V58,"Link 5"),"")</f>
        <v/>
      </c>
      <c r="AD58" s="43" t="str">
        <f>IF(CCUS_Projects_Database!$W58&lt;&gt;"",HYPERLINK(CCUS_Projects_Database!$W58,"Link 6"),"")</f>
        <v/>
      </c>
      <c r="AE58" s="43" t="str">
        <f>IF(CCUS_Projects_Database!$X58&lt;&gt;"",HYPERLINK(CCUS_Projects_Database!$X58,"Link 7"),"")</f>
        <v/>
      </c>
    </row>
    <row r="59" ht="15.75" customHeight="1">
      <c r="A59" s="44" t="s">
        <v>347</v>
      </c>
      <c r="B59" s="45">
        <v>881.0</v>
      </c>
      <c r="C59" s="45" t="s">
        <v>141</v>
      </c>
      <c r="D59" s="46" t="s">
        <v>348</v>
      </c>
      <c r="E59" s="45" t="s">
        <v>12</v>
      </c>
      <c r="F59" s="45">
        <v>2022.0</v>
      </c>
      <c r="G59" s="45" t="s">
        <v>124</v>
      </c>
      <c r="H59" s="45">
        <v>2026.0</v>
      </c>
      <c r="I59" s="45" t="s">
        <v>124</v>
      </c>
      <c r="J59" s="45" t="s">
        <v>28</v>
      </c>
      <c r="K59" s="47" t="s">
        <v>124</v>
      </c>
      <c r="L59" s="52">
        <v>15.0</v>
      </c>
      <c r="M59" s="47">
        <v>10.0</v>
      </c>
      <c r="N59" s="45" t="s">
        <v>12</v>
      </c>
      <c r="O59" s="48" t="s">
        <v>77</v>
      </c>
      <c r="P59" s="49" t="s">
        <v>124</v>
      </c>
      <c r="Q59" s="45" t="s">
        <v>143</v>
      </c>
      <c r="R59" s="49" t="s">
        <v>349</v>
      </c>
      <c r="S59" s="49" t="s">
        <v>350</v>
      </c>
      <c r="T59" s="49" t="s">
        <v>124</v>
      </c>
      <c r="U59" s="49" t="s">
        <v>124</v>
      </c>
      <c r="V59" s="49" t="s">
        <v>124</v>
      </c>
      <c r="W59" s="49" t="s">
        <v>124</v>
      </c>
      <c r="X59" s="49" t="s">
        <v>124</v>
      </c>
      <c r="Y59" s="50" t="str">
        <f>IF(CCUS_Projects_Database!$R59&lt;&gt;"",HYPERLINK(CCUS_Projects_Database!$R59,"Link 1"),"")</f>
        <v>Link 1</v>
      </c>
      <c r="Z59" s="50" t="str">
        <f>IF(CCUS_Projects_Database!$S59&lt;&gt;"",HYPERLINK(CCUS_Projects_Database!$S59,"Link 2"),"")</f>
        <v>Link 2</v>
      </c>
      <c r="AA59" s="50" t="str">
        <f>IF(CCUS_Projects_Database!$T59&lt;&gt;"",HYPERLINK(CCUS_Projects_Database!$T59,"Link 3"),"")</f>
        <v/>
      </c>
      <c r="AB59" s="50" t="str">
        <f>IF(CCUS_Projects_Database!$U59&lt;&gt;"",HYPERLINK(CCUS_Projects_Database!$U59,"Link 4"),"")</f>
        <v/>
      </c>
      <c r="AC59" s="50" t="str">
        <f>IF(CCUS_Projects_Database!$V59&lt;&gt;"",HYPERLINK(CCUS_Projects_Database!$V59,"Link 5"),"")</f>
        <v/>
      </c>
      <c r="AD59" s="50" t="str">
        <f>IF(CCUS_Projects_Database!$W59&lt;&gt;"",HYPERLINK(CCUS_Projects_Database!$W59,"Link 6"),"")</f>
        <v/>
      </c>
      <c r="AE59" s="50" t="str">
        <f>IF(CCUS_Projects_Database!$X59&lt;&gt;"",HYPERLINK(CCUS_Projects_Database!$X59,"Link 7"),"")</f>
        <v/>
      </c>
    </row>
    <row r="60" ht="15.75" customHeight="1">
      <c r="A60" s="37" t="s">
        <v>351</v>
      </c>
      <c r="B60" s="38">
        <v>35.0</v>
      </c>
      <c r="C60" s="38" t="s">
        <v>141</v>
      </c>
      <c r="D60" s="39" t="s">
        <v>352</v>
      </c>
      <c r="E60" s="38" t="s">
        <v>6</v>
      </c>
      <c r="F60" s="38"/>
      <c r="G60" s="38" t="s">
        <v>124</v>
      </c>
      <c r="H60" s="38">
        <v>2009.0</v>
      </c>
      <c r="I60" s="38" t="s">
        <v>124</v>
      </c>
      <c r="J60" s="38" t="s">
        <v>32</v>
      </c>
      <c r="K60" s="40" t="s">
        <v>124</v>
      </c>
      <c r="L60" s="51">
        <v>0.25</v>
      </c>
      <c r="M60" s="40">
        <v>0.31</v>
      </c>
      <c r="N60" s="38" t="s">
        <v>50</v>
      </c>
      <c r="O60" s="41" t="s">
        <v>73</v>
      </c>
      <c r="P60" s="42" t="s">
        <v>124</v>
      </c>
      <c r="Q60" s="38" t="s">
        <v>143</v>
      </c>
      <c r="R60" s="42" t="s">
        <v>353</v>
      </c>
      <c r="S60" s="42" t="s">
        <v>354</v>
      </c>
      <c r="T60" s="42" t="s">
        <v>124</v>
      </c>
      <c r="U60" s="42" t="s">
        <v>124</v>
      </c>
      <c r="V60" s="42" t="s">
        <v>124</v>
      </c>
      <c r="W60" s="42" t="s">
        <v>124</v>
      </c>
      <c r="X60" s="42" t="s">
        <v>124</v>
      </c>
      <c r="Y60" s="43" t="str">
        <f>IF(CCUS_Projects_Database!$R60&lt;&gt;"",HYPERLINK(CCUS_Projects_Database!$R60,"Link 1"),"")</f>
        <v>Link 1</v>
      </c>
      <c r="Z60" s="43" t="str">
        <f>IF(CCUS_Projects_Database!$S60&lt;&gt;"",HYPERLINK(CCUS_Projects_Database!$S60,"Link 2"),"")</f>
        <v>Link 2</v>
      </c>
      <c r="AA60" s="43" t="str">
        <f>IF(CCUS_Projects_Database!$T60&lt;&gt;"",HYPERLINK(CCUS_Projects_Database!$T60,"Link 3"),"")</f>
        <v/>
      </c>
      <c r="AB60" s="43" t="str">
        <f>IF(CCUS_Projects_Database!$U60&lt;&gt;"",HYPERLINK(CCUS_Projects_Database!$U60,"Link 4"),"")</f>
        <v/>
      </c>
      <c r="AC60" s="43" t="str">
        <f>IF(CCUS_Projects_Database!$V60&lt;&gt;"",HYPERLINK(CCUS_Projects_Database!$V60,"Link 5"),"")</f>
        <v/>
      </c>
      <c r="AD60" s="43" t="str">
        <f>IF(CCUS_Projects_Database!$W60&lt;&gt;"",HYPERLINK(CCUS_Projects_Database!$W60,"Link 6"),"")</f>
        <v/>
      </c>
      <c r="AE60" s="43" t="str">
        <f>IF(CCUS_Projects_Database!$X60&lt;&gt;"",HYPERLINK(CCUS_Projects_Database!$X60,"Link 7"),"")</f>
        <v/>
      </c>
    </row>
    <row r="61" ht="15.75" customHeight="1">
      <c r="A61" s="44" t="s">
        <v>355</v>
      </c>
      <c r="B61" s="45">
        <v>36.0</v>
      </c>
      <c r="C61" s="45" t="s">
        <v>356</v>
      </c>
      <c r="D61" s="46" t="s">
        <v>357</v>
      </c>
      <c r="E61" s="45" t="s">
        <v>6</v>
      </c>
      <c r="F61" s="45">
        <v>2021.0</v>
      </c>
      <c r="G61" s="45" t="s">
        <v>124</v>
      </c>
      <c r="H61" s="45">
        <v>2027.0</v>
      </c>
      <c r="I61" s="45" t="s">
        <v>124</v>
      </c>
      <c r="J61" s="45" t="s">
        <v>28</v>
      </c>
      <c r="K61" s="47" t="s">
        <v>124</v>
      </c>
      <c r="L61" s="47"/>
      <c r="M61" s="47" t="s">
        <v>124</v>
      </c>
      <c r="N61" s="45" t="s">
        <v>48</v>
      </c>
      <c r="O61" s="48" t="s">
        <v>71</v>
      </c>
      <c r="P61" s="49" t="s">
        <v>124</v>
      </c>
      <c r="Q61" s="45" t="s">
        <v>148</v>
      </c>
      <c r="R61" s="49" t="s">
        <v>358</v>
      </c>
      <c r="S61" s="49" t="s">
        <v>359</v>
      </c>
      <c r="T61" s="49" t="s">
        <v>360</v>
      </c>
      <c r="U61" s="49" t="s">
        <v>124</v>
      </c>
      <c r="V61" s="49" t="s">
        <v>124</v>
      </c>
      <c r="W61" s="49" t="s">
        <v>124</v>
      </c>
      <c r="X61" s="49" t="s">
        <v>124</v>
      </c>
      <c r="Y61" s="50" t="str">
        <f>IF(CCUS_Projects_Database!$R61&lt;&gt;"",HYPERLINK(CCUS_Projects_Database!$R61,"Link 1"),"")</f>
        <v>Link 1</v>
      </c>
      <c r="Z61" s="50" t="str">
        <f>IF(CCUS_Projects_Database!$S61&lt;&gt;"",HYPERLINK(CCUS_Projects_Database!$S61,"Link 2"),"")</f>
        <v>Link 2</v>
      </c>
      <c r="AA61" s="50" t="str">
        <f>IF(CCUS_Projects_Database!$T61&lt;&gt;"",HYPERLINK(CCUS_Projects_Database!$T61,"Link 3"),"")</f>
        <v>Link 3</v>
      </c>
      <c r="AB61" s="50" t="str">
        <f>IF(CCUS_Projects_Database!$U61&lt;&gt;"",HYPERLINK(CCUS_Projects_Database!$U61,"Link 4"),"")</f>
        <v/>
      </c>
      <c r="AC61" s="50" t="str">
        <f>IF(CCUS_Projects_Database!$V61&lt;&gt;"",HYPERLINK(CCUS_Projects_Database!$V61,"Link 5"),"")</f>
        <v/>
      </c>
      <c r="AD61" s="50" t="str">
        <f>IF(CCUS_Projects_Database!$W61&lt;&gt;"",HYPERLINK(CCUS_Projects_Database!$W61,"Link 6"),"")</f>
        <v/>
      </c>
      <c r="AE61" s="50" t="str">
        <f>IF(CCUS_Projects_Database!$X61&lt;&gt;"",HYPERLINK(CCUS_Projects_Database!$X61,"Link 7"),"")</f>
        <v/>
      </c>
    </row>
    <row r="62" ht="15.75" customHeight="1">
      <c r="A62" s="37" t="s">
        <v>361</v>
      </c>
      <c r="B62" s="38">
        <v>37.0</v>
      </c>
      <c r="C62" s="38" t="s">
        <v>146</v>
      </c>
      <c r="D62" s="39" t="s">
        <v>362</v>
      </c>
      <c r="E62" s="38" t="s">
        <v>12</v>
      </c>
      <c r="F62" s="38">
        <v>2022.0</v>
      </c>
      <c r="G62" s="38" t="s">
        <v>124</v>
      </c>
      <c r="H62" s="38">
        <v>2029.0</v>
      </c>
      <c r="I62" s="38" t="s">
        <v>124</v>
      </c>
      <c r="J62" s="38" t="s">
        <v>28</v>
      </c>
      <c r="K62" s="40" t="s">
        <v>124</v>
      </c>
      <c r="L62" s="40"/>
      <c r="M62" s="40" t="s">
        <v>124</v>
      </c>
      <c r="N62" s="38" t="s">
        <v>12</v>
      </c>
      <c r="O62" s="41" t="s">
        <v>71</v>
      </c>
      <c r="P62" s="42" t="s">
        <v>361</v>
      </c>
      <c r="Q62" s="38" t="s">
        <v>148</v>
      </c>
      <c r="R62" s="42" t="s">
        <v>363</v>
      </c>
      <c r="S62" s="42" t="s">
        <v>364</v>
      </c>
      <c r="T62" s="42" t="s">
        <v>365</v>
      </c>
      <c r="U62" s="42" t="s">
        <v>124</v>
      </c>
      <c r="V62" s="42" t="s">
        <v>124</v>
      </c>
      <c r="W62" s="42" t="s">
        <v>124</v>
      </c>
      <c r="X62" s="42" t="s">
        <v>124</v>
      </c>
      <c r="Y62" s="43" t="str">
        <f>IF(CCUS_Projects_Database!$R62&lt;&gt;"",HYPERLINK(CCUS_Projects_Database!$R62,"Link 1"),"")</f>
        <v>Link 1</v>
      </c>
      <c r="Z62" s="43" t="str">
        <f>IF(CCUS_Projects_Database!$S62&lt;&gt;"",HYPERLINK(CCUS_Projects_Database!$S62,"Link 2"),"")</f>
        <v>Link 2</v>
      </c>
      <c r="AA62" s="43" t="str">
        <f>IF(CCUS_Projects_Database!$T62&lt;&gt;"",HYPERLINK(CCUS_Projects_Database!$T62,"Link 3"),"")</f>
        <v>Link 3</v>
      </c>
      <c r="AB62" s="43" t="str">
        <f>IF(CCUS_Projects_Database!$U62&lt;&gt;"",HYPERLINK(CCUS_Projects_Database!$U62,"Link 4"),"")</f>
        <v/>
      </c>
      <c r="AC62" s="43" t="str">
        <f>IF(CCUS_Projects_Database!$V62&lt;&gt;"",HYPERLINK(CCUS_Projects_Database!$V62,"Link 5"),"")</f>
        <v/>
      </c>
      <c r="AD62" s="43" t="str">
        <f>IF(CCUS_Projects_Database!$W62&lt;&gt;"",HYPERLINK(CCUS_Projects_Database!$W62,"Link 6"),"")</f>
        <v/>
      </c>
      <c r="AE62" s="43" t="str">
        <f>IF(CCUS_Projects_Database!$X62&lt;&gt;"",HYPERLINK(CCUS_Projects_Database!$X62,"Link 7"),"")</f>
        <v/>
      </c>
    </row>
    <row r="63" ht="15.75" customHeight="1">
      <c r="A63" s="44" t="s">
        <v>366</v>
      </c>
      <c r="B63" s="45">
        <v>484.0</v>
      </c>
      <c r="C63" s="45" t="s">
        <v>141</v>
      </c>
      <c r="D63" s="46" t="s">
        <v>367</v>
      </c>
      <c r="E63" s="45" t="s">
        <v>8</v>
      </c>
      <c r="F63" s="45">
        <v>2022.0</v>
      </c>
      <c r="G63" s="45">
        <v>2024.0</v>
      </c>
      <c r="H63" s="45">
        <v>2027.0</v>
      </c>
      <c r="I63" s="45" t="s">
        <v>124</v>
      </c>
      <c r="J63" s="45" t="s">
        <v>28</v>
      </c>
      <c r="K63" s="47" t="s">
        <v>124</v>
      </c>
      <c r="L63" s="52">
        <v>12.0</v>
      </c>
      <c r="M63" s="47">
        <v>12.0</v>
      </c>
      <c r="N63" s="45" t="s">
        <v>136</v>
      </c>
      <c r="O63" s="48" t="s">
        <v>71</v>
      </c>
      <c r="P63" s="49" t="s">
        <v>368</v>
      </c>
      <c r="Q63" s="45" t="s">
        <v>143</v>
      </c>
      <c r="R63" s="49" t="s">
        <v>369</v>
      </c>
      <c r="S63" s="49" t="s">
        <v>124</v>
      </c>
      <c r="T63" s="49" t="s">
        <v>124</v>
      </c>
      <c r="U63" s="49" t="s">
        <v>124</v>
      </c>
      <c r="V63" s="49" t="s">
        <v>124</v>
      </c>
      <c r="W63" s="49" t="s">
        <v>124</v>
      </c>
      <c r="X63" s="49" t="s">
        <v>124</v>
      </c>
      <c r="Y63" s="50" t="str">
        <f>IF(CCUS_Projects_Database!$R63&lt;&gt;"",HYPERLINK(CCUS_Projects_Database!$R63,"Link 1"),"")</f>
        <v>Link 1</v>
      </c>
      <c r="Z63" s="50" t="str">
        <f>IF(CCUS_Projects_Database!$S63&lt;&gt;"",HYPERLINK(CCUS_Projects_Database!$S63,"Link 2"),"")</f>
        <v/>
      </c>
      <c r="AA63" s="50" t="str">
        <f>IF(CCUS_Projects_Database!$T63&lt;&gt;"",HYPERLINK(CCUS_Projects_Database!$T63,"Link 3"),"")</f>
        <v/>
      </c>
      <c r="AB63" s="50" t="str">
        <f>IF(CCUS_Projects_Database!$U63&lt;&gt;"",HYPERLINK(CCUS_Projects_Database!$U63,"Link 4"),"")</f>
        <v/>
      </c>
      <c r="AC63" s="50" t="str">
        <f>IF(CCUS_Projects_Database!$V63&lt;&gt;"",HYPERLINK(CCUS_Projects_Database!$V63,"Link 5"),"")</f>
        <v/>
      </c>
      <c r="AD63" s="50" t="str">
        <f>IF(CCUS_Projects_Database!$W63&lt;&gt;"",HYPERLINK(CCUS_Projects_Database!$W63,"Link 6"),"")</f>
        <v/>
      </c>
      <c r="AE63" s="50" t="str">
        <f>IF(CCUS_Projects_Database!$X63&lt;&gt;"",HYPERLINK(CCUS_Projects_Database!$X63,"Link 7"),"")</f>
        <v/>
      </c>
    </row>
    <row r="64" ht="15.75" customHeight="1">
      <c r="A64" s="37" t="s">
        <v>370</v>
      </c>
      <c r="B64" s="38">
        <v>1129.0</v>
      </c>
      <c r="C64" s="38" t="s">
        <v>141</v>
      </c>
      <c r="D64" s="39" t="s">
        <v>371</v>
      </c>
      <c r="E64" s="38" t="s">
        <v>6</v>
      </c>
      <c r="F64" s="38">
        <v>2023.0</v>
      </c>
      <c r="G64" s="38" t="s">
        <v>124</v>
      </c>
      <c r="H64" s="38" t="s">
        <v>124</v>
      </c>
      <c r="I64" s="38" t="s">
        <v>124</v>
      </c>
      <c r="J64" s="38" t="s">
        <v>28</v>
      </c>
      <c r="K64" s="40" t="s">
        <v>124</v>
      </c>
      <c r="L64" s="51">
        <v>1.4</v>
      </c>
      <c r="M64" s="40">
        <v>1.4</v>
      </c>
      <c r="N64" s="38" t="s">
        <v>56</v>
      </c>
      <c r="O64" s="41" t="s">
        <v>71</v>
      </c>
      <c r="P64" s="42" t="s">
        <v>124</v>
      </c>
      <c r="Q64" s="38" t="s">
        <v>143</v>
      </c>
      <c r="R64" s="42" t="s">
        <v>372</v>
      </c>
      <c r="S64" s="42" t="s">
        <v>124</v>
      </c>
      <c r="T64" s="42" t="s">
        <v>124</v>
      </c>
      <c r="U64" s="42" t="s">
        <v>124</v>
      </c>
      <c r="V64" s="42" t="s">
        <v>124</v>
      </c>
      <c r="W64" s="42" t="s">
        <v>124</v>
      </c>
      <c r="X64" s="42" t="s">
        <v>124</v>
      </c>
      <c r="Y64" s="43" t="str">
        <f>IF(CCUS_Projects_Database!$R64&lt;&gt;"",HYPERLINK(CCUS_Projects_Database!$R64,"Link 1"),"")</f>
        <v>Link 1</v>
      </c>
      <c r="Z64" s="43" t="str">
        <f>IF(CCUS_Projects_Database!$S64&lt;&gt;"",HYPERLINK(CCUS_Projects_Database!$S64,"Link 2"),"")</f>
        <v/>
      </c>
      <c r="AA64" s="43" t="str">
        <f>IF(CCUS_Projects_Database!$T64&lt;&gt;"",HYPERLINK(CCUS_Projects_Database!$T64,"Link 3"),"")</f>
        <v/>
      </c>
      <c r="AB64" s="43" t="str">
        <f>IF(CCUS_Projects_Database!$U64&lt;&gt;"",HYPERLINK(CCUS_Projects_Database!$U64,"Link 4"),"")</f>
        <v/>
      </c>
      <c r="AC64" s="43" t="str">
        <f>IF(CCUS_Projects_Database!$V64&lt;&gt;"",HYPERLINK(CCUS_Projects_Database!$V64,"Link 5"),"")</f>
        <v/>
      </c>
      <c r="AD64" s="43" t="str">
        <f>IF(CCUS_Projects_Database!$W64&lt;&gt;"",HYPERLINK(CCUS_Projects_Database!$W64,"Link 6"),"")</f>
        <v/>
      </c>
      <c r="AE64" s="43" t="str">
        <f>IF(CCUS_Projects_Database!$X64&lt;&gt;"",HYPERLINK(CCUS_Projects_Database!$X64,"Link 7"),"")</f>
        <v/>
      </c>
    </row>
    <row r="65" ht="15.75" customHeight="1">
      <c r="A65" s="44" t="s">
        <v>373</v>
      </c>
      <c r="B65" s="45">
        <v>756.0</v>
      </c>
      <c r="C65" s="45" t="s">
        <v>299</v>
      </c>
      <c r="D65" s="46" t="s">
        <v>374</v>
      </c>
      <c r="E65" s="45" t="s">
        <v>8</v>
      </c>
      <c r="F65" s="45">
        <v>2022.0</v>
      </c>
      <c r="G65" s="45">
        <v>2023.0</v>
      </c>
      <c r="H65" s="45">
        <v>2026.0</v>
      </c>
      <c r="I65" s="45" t="s">
        <v>124</v>
      </c>
      <c r="J65" s="45" t="s">
        <v>30</v>
      </c>
      <c r="K65" s="47" t="s">
        <v>124</v>
      </c>
      <c r="L65" s="52">
        <v>0.28</v>
      </c>
      <c r="M65" s="47">
        <v>0.28</v>
      </c>
      <c r="N65" s="45" t="s">
        <v>46</v>
      </c>
      <c r="O65" s="48" t="s">
        <v>71</v>
      </c>
      <c r="P65" s="49" t="s">
        <v>375</v>
      </c>
      <c r="Q65" s="45" t="s">
        <v>125</v>
      </c>
      <c r="R65" s="49" t="s">
        <v>376</v>
      </c>
      <c r="S65" s="49" t="s">
        <v>377</v>
      </c>
      <c r="T65" s="49" t="s">
        <v>378</v>
      </c>
      <c r="U65" s="49" t="s">
        <v>379</v>
      </c>
      <c r="V65" s="49" t="s">
        <v>124</v>
      </c>
      <c r="W65" s="49" t="s">
        <v>124</v>
      </c>
      <c r="X65" s="49" t="s">
        <v>124</v>
      </c>
      <c r="Y65" s="50" t="str">
        <f>IF(CCUS_Projects_Database!$R65&lt;&gt;"",HYPERLINK(CCUS_Projects_Database!$R65,"Link 1"),"")</f>
        <v>Link 1</v>
      </c>
      <c r="Z65" s="50" t="str">
        <f>IF(CCUS_Projects_Database!$S65&lt;&gt;"",HYPERLINK(CCUS_Projects_Database!$S65,"Link 2"),"")</f>
        <v>Link 2</v>
      </c>
      <c r="AA65" s="50" t="str">
        <f>IF(CCUS_Projects_Database!$T65&lt;&gt;"",HYPERLINK(CCUS_Projects_Database!$T65,"Link 3"),"")</f>
        <v>Link 3</v>
      </c>
      <c r="AB65" s="50" t="str">
        <f>IF(CCUS_Projects_Database!$U65&lt;&gt;"",HYPERLINK(CCUS_Projects_Database!$U65,"Link 4"),"")</f>
        <v>Link 4</v>
      </c>
      <c r="AC65" s="50" t="str">
        <f>IF(CCUS_Projects_Database!$V65&lt;&gt;"",HYPERLINK(CCUS_Projects_Database!$V65,"Link 5"),"")</f>
        <v/>
      </c>
      <c r="AD65" s="50" t="str">
        <f>IF(CCUS_Projects_Database!$W65&lt;&gt;"",HYPERLINK(CCUS_Projects_Database!$W65,"Link 6"),"")</f>
        <v/>
      </c>
      <c r="AE65" s="50" t="str">
        <f>IF(CCUS_Projects_Database!$X65&lt;&gt;"",HYPERLINK(CCUS_Projects_Database!$X65,"Link 7"),"")</f>
        <v/>
      </c>
    </row>
    <row r="66" ht="15.75" customHeight="1">
      <c r="A66" s="37" t="s">
        <v>380</v>
      </c>
      <c r="B66" s="38">
        <v>496.0</v>
      </c>
      <c r="C66" s="38" t="s">
        <v>239</v>
      </c>
      <c r="D66" s="39" t="s">
        <v>381</v>
      </c>
      <c r="E66" s="38" t="s">
        <v>12</v>
      </c>
      <c r="F66" s="38">
        <v>2022.0</v>
      </c>
      <c r="G66" s="38">
        <v>2024.0</v>
      </c>
      <c r="H66" s="38">
        <v>2027.0</v>
      </c>
      <c r="I66" s="38" t="s">
        <v>124</v>
      </c>
      <c r="J66" s="38" t="s">
        <v>28</v>
      </c>
      <c r="K66" s="40" t="s">
        <v>124</v>
      </c>
      <c r="L66" s="40"/>
      <c r="M66" s="40" t="s">
        <v>124</v>
      </c>
      <c r="N66" s="38" t="s">
        <v>12</v>
      </c>
      <c r="O66" s="41" t="s">
        <v>71</v>
      </c>
      <c r="P66" s="42" t="s">
        <v>380</v>
      </c>
      <c r="Q66" s="38" t="s">
        <v>143</v>
      </c>
      <c r="R66" s="42" t="s">
        <v>124</v>
      </c>
      <c r="S66" s="42" t="s">
        <v>124</v>
      </c>
      <c r="T66" s="42" t="s">
        <v>124</v>
      </c>
      <c r="U66" s="42" t="s">
        <v>124</v>
      </c>
      <c r="V66" s="42" t="s">
        <v>124</v>
      </c>
      <c r="W66" s="42" t="s">
        <v>124</v>
      </c>
      <c r="X66" s="42" t="s">
        <v>124</v>
      </c>
      <c r="Y66" s="43" t="str">
        <f>IF(CCUS_Projects_Database!$R66&lt;&gt;"",HYPERLINK(CCUS_Projects_Database!$R66,"Link 1"),"")</f>
        <v/>
      </c>
      <c r="Z66" s="43" t="str">
        <f>IF(CCUS_Projects_Database!$S66&lt;&gt;"",HYPERLINK(CCUS_Projects_Database!$S66,"Link 2"),"")</f>
        <v/>
      </c>
      <c r="AA66" s="43" t="str">
        <f>IF(CCUS_Projects_Database!$T66&lt;&gt;"",HYPERLINK(CCUS_Projects_Database!$T66,"Link 3"),"")</f>
        <v/>
      </c>
      <c r="AB66" s="43" t="str">
        <f>IF(CCUS_Projects_Database!$U66&lt;&gt;"",HYPERLINK(CCUS_Projects_Database!$U66,"Link 4"),"")</f>
        <v/>
      </c>
      <c r="AC66" s="43" t="str">
        <f>IF(CCUS_Projects_Database!$V66&lt;&gt;"",HYPERLINK(CCUS_Projects_Database!$V66,"Link 5"),"")</f>
        <v/>
      </c>
      <c r="AD66" s="43" t="str">
        <f>IF(CCUS_Projects_Database!$W66&lt;&gt;"",HYPERLINK(CCUS_Projects_Database!$W66,"Link 6"),"")</f>
        <v/>
      </c>
      <c r="AE66" s="43" t="str">
        <f>IF(CCUS_Projects_Database!$X66&lt;&gt;"",HYPERLINK(CCUS_Projects_Database!$X66,"Link 7"),"")</f>
        <v/>
      </c>
    </row>
    <row r="67" ht="15.75" customHeight="1">
      <c r="A67" s="44" t="s">
        <v>382</v>
      </c>
      <c r="B67" s="45">
        <v>607.0</v>
      </c>
      <c r="C67" s="45" t="s">
        <v>239</v>
      </c>
      <c r="D67" s="46" t="s">
        <v>383</v>
      </c>
      <c r="E67" s="45" t="s">
        <v>6</v>
      </c>
      <c r="F67" s="45">
        <v>2022.0</v>
      </c>
      <c r="G67" s="45" t="s">
        <v>124</v>
      </c>
      <c r="H67" s="45">
        <v>2025.0</v>
      </c>
      <c r="I67" s="45" t="s">
        <v>124</v>
      </c>
      <c r="J67" s="45" t="s">
        <v>28</v>
      </c>
      <c r="K67" s="47" t="s">
        <v>124</v>
      </c>
      <c r="L67" s="52">
        <v>0.44</v>
      </c>
      <c r="M67" s="47">
        <v>0.44</v>
      </c>
      <c r="N67" s="45" t="s">
        <v>54</v>
      </c>
      <c r="O67" s="48" t="s">
        <v>77</v>
      </c>
      <c r="P67" s="49" t="s">
        <v>124</v>
      </c>
      <c r="Q67" s="45" t="s">
        <v>143</v>
      </c>
      <c r="R67" s="49" t="s">
        <v>384</v>
      </c>
      <c r="S67" s="49" t="s">
        <v>385</v>
      </c>
      <c r="T67" s="49" t="s">
        <v>124</v>
      </c>
      <c r="U67" s="49" t="s">
        <v>124</v>
      </c>
      <c r="V67" s="49" t="s">
        <v>124</v>
      </c>
      <c r="W67" s="49" t="s">
        <v>124</v>
      </c>
      <c r="X67" s="49" t="s">
        <v>124</v>
      </c>
      <c r="Y67" s="50" t="str">
        <f>IF(CCUS_Projects_Database!$R67&lt;&gt;"",HYPERLINK(CCUS_Projects_Database!$R67,"Link 1"),"")</f>
        <v>Link 1</v>
      </c>
      <c r="Z67" s="50" t="str">
        <f>IF(CCUS_Projects_Database!$S67&lt;&gt;"",HYPERLINK(CCUS_Projects_Database!$S67,"Link 2"),"")</f>
        <v>Link 2</v>
      </c>
      <c r="AA67" s="50" t="str">
        <f>IF(CCUS_Projects_Database!$T67&lt;&gt;"",HYPERLINK(CCUS_Projects_Database!$T67,"Link 3"),"")</f>
        <v/>
      </c>
      <c r="AB67" s="50" t="str">
        <f>IF(CCUS_Projects_Database!$U67&lt;&gt;"",HYPERLINK(CCUS_Projects_Database!$U67,"Link 4"),"")</f>
        <v/>
      </c>
      <c r="AC67" s="50" t="str">
        <f>IF(CCUS_Projects_Database!$V67&lt;&gt;"",HYPERLINK(CCUS_Projects_Database!$V67,"Link 5"),"")</f>
        <v/>
      </c>
      <c r="AD67" s="50" t="str">
        <f>IF(CCUS_Projects_Database!$W67&lt;&gt;"",HYPERLINK(CCUS_Projects_Database!$W67,"Link 6"),"")</f>
        <v/>
      </c>
      <c r="AE67" s="50" t="str">
        <f>IF(CCUS_Projects_Database!$X67&lt;&gt;"",HYPERLINK(CCUS_Projects_Database!$X67,"Link 7"),"")</f>
        <v/>
      </c>
    </row>
    <row r="68" ht="15.75" customHeight="1">
      <c r="A68" s="37" t="s">
        <v>386</v>
      </c>
      <c r="B68" s="38">
        <v>973.0</v>
      </c>
      <c r="C68" s="38" t="s">
        <v>141</v>
      </c>
      <c r="D68" s="39" t="s">
        <v>387</v>
      </c>
      <c r="E68" s="38" t="s">
        <v>12</v>
      </c>
      <c r="F68" s="38">
        <v>2023.0</v>
      </c>
      <c r="G68" s="38" t="s">
        <v>124</v>
      </c>
      <c r="H68" s="38" t="s">
        <v>124</v>
      </c>
      <c r="I68" s="38" t="s">
        <v>124</v>
      </c>
      <c r="J68" s="38" t="s">
        <v>28</v>
      </c>
      <c r="K68" s="40" t="s">
        <v>124</v>
      </c>
      <c r="L68" s="40"/>
      <c r="M68" s="40" t="s">
        <v>124</v>
      </c>
      <c r="N68" s="38" t="s">
        <v>12</v>
      </c>
      <c r="O68" s="41" t="s">
        <v>71</v>
      </c>
      <c r="P68" s="42" t="s">
        <v>388</v>
      </c>
      <c r="Q68" s="38" t="s">
        <v>143</v>
      </c>
      <c r="R68" s="42" t="s">
        <v>155</v>
      </c>
      <c r="S68" s="42" t="s">
        <v>389</v>
      </c>
      <c r="T68" s="42" t="s">
        <v>124</v>
      </c>
      <c r="U68" s="42" t="s">
        <v>124</v>
      </c>
      <c r="V68" s="42" t="s">
        <v>124</v>
      </c>
      <c r="W68" s="42" t="s">
        <v>124</v>
      </c>
      <c r="X68" s="42" t="s">
        <v>124</v>
      </c>
      <c r="Y68" s="43" t="str">
        <f>IF(CCUS_Projects_Database!$R68&lt;&gt;"",HYPERLINK(CCUS_Projects_Database!$R68,"Link 1"),"")</f>
        <v>Link 1</v>
      </c>
      <c r="Z68" s="43" t="str">
        <f>IF(CCUS_Projects_Database!$S68&lt;&gt;"",HYPERLINK(CCUS_Projects_Database!$S68,"Link 2"),"")</f>
        <v>Link 2</v>
      </c>
      <c r="AA68" s="43" t="str">
        <f>IF(CCUS_Projects_Database!$T68&lt;&gt;"",HYPERLINK(CCUS_Projects_Database!$T68,"Link 3"),"")</f>
        <v/>
      </c>
      <c r="AB68" s="43" t="str">
        <f>IF(CCUS_Projects_Database!$U68&lt;&gt;"",HYPERLINK(CCUS_Projects_Database!$U68,"Link 4"),"")</f>
        <v/>
      </c>
      <c r="AC68" s="43" t="str">
        <f>IF(CCUS_Projects_Database!$V68&lt;&gt;"",HYPERLINK(CCUS_Projects_Database!$V68,"Link 5"),"")</f>
        <v/>
      </c>
      <c r="AD68" s="43" t="str">
        <f>IF(CCUS_Projects_Database!$W68&lt;&gt;"",HYPERLINK(CCUS_Projects_Database!$W68,"Link 6"),"")</f>
        <v/>
      </c>
      <c r="AE68" s="43" t="str">
        <f>IF(CCUS_Projects_Database!$X68&lt;&gt;"",HYPERLINK(CCUS_Projects_Database!$X68,"Link 7"),"")</f>
        <v/>
      </c>
    </row>
    <row r="69" ht="15.75" customHeight="1">
      <c r="A69" s="44" t="s">
        <v>390</v>
      </c>
      <c r="B69" s="45">
        <v>39.0</v>
      </c>
      <c r="C69" s="45" t="s">
        <v>239</v>
      </c>
      <c r="D69" s="46" t="s">
        <v>391</v>
      </c>
      <c r="E69" s="45" t="s">
        <v>6</v>
      </c>
      <c r="F69" s="45">
        <v>2021.0</v>
      </c>
      <c r="G69" s="45">
        <v>2024.0</v>
      </c>
      <c r="H69" s="45">
        <v>2025.0</v>
      </c>
      <c r="I69" s="45" t="s">
        <v>124</v>
      </c>
      <c r="J69" s="45" t="s">
        <v>28</v>
      </c>
      <c r="K69" s="47">
        <v>1.0</v>
      </c>
      <c r="L69" s="52">
        <v>0.75</v>
      </c>
      <c r="M69" s="47">
        <v>0.75</v>
      </c>
      <c r="N69" s="45" t="s">
        <v>54</v>
      </c>
      <c r="O69" s="48" t="s">
        <v>71</v>
      </c>
      <c r="P69" s="49" t="s">
        <v>392</v>
      </c>
      <c r="Q69" s="45" t="s">
        <v>143</v>
      </c>
      <c r="R69" s="49" t="s">
        <v>393</v>
      </c>
      <c r="S69" s="49" t="s">
        <v>394</v>
      </c>
      <c r="T69" s="49" t="s">
        <v>395</v>
      </c>
      <c r="U69" s="49" t="s">
        <v>124</v>
      </c>
      <c r="V69" s="49" t="s">
        <v>124</v>
      </c>
      <c r="W69" s="49" t="s">
        <v>124</v>
      </c>
      <c r="X69" s="49" t="s">
        <v>124</v>
      </c>
      <c r="Y69" s="50" t="str">
        <f>IF(CCUS_Projects_Database!$R69&lt;&gt;"",HYPERLINK(CCUS_Projects_Database!$R69,"Link 1"),"")</f>
        <v>Link 1</v>
      </c>
      <c r="Z69" s="50" t="str">
        <f>IF(CCUS_Projects_Database!$S69&lt;&gt;"",HYPERLINK(CCUS_Projects_Database!$S69,"Link 2"),"")</f>
        <v>Link 2</v>
      </c>
      <c r="AA69" s="50" t="str">
        <f>IF(CCUS_Projects_Database!$T69&lt;&gt;"",HYPERLINK(CCUS_Projects_Database!$T69,"Link 3"),"")</f>
        <v>Link 3</v>
      </c>
      <c r="AB69" s="50" t="str">
        <f>IF(CCUS_Projects_Database!$U69&lt;&gt;"",HYPERLINK(CCUS_Projects_Database!$U69,"Link 4"),"")</f>
        <v/>
      </c>
      <c r="AC69" s="50" t="str">
        <f>IF(CCUS_Projects_Database!$V69&lt;&gt;"",HYPERLINK(CCUS_Projects_Database!$V69,"Link 5"),"")</f>
        <v/>
      </c>
      <c r="AD69" s="50" t="str">
        <f>IF(CCUS_Projects_Database!$W69&lt;&gt;"",HYPERLINK(CCUS_Projects_Database!$W69,"Link 6"),"")</f>
        <v/>
      </c>
      <c r="AE69" s="50" t="str">
        <f>IF(CCUS_Projects_Database!$X69&lt;&gt;"",HYPERLINK(CCUS_Projects_Database!$X69,"Link 7"),"")</f>
        <v/>
      </c>
    </row>
    <row r="70" ht="15.75" customHeight="1">
      <c r="A70" s="37" t="s">
        <v>396</v>
      </c>
      <c r="B70" s="38">
        <v>40.0</v>
      </c>
      <c r="C70" s="38" t="s">
        <v>239</v>
      </c>
      <c r="D70" s="39" t="s">
        <v>397</v>
      </c>
      <c r="E70" s="38" t="s">
        <v>14</v>
      </c>
      <c r="F70" s="38">
        <v>2022.0</v>
      </c>
      <c r="G70" s="38" t="s">
        <v>124</v>
      </c>
      <c r="H70" s="38">
        <v>2025.0</v>
      </c>
      <c r="I70" s="38" t="s">
        <v>124</v>
      </c>
      <c r="J70" s="38" t="s">
        <v>28</v>
      </c>
      <c r="K70" s="40">
        <v>2.0</v>
      </c>
      <c r="L70" s="51">
        <v>9.25</v>
      </c>
      <c r="M70" s="40">
        <v>9.25</v>
      </c>
      <c r="N70" s="38" t="s">
        <v>14</v>
      </c>
      <c r="O70" s="41" t="s">
        <v>71</v>
      </c>
      <c r="P70" s="42" t="s">
        <v>392</v>
      </c>
      <c r="Q70" s="38" t="s">
        <v>143</v>
      </c>
      <c r="R70" s="42" t="s">
        <v>398</v>
      </c>
      <c r="S70" s="42" t="s">
        <v>399</v>
      </c>
      <c r="T70" s="42" t="s">
        <v>400</v>
      </c>
      <c r="U70" s="42" t="s">
        <v>401</v>
      </c>
      <c r="V70" s="42" t="s">
        <v>402</v>
      </c>
      <c r="W70" s="42" t="s">
        <v>124</v>
      </c>
      <c r="X70" s="42" t="s">
        <v>124</v>
      </c>
      <c r="Y70" s="43" t="str">
        <f>IF(CCUS_Projects_Database!$R70&lt;&gt;"",HYPERLINK(CCUS_Projects_Database!$R70,"Link 1"),"")</f>
        <v>Link 1</v>
      </c>
      <c r="Z70" s="43" t="str">
        <f>IF(CCUS_Projects_Database!$S70&lt;&gt;"",HYPERLINK(CCUS_Projects_Database!$S70,"Link 2"),"")</f>
        <v>Link 2</v>
      </c>
      <c r="AA70" s="43" t="str">
        <f>IF(CCUS_Projects_Database!$T70&lt;&gt;"",HYPERLINK(CCUS_Projects_Database!$T70,"Link 3"),"")</f>
        <v>Link 3</v>
      </c>
      <c r="AB70" s="43" t="str">
        <f>IF(CCUS_Projects_Database!$U70&lt;&gt;"",HYPERLINK(CCUS_Projects_Database!$U70,"Link 4"),"")</f>
        <v>Link 4</v>
      </c>
      <c r="AC70" s="43" t="str">
        <f>IF(CCUS_Projects_Database!$V70&lt;&gt;"",HYPERLINK(CCUS_Projects_Database!$V70,"Link 5"),"")</f>
        <v>Link 5</v>
      </c>
      <c r="AD70" s="43" t="str">
        <f>IF(CCUS_Projects_Database!$W70&lt;&gt;"",HYPERLINK(CCUS_Projects_Database!$W70,"Link 6"),"")</f>
        <v/>
      </c>
      <c r="AE70" s="43" t="str">
        <f>IF(CCUS_Projects_Database!$X70&lt;&gt;"",HYPERLINK(CCUS_Projects_Database!$X70,"Link 7"),"")</f>
        <v/>
      </c>
    </row>
    <row r="71" ht="15.75" customHeight="1">
      <c r="A71" s="44" t="s">
        <v>403</v>
      </c>
      <c r="B71" s="45">
        <v>687.0</v>
      </c>
      <c r="C71" s="45" t="s">
        <v>404</v>
      </c>
      <c r="D71" s="46" t="s">
        <v>405</v>
      </c>
      <c r="E71" s="45" t="s">
        <v>10</v>
      </c>
      <c r="F71" s="45">
        <v>2022.0</v>
      </c>
      <c r="G71" s="45" t="s">
        <v>124</v>
      </c>
      <c r="H71" s="45">
        <v>2029.0</v>
      </c>
      <c r="I71" s="45" t="s">
        <v>124</v>
      </c>
      <c r="J71" s="45" t="s">
        <v>28</v>
      </c>
      <c r="K71" s="47" t="s">
        <v>124</v>
      </c>
      <c r="L71" s="52">
        <v>0.2</v>
      </c>
      <c r="M71" s="47">
        <v>0.2</v>
      </c>
      <c r="N71" s="45" t="s">
        <v>10</v>
      </c>
      <c r="O71" s="48" t="s">
        <v>71</v>
      </c>
      <c r="P71" s="49" t="s">
        <v>406</v>
      </c>
      <c r="Q71" s="45" t="s">
        <v>125</v>
      </c>
      <c r="R71" s="49" t="s">
        <v>407</v>
      </c>
      <c r="S71" s="49" t="s">
        <v>124</v>
      </c>
      <c r="T71" s="49" t="s">
        <v>124</v>
      </c>
      <c r="U71" s="49" t="s">
        <v>124</v>
      </c>
      <c r="V71" s="49" t="s">
        <v>124</v>
      </c>
      <c r="W71" s="49" t="s">
        <v>124</v>
      </c>
      <c r="X71" s="49" t="s">
        <v>124</v>
      </c>
      <c r="Y71" s="50" t="str">
        <f>IF(CCUS_Projects_Database!$R71&lt;&gt;"",HYPERLINK(CCUS_Projects_Database!$R71,"Link 1"),"")</f>
        <v>Link 1</v>
      </c>
      <c r="Z71" s="50" t="str">
        <f>IF(CCUS_Projects_Database!$S71&lt;&gt;"",HYPERLINK(CCUS_Projects_Database!$S71,"Link 2"),"")</f>
        <v/>
      </c>
      <c r="AA71" s="50" t="str">
        <f>IF(CCUS_Projects_Database!$T71&lt;&gt;"",HYPERLINK(CCUS_Projects_Database!$T71,"Link 3"),"")</f>
        <v/>
      </c>
      <c r="AB71" s="50" t="str">
        <f>IF(CCUS_Projects_Database!$U71&lt;&gt;"",HYPERLINK(CCUS_Projects_Database!$U71,"Link 4"),"")</f>
        <v/>
      </c>
      <c r="AC71" s="50" t="str">
        <f>IF(CCUS_Projects_Database!$V71&lt;&gt;"",HYPERLINK(CCUS_Projects_Database!$V71,"Link 5"),"")</f>
        <v/>
      </c>
      <c r="AD71" s="50" t="str">
        <f>IF(CCUS_Projects_Database!$W71&lt;&gt;"",HYPERLINK(CCUS_Projects_Database!$W71,"Link 6"),"")</f>
        <v/>
      </c>
      <c r="AE71" s="50" t="str">
        <f>IF(CCUS_Projects_Database!$X71&lt;&gt;"",HYPERLINK(CCUS_Projects_Database!$X71,"Link 7"),"")</f>
        <v/>
      </c>
    </row>
    <row r="72" ht="15.75" customHeight="1">
      <c r="A72" s="37" t="s">
        <v>408</v>
      </c>
      <c r="B72" s="38">
        <v>41.0</v>
      </c>
      <c r="C72" s="38" t="s">
        <v>284</v>
      </c>
      <c r="D72" s="39" t="s">
        <v>409</v>
      </c>
      <c r="E72" s="38" t="s">
        <v>6</v>
      </c>
      <c r="F72" s="38">
        <v>2021.0</v>
      </c>
      <c r="G72" s="38">
        <v>2024.0</v>
      </c>
      <c r="H72" s="38">
        <v>2030.0</v>
      </c>
      <c r="I72" s="38" t="s">
        <v>124</v>
      </c>
      <c r="J72" s="38" t="s">
        <v>28</v>
      </c>
      <c r="K72" s="40" t="s">
        <v>124</v>
      </c>
      <c r="L72" s="40"/>
      <c r="M72" s="40" t="s">
        <v>124</v>
      </c>
      <c r="N72" s="38" t="s">
        <v>136</v>
      </c>
      <c r="O72" s="41" t="s">
        <v>77</v>
      </c>
      <c r="P72" s="42" t="s">
        <v>124</v>
      </c>
      <c r="Q72" s="38" t="s">
        <v>125</v>
      </c>
      <c r="R72" s="42" t="s">
        <v>410</v>
      </c>
      <c r="S72" s="42" t="s">
        <v>411</v>
      </c>
      <c r="T72" s="42" t="s">
        <v>124</v>
      </c>
      <c r="U72" s="42" t="s">
        <v>124</v>
      </c>
      <c r="V72" s="42" t="s">
        <v>124</v>
      </c>
      <c r="W72" s="42" t="s">
        <v>124</v>
      </c>
      <c r="X72" s="42" t="s">
        <v>124</v>
      </c>
      <c r="Y72" s="43" t="str">
        <f>IF(CCUS_Projects_Database!$R72&lt;&gt;"",HYPERLINK(CCUS_Projects_Database!$R72,"Link 1"),"")</f>
        <v>Link 1</v>
      </c>
      <c r="Z72" s="43" t="str">
        <f>IF(CCUS_Projects_Database!$S72&lt;&gt;"",HYPERLINK(CCUS_Projects_Database!$S72,"Link 2"),"")</f>
        <v>Link 2</v>
      </c>
      <c r="AA72" s="43" t="str">
        <f>IF(CCUS_Projects_Database!$T72&lt;&gt;"",HYPERLINK(CCUS_Projects_Database!$T72,"Link 3"),"")</f>
        <v/>
      </c>
      <c r="AB72" s="43" t="str">
        <f>IF(CCUS_Projects_Database!$U72&lt;&gt;"",HYPERLINK(CCUS_Projects_Database!$U72,"Link 4"),"")</f>
        <v/>
      </c>
      <c r="AC72" s="43" t="str">
        <f>IF(CCUS_Projects_Database!$V72&lt;&gt;"",HYPERLINK(CCUS_Projects_Database!$V72,"Link 5"),"")</f>
        <v/>
      </c>
      <c r="AD72" s="43" t="str">
        <f>IF(CCUS_Projects_Database!$W72&lt;&gt;"",HYPERLINK(CCUS_Projects_Database!$W72,"Link 6"),"")</f>
        <v/>
      </c>
      <c r="AE72" s="43" t="str">
        <f>IF(CCUS_Projects_Database!$X72&lt;&gt;"",HYPERLINK(CCUS_Projects_Database!$X72,"Link 7"),"")</f>
        <v/>
      </c>
    </row>
    <row r="73" ht="15.75" customHeight="1">
      <c r="A73" s="44" t="s">
        <v>412</v>
      </c>
      <c r="B73" s="45">
        <v>42.0</v>
      </c>
      <c r="C73" s="45" t="s">
        <v>299</v>
      </c>
      <c r="D73" s="46" t="s">
        <v>413</v>
      </c>
      <c r="E73" s="45" t="s">
        <v>8</v>
      </c>
      <c r="F73" s="45">
        <v>2021.0</v>
      </c>
      <c r="G73" s="45">
        <v>2023.0</v>
      </c>
      <c r="H73" s="45">
        <v>2026.0</v>
      </c>
      <c r="I73" s="45" t="s">
        <v>124</v>
      </c>
      <c r="J73" s="45" t="s">
        <v>30</v>
      </c>
      <c r="K73" s="47">
        <v>1.0</v>
      </c>
      <c r="L73" s="52">
        <v>0.15</v>
      </c>
      <c r="M73" s="47">
        <v>0.15</v>
      </c>
      <c r="N73" s="45" t="s">
        <v>46</v>
      </c>
      <c r="O73" s="48" t="s">
        <v>71</v>
      </c>
      <c r="P73" s="49" t="s">
        <v>375</v>
      </c>
      <c r="Q73" s="45" t="s">
        <v>125</v>
      </c>
      <c r="R73" s="49" t="s">
        <v>414</v>
      </c>
      <c r="S73" s="49" t="s">
        <v>415</v>
      </c>
      <c r="T73" s="49" t="s">
        <v>415</v>
      </c>
      <c r="U73" s="49" t="s">
        <v>416</v>
      </c>
      <c r="V73" s="49" t="s">
        <v>378</v>
      </c>
      <c r="W73" s="49" t="s">
        <v>124</v>
      </c>
      <c r="X73" s="49" t="s">
        <v>124</v>
      </c>
      <c r="Y73" s="50" t="str">
        <f>IF(CCUS_Projects_Database!$R73&lt;&gt;"",HYPERLINK(CCUS_Projects_Database!$R73,"Link 1"),"")</f>
        <v>Link 1</v>
      </c>
      <c r="Z73" s="50" t="str">
        <f>IF(CCUS_Projects_Database!$S73&lt;&gt;"",HYPERLINK(CCUS_Projects_Database!$S73,"Link 2"),"")</f>
        <v>Link 2</v>
      </c>
      <c r="AA73" s="50" t="str">
        <f>IF(CCUS_Projects_Database!$T73&lt;&gt;"",HYPERLINK(CCUS_Projects_Database!$T73,"Link 3"),"")</f>
        <v>Link 3</v>
      </c>
      <c r="AB73" s="50" t="str">
        <f>IF(CCUS_Projects_Database!$U73&lt;&gt;"",HYPERLINK(CCUS_Projects_Database!$U73,"Link 4"),"")</f>
        <v>Link 4</v>
      </c>
      <c r="AC73" s="50" t="str">
        <f>IF(CCUS_Projects_Database!$V73&lt;&gt;"",HYPERLINK(CCUS_Projects_Database!$V73,"Link 5"),"")</f>
        <v>Link 5</v>
      </c>
      <c r="AD73" s="50" t="str">
        <f>IF(CCUS_Projects_Database!$W73&lt;&gt;"",HYPERLINK(CCUS_Projects_Database!$W73,"Link 6"),"")</f>
        <v/>
      </c>
      <c r="AE73" s="50" t="str">
        <f>IF(CCUS_Projects_Database!$X73&lt;&gt;"",HYPERLINK(CCUS_Projects_Database!$X73,"Link 7"),"")</f>
        <v/>
      </c>
    </row>
    <row r="74" ht="15.75" customHeight="1">
      <c r="A74" s="37" t="s">
        <v>417</v>
      </c>
      <c r="B74" s="38">
        <v>757.0</v>
      </c>
      <c r="C74" s="38" t="s">
        <v>299</v>
      </c>
      <c r="D74" s="39" t="s">
        <v>418</v>
      </c>
      <c r="E74" s="38" t="s">
        <v>16</v>
      </c>
      <c r="F74" s="38">
        <v>2021.0</v>
      </c>
      <c r="G74" s="38" t="s">
        <v>124</v>
      </c>
      <c r="H74" s="38">
        <v>2026.0</v>
      </c>
      <c r="I74" s="38" t="s">
        <v>124</v>
      </c>
      <c r="J74" s="38" t="s">
        <v>28</v>
      </c>
      <c r="K74" s="40">
        <v>2.0</v>
      </c>
      <c r="L74" s="40"/>
      <c r="M74" s="40" t="s">
        <v>124</v>
      </c>
      <c r="N74" s="38" t="s">
        <v>46</v>
      </c>
      <c r="O74" s="41" t="s">
        <v>75</v>
      </c>
      <c r="P74" s="42" t="s">
        <v>124</v>
      </c>
      <c r="Q74" s="38" t="s">
        <v>125</v>
      </c>
      <c r="R74" s="42" t="s">
        <v>419</v>
      </c>
      <c r="S74" s="42" t="s">
        <v>414</v>
      </c>
      <c r="T74" s="42" t="s">
        <v>124</v>
      </c>
      <c r="U74" s="42" t="s">
        <v>124</v>
      </c>
      <c r="V74" s="42" t="s">
        <v>124</v>
      </c>
      <c r="W74" s="42" t="s">
        <v>124</v>
      </c>
      <c r="X74" s="42" t="s">
        <v>124</v>
      </c>
      <c r="Y74" s="43" t="str">
        <f>IF(CCUS_Projects_Database!$R74&lt;&gt;"",HYPERLINK(CCUS_Projects_Database!$R74,"Link 1"),"")</f>
        <v>Link 1</v>
      </c>
      <c r="Z74" s="43" t="str">
        <f>IF(CCUS_Projects_Database!$S74&lt;&gt;"",HYPERLINK(CCUS_Projects_Database!$S74,"Link 2"),"")</f>
        <v>Link 2</v>
      </c>
      <c r="AA74" s="43" t="str">
        <f>IF(CCUS_Projects_Database!$T74&lt;&gt;"",HYPERLINK(CCUS_Projects_Database!$T74,"Link 3"),"")</f>
        <v/>
      </c>
      <c r="AB74" s="43" t="str">
        <f>IF(CCUS_Projects_Database!$U74&lt;&gt;"",HYPERLINK(CCUS_Projects_Database!$U74,"Link 4"),"")</f>
        <v/>
      </c>
      <c r="AC74" s="43" t="str">
        <f>IF(CCUS_Projects_Database!$V74&lt;&gt;"",HYPERLINK(CCUS_Projects_Database!$V74,"Link 5"),"")</f>
        <v/>
      </c>
      <c r="AD74" s="43" t="str">
        <f>IF(CCUS_Projects_Database!$W74&lt;&gt;"",HYPERLINK(CCUS_Projects_Database!$W74,"Link 6"),"")</f>
        <v/>
      </c>
      <c r="AE74" s="43" t="str">
        <f>IF(CCUS_Projects_Database!$X74&lt;&gt;"",HYPERLINK(CCUS_Projects_Database!$X74,"Link 7"),"")</f>
        <v/>
      </c>
    </row>
    <row r="75" ht="15.75" customHeight="1">
      <c r="A75" s="44" t="s">
        <v>420</v>
      </c>
      <c r="B75" s="45">
        <v>830.0</v>
      </c>
      <c r="C75" s="45" t="s">
        <v>141</v>
      </c>
      <c r="D75" s="46" t="s">
        <v>421</v>
      </c>
      <c r="E75" s="45" t="s">
        <v>8</v>
      </c>
      <c r="F75" s="45">
        <v>2023.0</v>
      </c>
      <c r="G75" s="45" t="s">
        <v>124</v>
      </c>
      <c r="H75" s="45">
        <v>2026.0</v>
      </c>
      <c r="I75" s="45" t="s">
        <v>124</v>
      </c>
      <c r="J75" s="45" t="s">
        <v>28</v>
      </c>
      <c r="K75" s="47" t="s">
        <v>124</v>
      </c>
      <c r="L75" s="47"/>
      <c r="M75" s="47" t="s">
        <v>124</v>
      </c>
      <c r="N75" s="45" t="s">
        <v>136</v>
      </c>
      <c r="O75" s="48" t="s">
        <v>77</v>
      </c>
      <c r="P75" s="49" t="s">
        <v>124</v>
      </c>
      <c r="Q75" s="45" t="s">
        <v>143</v>
      </c>
      <c r="R75" s="49" t="s">
        <v>422</v>
      </c>
      <c r="S75" s="49" t="s">
        <v>124</v>
      </c>
      <c r="T75" s="49" t="s">
        <v>124</v>
      </c>
      <c r="U75" s="49" t="s">
        <v>124</v>
      </c>
      <c r="V75" s="49" t="s">
        <v>124</v>
      </c>
      <c r="W75" s="49" t="s">
        <v>124</v>
      </c>
      <c r="X75" s="49" t="s">
        <v>124</v>
      </c>
      <c r="Y75" s="50" t="str">
        <f>IF(CCUS_Projects_Database!$R75&lt;&gt;"",HYPERLINK(CCUS_Projects_Database!$R75,"Link 1"),"")</f>
        <v>Link 1</v>
      </c>
      <c r="Z75" s="50" t="str">
        <f>IF(CCUS_Projects_Database!$S75&lt;&gt;"",HYPERLINK(CCUS_Projects_Database!$S75,"Link 2"),"")</f>
        <v/>
      </c>
      <c r="AA75" s="50" t="str">
        <f>IF(CCUS_Projects_Database!$T75&lt;&gt;"",HYPERLINK(CCUS_Projects_Database!$T75,"Link 3"),"")</f>
        <v/>
      </c>
      <c r="AB75" s="50" t="str">
        <f>IF(CCUS_Projects_Database!$U75&lt;&gt;"",HYPERLINK(CCUS_Projects_Database!$U75,"Link 4"),"")</f>
        <v/>
      </c>
      <c r="AC75" s="50" t="str">
        <f>IF(CCUS_Projects_Database!$V75&lt;&gt;"",HYPERLINK(CCUS_Projects_Database!$V75,"Link 5"),"")</f>
        <v/>
      </c>
      <c r="AD75" s="50" t="str">
        <f>IF(CCUS_Projects_Database!$W75&lt;&gt;"",HYPERLINK(CCUS_Projects_Database!$W75,"Link 6"),"")</f>
        <v/>
      </c>
      <c r="AE75" s="50" t="str">
        <f>IF(CCUS_Projects_Database!$X75&lt;&gt;"",HYPERLINK(CCUS_Projects_Database!$X75,"Link 7"),"")</f>
        <v/>
      </c>
    </row>
    <row r="76" ht="15.75" customHeight="1">
      <c r="A76" s="37" t="s">
        <v>423</v>
      </c>
      <c r="B76" s="38">
        <v>519.0</v>
      </c>
      <c r="C76" s="38" t="s">
        <v>157</v>
      </c>
      <c r="D76" s="39" t="s">
        <v>424</v>
      </c>
      <c r="E76" s="38" t="s">
        <v>14</v>
      </c>
      <c r="F76" s="38">
        <v>2022.0</v>
      </c>
      <c r="G76" s="38">
        <v>2027.0</v>
      </c>
      <c r="H76" s="38">
        <v>2030.0</v>
      </c>
      <c r="I76" s="38" t="s">
        <v>124</v>
      </c>
      <c r="J76" s="38" t="s">
        <v>28</v>
      </c>
      <c r="K76" s="40" t="s">
        <v>124</v>
      </c>
      <c r="L76" s="51">
        <v>7.5</v>
      </c>
      <c r="M76" s="40">
        <v>10.0</v>
      </c>
      <c r="N76" s="38" t="s">
        <v>14</v>
      </c>
      <c r="O76" s="41" t="s">
        <v>71</v>
      </c>
      <c r="P76" s="42" t="s">
        <v>425</v>
      </c>
      <c r="Q76" s="38" t="s">
        <v>125</v>
      </c>
      <c r="R76" s="42" t="s">
        <v>426</v>
      </c>
      <c r="S76" s="42" t="s">
        <v>427</v>
      </c>
      <c r="T76" s="42" t="s">
        <v>428</v>
      </c>
      <c r="U76" s="42" t="s">
        <v>429</v>
      </c>
      <c r="V76" s="42" t="s">
        <v>124</v>
      </c>
      <c r="W76" s="42" t="s">
        <v>124</v>
      </c>
      <c r="X76" s="42" t="s">
        <v>124</v>
      </c>
      <c r="Y76" s="43" t="str">
        <f>IF(CCUS_Projects_Database!$R76&lt;&gt;"",HYPERLINK(CCUS_Projects_Database!$R76,"Link 1"),"")</f>
        <v>Link 1</v>
      </c>
      <c r="Z76" s="43" t="str">
        <f>IF(CCUS_Projects_Database!$S76&lt;&gt;"",HYPERLINK(CCUS_Projects_Database!$S76,"Link 2"),"")</f>
        <v>Link 2</v>
      </c>
      <c r="AA76" s="43" t="str">
        <f>IF(CCUS_Projects_Database!$T76&lt;&gt;"",HYPERLINK(CCUS_Projects_Database!$T76,"Link 3"),"")</f>
        <v>Link 3</v>
      </c>
      <c r="AB76" s="43" t="str">
        <f>IF(CCUS_Projects_Database!$U76&lt;&gt;"",HYPERLINK(CCUS_Projects_Database!$U76,"Link 4"),"")</f>
        <v>Link 4</v>
      </c>
      <c r="AC76" s="43" t="str">
        <f>IF(CCUS_Projects_Database!$V76&lt;&gt;"",HYPERLINK(CCUS_Projects_Database!$V76,"Link 5"),"")</f>
        <v/>
      </c>
      <c r="AD76" s="43" t="str">
        <f>IF(CCUS_Projects_Database!$W76&lt;&gt;"",HYPERLINK(CCUS_Projects_Database!$W76,"Link 6"),"")</f>
        <v/>
      </c>
      <c r="AE76" s="43" t="str">
        <f>IF(CCUS_Projects_Database!$X76&lt;&gt;"",HYPERLINK(CCUS_Projects_Database!$X76,"Link 7"),"")</f>
        <v/>
      </c>
    </row>
    <row r="77" ht="15.75" customHeight="1">
      <c r="A77" s="44" t="s">
        <v>430</v>
      </c>
      <c r="B77" s="45">
        <v>43.0</v>
      </c>
      <c r="C77" s="45" t="s">
        <v>146</v>
      </c>
      <c r="D77" s="46" t="s">
        <v>431</v>
      </c>
      <c r="E77" s="45" t="s">
        <v>6</v>
      </c>
      <c r="F77" s="45">
        <v>2022.0</v>
      </c>
      <c r="G77" s="45" t="s">
        <v>124</v>
      </c>
      <c r="H77" s="45">
        <v>2030.0</v>
      </c>
      <c r="I77" s="45" t="s">
        <v>124</v>
      </c>
      <c r="J77" s="45" t="s">
        <v>28</v>
      </c>
      <c r="K77" s="47" t="s">
        <v>124</v>
      </c>
      <c r="L77" s="52">
        <v>1.4</v>
      </c>
      <c r="M77" s="47">
        <v>1.4</v>
      </c>
      <c r="N77" s="45" t="s">
        <v>54</v>
      </c>
      <c r="O77" s="48" t="s">
        <v>432</v>
      </c>
      <c r="P77" s="49" t="s">
        <v>433</v>
      </c>
      <c r="Q77" s="45" t="s">
        <v>148</v>
      </c>
      <c r="R77" s="49" t="s">
        <v>434</v>
      </c>
      <c r="S77" s="49" t="s">
        <v>365</v>
      </c>
      <c r="T77" s="49" t="s">
        <v>124</v>
      </c>
      <c r="U77" s="49" t="s">
        <v>124</v>
      </c>
      <c r="V77" s="49" t="s">
        <v>124</v>
      </c>
      <c r="W77" s="49" t="s">
        <v>124</v>
      </c>
      <c r="X77" s="49" t="s">
        <v>124</v>
      </c>
      <c r="Y77" s="50" t="str">
        <f>IF(CCUS_Projects_Database!$R77&lt;&gt;"",HYPERLINK(CCUS_Projects_Database!$R77,"Link 1"),"")</f>
        <v>Link 1</v>
      </c>
      <c r="Z77" s="50" t="str">
        <f>IF(CCUS_Projects_Database!$S77&lt;&gt;"",HYPERLINK(CCUS_Projects_Database!$S77,"Link 2"),"")</f>
        <v>Link 2</v>
      </c>
      <c r="AA77" s="50" t="str">
        <f>IF(CCUS_Projects_Database!$T77&lt;&gt;"",HYPERLINK(CCUS_Projects_Database!$T77,"Link 3"),"")</f>
        <v/>
      </c>
      <c r="AB77" s="50" t="str">
        <f>IF(CCUS_Projects_Database!$U77&lt;&gt;"",HYPERLINK(CCUS_Projects_Database!$U77,"Link 4"),"")</f>
        <v/>
      </c>
      <c r="AC77" s="50" t="str">
        <f>IF(CCUS_Projects_Database!$V77&lt;&gt;"",HYPERLINK(CCUS_Projects_Database!$V77,"Link 5"),"")</f>
        <v/>
      </c>
      <c r="AD77" s="50" t="str">
        <f>IF(CCUS_Projects_Database!$W77&lt;&gt;"",HYPERLINK(CCUS_Projects_Database!$W77,"Link 6"),"")</f>
        <v/>
      </c>
      <c r="AE77" s="50" t="str">
        <f>IF(CCUS_Projects_Database!$X77&lt;&gt;"",HYPERLINK(CCUS_Projects_Database!$X77,"Link 7"),"")</f>
        <v/>
      </c>
    </row>
    <row r="78" ht="15.75" customHeight="1">
      <c r="A78" s="37" t="s">
        <v>435</v>
      </c>
      <c r="B78" s="38">
        <v>342.0</v>
      </c>
      <c r="C78" s="38" t="s">
        <v>146</v>
      </c>
      <c r="D78" s="39" t="s">
        <v>436</v>
      </c>
      <c r="E78" s="38" t="s">
        <v>6</v>
      </c>
      <c r="F78" s="38">
        <v>2021.0</v>
      </c>
      <c r="G78" s="38" t="s">
        <v>124</v>
      </c>
      <c r="H78" s="38"/>
      <c r="I78" s="38" t="s">
        <v>124</v>
      </c>
      <c r="J78" s="38" t="s">
        <v>28</v>
      </c>
      <c r="K78" s="40" t="s">
        <v>124</v>
      </c>
      <c r="L78" s="40"/>
      <c r="M78" s="40" t="s">
        <v>124</v>
      </c>
      <c r="N78" s="38" t="s">
        <v>136</v>
      </c>
      <c r="O78" s="41" t="s">
        <v>77</v>
      </c>
      <c r="P78" s="42" t="s">
        <v>124</v>
      </c>
      <c r="Q78" s="38" t="s">
        <v>148</v>
      </c>
      <c r="R78" s="42" t="s">
        <v>437</v>
      </c>
      <c r="S78" s="42" t="s">
        <v>365</v>
      </c>
      <c r="T78" s="42" t="s">
        <v>124</v>
      </c>
      <c r="U78" s="42" t="s">
        <v>124</v>
      </c>
      <c r="V78" s="42" t="s">
        <v>124</v>
      </c>
      <c r="W78" s="42" t="s">
        <v>124</v>
      </c>
      <c r="X78" s="42" t="s">
        <v>124</v>
      </c>
      <c r="Y78" s="43" t="str">
        <f>IF(CCUS_Projects_Database!$R78&lt;&gt;"",HYPERLINK(CCUS_Projects_Database!$R78,"Link 1"),"")</f>
        <v>Link 1</v>
      </c>
      <c r="Z78" s="43" t="str">
        <f>IF(CCUS_Projects_Database!$S78&lt;&gt;"",HYPERLINK(CCUS_Projects_Database!$S78,"Link 2"),"")</f>
        <v>Link 2</v>
      </c>
      <c r="AA78" s="43" t="str">
        <f>IF(CCUS_Projects_Database!$T78&lt;&gt;"",HYPERLINK(CCUS_Projects_Database!$T78,"Link 3"),"")</f>
        <v/>
      </c>
      <c r="AB78" s="43" t="str">
        <f>IF(CCUS_Projects_Database!$U78&lt;&gt;"",HYPERLINK(CCUS_Projects_Database!$U78,"Link 4"),"")</f>
        <v/>
      </c>
      <c r="AC78" s="43" t="str">
        <f>IF(CCUS_Projects_Database!$V78&lt;&gt;"",HYPERLINK(CCUS_Projects_Database!$V78,"Link 5"),"")</f>
        <v/>
      </c>
      <c r="AD78" s="43" t="str">
        <f>IF(CCUS_Projects_Database!$W78&lt;&gt;"",HYPERLINK(CCUS_Projects_Database!$W78,"Link 6"),"")</f>
        <v/>
      </c>
      <c r="AE78" s="43" t="str">
        <f>IF(CCUS_Projects_Database!$X78&lt;&gt;"",HYPERLINK(CCUS_Projects_Database!$X78,"Link 7"),"")</f>
        <v/>
      </c>
    </row>
    <row r="79" ht="15.75" customHeight="1">
      <c r="A79" s="44" t="s">
        <v>438</v>
      </c>
      <c r="B79" s="45">
        <v>1053.0</v>
      </c>
      <c r="C79" s="45" t="s">
        <v>224</v>
      </c>
      <c r="D79" s="46" t="s">
        <v>439</v>
      </c>
      <c r="E79" s="45" t="s">
        <v>135</v>
      </c>
      <c r="F79" s="45">
        <v>2022.0</v>
      </c>
      <c r="G79" s="45">
        <v>2022.0</v>
      </c>
      <c r="H79" s="45">
        <v>2026.0</v>
      </c>
      <c r="I79" s="45" t="s">
        <v>124</v>
      </c>
      <c r="J79" s="45" t="s">
        <v>30</v>
      </c>
      <c r="K79" s="47">
        <v>1.0</v>
      </c>
      <c r="L79" s="52">
        <v>0.5</v>
      </c>
      <c r="M79" s="47">
        <v>0.5</v>
      </c>
      <c r="N79" s="45" t="s">
        <v>58</v>
      </c>
      <c r="O79" s="48" t="s">
        <v>77</v>
      </c>
      <c r="P79" s="49" t="s">
        <v>124</v>
      </c>
      <c r="Q79" s="45" t="s">
        <v>148</v>
      </c>
      <c r="R79" s="49" t="s">
        <v>440</v>
      </c>
      <c r="S79" s="49" t="s">
        <v>441</v>
      </c>
      <c r="T79" s="49" t="s">
        <v>124</v>
      </c>
      <c r="U79" s="49" t="s">
        <v>124</v>
      </c>
      <c r="V79" s="49" t="s">
        <v>124</v>
      </c>
      <c r="W79" s="49" t="s">
        <v>124</v>
      </c>
      <c r="X79" s="49" t="s">
        <v>124</v>
      </c>
      <c r="Y79" s="50" t="str">
        <f>IF(CCUS_Projects_Database!$R79&lt;&gt;"",HYPERLINK(CCUS_Projects_Database!$R79,"Link 1"),"")</f>
        <v>Link 1</v>
      </c>
      <c r="Z79" s="50" t="str">
        <f>IF(CCUS_Projects_Database!$S79&lt;&gt;"",HYPERLINK(CCUS_Projects_Database!$S79,"Link 2"),"")</f>
        <v>Link 2</v>
      </c>
      <c r="AA79" s="50" t="str">
        <f>IF(CCUS_Projects_Database!$T79&lt;&gt;"",HYPERLINK(CCUS_Projects_Database!$T79,"Link 3"),"")</f>
        <v/>
      </c>
      <c r="AB79" s="50" t="str">
        <f>IF(CCUS_Projects_Database!$U79&lt;&gt;"",HYPERLINK(CCUS_Projects_Database!$U79,"Link 4"),"")</f>
        <v/>
      </c>
      <c r="AC79" s="50" t="str">
        <f>IF(CCUS_Projects_Database!$V79&lt;&gt;"",HYPERLINK(CCUS_Projects_Database!$V79,"Link 5"),"")</f>
        <v/>
      </c>
      <c r="AD79" s="50" t="str">
        <f>IF(CCUS_Projects_Database!$W79&lt;&gt;"",HYPERLINK(CCUS_Projects_Database!$W79,"Link 6"),"")</f>
        <v/>
      </c>
      <c r="AE79" s="50" t="str">
        <f>IF(CCUS_Projects_Database!$X79&lt;&gt;"",HYPERLINK(CCUS_Projects_Database!$X79,"Link 7"),"")</f>
        <v/>
      </c>
    </row>
    <row r="80" ht="15.75" customHeight="1">
      <c r="A80" s="37" t="s">
        <v>442</v>
      </c>
      <c r="B80" s="38">
        <v>1054.0</v>
      </c>
      <c r="C80" s="38" t="s">
        <v>224</v>
      </c>
      <c r="D80" s="39" t="s">
        <v>439</v>
      </c>
      <c r="E80" s="38" t="s">
        <v>135</v>
      </c>
      <c r="F80" s="38">
        <v>2022.0</v>
      </c>
      <c r="G80" s="38">
        <v>2022.0</v>
      </c>
      <c r="H80" s="38">
        <v>2027.0</v>
      </c>
      <c r="I80" s="38" t="s">
        <v>124</v>
      </c>
      <c r="J80" s="38" t="s">
        <v>30</v>
      </c>
      <c r="K80" s="40">
        <v>2.0</v>
      </c>
      <c r="L80" s="51">
        <v>1.5</v>
      </c>
      <c r="M80" s="40">
        <v>1.5</v>
      </c>
      <c r="N80" s="38" t="s">
        <v>58</v>
      </c>
      <c r="O80" s="41" t="s">
        <v>77</v>
      </c>
      <c r="P80" s="42" t="s">
        <v>124</v>
      </c>
      <c r="Q80" s="38" t="s">
        <v>148</v>
      </c>
      <c r="R80" s="42" t="s">
        <v>440</v>
      </c>
      <c r="S80" s="42" t="s">
        <v>441</v>
      </c>
      <c r="T80" s="42" t="s">
        <v>124</v>
      </c>
      <c r="U80" s="42" t="s">
        <v>124</v>
      </c>
      <c r="V80" s="42" t="s">
        <v>124</v>
      </c>
      <c r="W80" s="42" t="s">
        <v>124</v>
      </c>
      <c r="X80" s="42" t="s">
        <v>124</v>
      </c>
      <c r="Y80" s="43" t="str">
        <f>IF(CCUS_Projects_Database!$R80&lt;&gt;"",HYPERLINK(CCUS_Projects_Database!$R80,"Link 1"),"")</f>
        <v>Link 1</v>
      </c>
      <c r="Z80" s="43" t="str">
        <f>IF(CCUS_Projects_Database!$S80&lt;&gt;"",HYPERLINK(CCUS_Projects_Database!$S80,"Link 2"),"")</f>
        <v>Link 2</v>
      </c>
      <c r="AA80" s="43" t="str">
        <f>IF(CCUS_Projects_Database!$T80&lt;&gt;"",HYPERLINK(CCUS_Projects_Database!$T80,"Link 3"),"")</f>
        <v/>
      </c>
      <c r="AB80" s="43" t="str">
        <f>IF(CCUS_Projects_Database!$U80&lt;&gt;"",HYPERLINK(CCUS_Projects_Database!$U80,"Link 4"),"")</f>
        <v/>
      </c>
      <c r="AC80" s="43" t="str">
        <f>IF(CCUS_Projects_Database!$V80&lt;&gt;"",HYPERLINK(CCUS_Projects_Database!$V80,"Link 5"),"")</f>
        <v/>
      </c>
      <c r="AD80" s="43" t="str">
        <f>IF(CCUS_Projects_Database!$W80&lt;&gt;"",HYPERLINK(CCUS_Projects_Database!$W80,"Link 6"),"")</f>
        <v/>
      </c>
      <c r="AE80" s="43" t="str">
        <f>IF(CCUS_Projects_Database!$X80&lt;&gt;"",HYPERLINK(CCUS_Projects_Database!$X80,"Link 7"),"")</f>
        <v/>
      </c>
    </row>
    <row r="81" ht="15.75" customHeight="1">
      <c r="A81" s="44" t="s">
        <v>443</v>
      </c>
      <c r="B81" s="45">
        <v>949.0</v>
      </c>
      <c r="C81" s="45" t="s">
        <v>291</v>
      </c>
      <c r="D81" s="46" t="s">
        <v>444</v>
      </c>
      <c r="E81" s="45" t="s">
        <v>14</v>
      </c>
      <c r="F81" s="45">
        <v>2023.0</v>
      </c>
      <c r="G81" s="45" t="s">
        <v>124</v>
      </c>
      <c r="H81" s="45" t="s">
        <v>124</v>
      </c>
      <c r="I81" s="45" t="s">
        <v>124</v>
      </c>
      <c r="J81" s="45" t="s">
        <v>28</v>
      </c>
      <c r="K81" s="47" t="s">
        <v>124</v>
      </c>
      <c r="L81" s="47"/>
      <c r="M81" s="47" t="s">
        <v>124</v>
      </c>
      <c r="N81" s="45" t="s">
        <v>14</v>
      </c>
      <c r="O81" s="48" t="s">
        <v>71</v>
      </c>
      <c r="P81" s="49" t="s">
        <v>124</v>
      </c>
      <c r="Q81" s="45" t="s">
        <v>137</v>
      </c>
      <c r="R81" s="49" t="s">
        <v>445</v>
      </c>
      <c r="S81" s="49" t="s">
        <v>124</v>
      </c>
      <c r="T81" s="49" t="s">
        <v>124</v>
      </c>
      <c r="U81" s="49" t="s">
        <v>124</v>
      </c>
      <c r="V81" s="49" t="s">
        <v>124</v>
      </c>
      <c r="W81" s="49" t="s">
        <v>124</v>
      </c>
      <c r="X81" s="49" t="s">
        <v>124</v>
      </c>
      <c r="Y81" s="50" t="str">
        <f>IF(CCUS_Projects_Database!$R81&lt;&gt;"",HYPERLINK(CCUS_Projects_Database!$R81,"Link 1"),"")</f>
        <v>Link 1</v>
      </c>
      <c r="Z81" s="50" t="str">
        <f>IF(CCUS_Projects_Database!$S81&lt;&gt;"",HYPERLINK(CCUS_Projects_Database!$S81,"Link 2"),"")</f>
        <v/>
      </c>
      <c r="AA81" s="50" t="str">
        <f>IF(CCUS_Projects_Database!$T81&lt;&gt;"",HYPERLINK(CCUS_Projects_Database!$T81,"Link 3"),"")</f>
        <v/>
      </c>
      <c r="AB81" s="50" t="str">
        <f>IF(CCUS_Projects_Database!$U81&lt;&gt;"",HYPERLINK(CCUS_Projects_Database!$U81,"Link 4"),"")</f>
        <v/>
      </c>
      <c r="AC81" s="50" t="str">
        <f>IF(CCUS_Projects_Database!$V81&lt;&gt;"",HYPERLINK(CCUS_Projects_Database!$V81,"Link 5"),"")</f>
        <v/>
      </c>
      <c r="AD81" s="50" t="str">
        <f>IF(CCUS_Projects_Database!$W81&lt;&gt;"",HYPERLINK(CCUS_Projects_Database!$W81,"Link 6"),"")</f>
        <v/>
      </c>
      <c r="AE81" s="50" t="str">
        <f>IF(CCUS_Projects_Database!$X81&lt;&gt;"",HYPERLINK(CCUS_Projects_Database!$X81,"Link 7"),"")</f>
        <v/>
      </c>
    </row>
    <row r="82" ht="15.75" customHeight="1">
      <c r="A82" s="37" t="s">
        <v>446</v>
      </c>
      <c r="B82" s="38">
        <v>44.0</v>
      </c>
      <c r="C82" s="38" t="s">
        <v>284</v>
      </c>
      <c r="D82" s="39" t="s">
        <v>447</v>
      </c>
      <c r="E82" s="38" t="s">
        <v>8</v>
      </c>
      <c r="F82" s="38">
        <v>2021.0</v>
      </c>
      <c r="G82" s="38">
        <v>2024.0</v>
      </c>
      <c r="H82" s="38">
        <v>2028.0</v>
      </c>
      <c r="I82" s="38" t="s">
        <v>124</v>
      </c>
      <c r="J82" s="38" t="s">
        <v>28</v>
      </c>
      <c r="K82" s="40">
        <v>1.0</v>
      </c>
      <c r="L82" s="51">
        <v>1.92</v>
      </c>
      <c r="M82" s="40">
        <v>2.0</v>
      </c>
      <c r="N82" s="38" t="s">
        <v>136</v>
      </c>
      <c r="O82" s="41" t="s">
        <v>71</v>
      </c>
      <c r="P82" s="42" t="s">
        <v>448</v>
      </c>
      <c r="Q82" s="38" t="s">
        <v>125</v>
      </c>
      <c r="R82" s="42" t="s">
        <v>449</v>
      </c>
      <c r="S82" s="42" t="s">
        <v>450</v>
      </c>
      <c r="T82" s="42" t="s">
        <v>124</v>
      </c>
      <c r="U82" s="42" t="s">
        <v>124</v>
      </c>
      <c r="V82" s="42" t="s">
        <v>124</v>
      </c>
      <c r="W82" s="42" t="s">
        <v>124</v>
      </c>
      <c r="X82" s="42" t="s">
        <v>124</v>
      </c>
      <c r="Y82" s="43" t="str">
        <f>IF(CCUS_Projects_Database!$R82&lt;&gt;"",HYPERLINK(CCUS_Projects_Database!$R82,"Link 1"),"")</f>
        <v>Link 1</v>
      </c>
      <c r="Z82" s="43" t="str">
        <f>IF(CCUS_Projects_Database!$S82&lt;&gt;"",HYPERLINK(CCUS_Projects_Database!$S82,"Link 2"),"")</f>
        <v>Link 2</v>
      </c>
      <c r="AA82" s="43" t="str">
        <f>IF(CCUS_Projects_Database!$T82&lt;&gt;"",HYPERLINK(CCUS_Projects_Database!$T82,"Link 3"),"")</f>
        <v/>
      </c>
      <c r="AB82" s="43" t="str">
        <f>IF(CCUS_Projects_Database!$U82&lt;&gt;"",HYPERLINK(CCUS_Projects_Database!$U82,"Link 4"),"")</f>
        <v/>
      </c>
      <c r="AC82" s="43" t="str">
        <f>IF(CCUS_Projects_Database!$V82&lt;&gt;"",HYPERLINK(CCUS_Projects_Database!$V82,"Link 5"),"")</f>
        <v/>
      </c>
      <c r="AD82" s="43" t="str">
        <f>IF(CCUS_Projects_Database!$W82&lt;&gt;"",HYPERLINK(CCUS_Projects_Database!$W82,"Link 6"),"")</f>
        <v/>
      </c>
      <c r="AE82" s="43" t="str">
        <f>IF(CCUS_Projects_Database!$X82&lt;&gt;"",HYPERLINK(CCUS_Projects_Database!$X82,"Link 7"),"")</f>
        <v/>
      </c>
    </row>
    <row r="83" ht="15.75" customHeight="1">
      <c r="A83" s="44" t="s">
        <v>451</v>
      </c>
      <c r="B83" s="45">
        <v>45.0</v>
      </c>
      <c r="C83" s="45" t="s">
        <v>284</v>
      </c>
      <c r="D83" s="46" t="s">
        <v>447</v>
      </c>
      <c r="E83" s="45" t="s">
        <v>8</v>
      </c>
      <c r="F83" s="45">
        <v>2021.0</v>
      </c>
      <c r="G83" s="45" t="s">
        <v>124</v>
      </c>
      <c r="H83" s="45" t="s">
        <v>124</v>
      </c>
      <c r="I83" s="45" t="s">
        <v>124</v>
      </c>
      <c r="J83" s="45" t="s">
        <v>28</v>
      </c>
      <c r="K83" s="47">
        <v>2.0</v>
      </c>
      <c r="L83" s="52">
        <v>1.92</v>
      </c>
      <c r="M83" s="47">
        <v>2.0</v>
      </c>
      <c r="N83" s="45" t="s">
        <v>136</v>
      </c>
      <c r="O83" s="48" t="s">
        <v>71</v>
      </c>
      <c r="P83" s="49" t="s">
        <v>448</v>
      </c>
      <c r="Q83" s="45" t="s">
        <v>125</v>
      </c>
      <c r="R83" s="49" t="s">
        <v>449</v>
      </c>
      <c r="S83" s="49" t="s">
        <v>450</v>
      </c>
      <c r="T83" s="49" t="s">
        <v>124</v>
      </c>
      <c r="U83" s="49" t="s">
        <v>124</v>
      </c>
      <c r="V83" s="49" t="s">
        <v>124</v>
      </c>
      <c r="W83" s="49" t="s">
        <v>124</v>
      </c>
      <c r="X83" s="49" t="s">
        <v>124</v>
      </c>
      <c r="Y83" s="50" t="str">
        <f>IF(CCUS_Projects_Database!$R83&lt;&gt;"",HYPERLINK(CCUS_Projects_Database!$R83,"Link 1"),"")</f>
        <v>Link 1</v>
      </c>
      <c r="Z83" s="50" t="str">
        <f>IF(CCUS_Projects_Database!$S83&lt;&gt;"",HYPERLINK(CCUS_Projects_Database!$S83,"Link 2"),"")</f>
        <v>Link 2</v>
      </c>
      <c r="AA83" s="50" t="str">
        <f>IF(CCUS_Projects_Database!$T83&lt;&gt;"",HYPERLINK(CCUS_Projects_Database!$T83,"Link 3"),"")</f>
        <v/>
      </c>
      <c r="AB83" s="50" t="str">
        <f>IF(CCUS_Projects_Database!$U83&lt;&gt;"",HYPERLINK(CCUS_Projects_Database!$U83,"Link 4"),"")</f>
        <v/>
      </c>
      <c r="AC83" s="50" t="str">
        <f>IF(CCUS_Projects_Database!$V83&lt;&gt;"",HYPERLINK(CCUS_Projects_Database!$V83,"Link 5"),"")</f>
        <v/>
      </c>
      <c r="AD83" s="50" t="str">
        <f>IF(CCUS_Projects_Database!$W83&lt;&gt;"",HYPERLINK(CCUS_Projects_Database!$W83,"Link 6"),"")</f>
        <v/>
      </c>
      <c r="AE83" s="50" t="str">
        <f>IF(CCUS_Projects_Database!$X83&lt;&gt;"",HYPERLINK(CCUS_Projects_Database!$X83,"Link 7"),"")</f>
        <v/>
      </c>
    </row>
    <row r="84" ht="15.75" customHeight="1">
      <c r="A84" s="37" t="s">
        <v>452</v>
      </c>
      <c r="B84" s="38">
        <v>46.0</v>
      </c>
      <c r="C84" s="38" t="s">
        <v>284</v>
      </c>
      <c r="D84" s="39" t="s">
        <v>447</v>
      </c>
      <c r="E84" s="38" t="s">
        <v>8</v>
      </c>
      <c r="F84" s="38">
        <v>2021.0</v>
      </c>
      <c r="G84" s="38" t="s">
        <v>124</v>
      </c>
      <c r="H84" s="38" t="s">
        <v>124</v>
      </c>
      <c r="I84" s="38" t="s">
        <v>124</v>
      </c>
      <c r="J84" s="38" t="s">
        <v>28</v>
      </c>
      <c r="K84" s="40">
        <v>3.0</v>
      </c>
      <c r="L84" s="51">
        <v>1.92</v>
      </c>
      <c r="M84" s="40">
        <v>2.0</v>
      </c>
      <c r="N84" s="38" t="s">
        <v>136</v>
      </c>
      <c r="O84" s="41" t="s">
        <v>71</v>
      </c>
      <c r="P84" s="42" t="s">
        <v>448</v>
      </c>
      <c r="Q84" s="38" t="s">
        <v>125</v>
      </c>
      <c r="R84" s="42" t="s">
        <v>449</v>
      </c>
      <c r="S84" s="42" t="s">
        <v>450</v>
      </c>
      <c r="T84" s="42" t="s">
        <v>124</v>
      </c>
      <c r="U84" s="42" t="s">
        <v>124</v>
      </c>
      <c r="V84" s="42" t="s">
        <v>124</v>
      </c>
      <c r="W84" s="42" t="s">
        <v>124</v>
      </c>
      <c r="X84" s="42" t="s">
        <v>124</v>
      </c>
      <c r="Y84" s="43" t="str">
        <f>IF(CCUS_Projects_Database!$R84&lt;&gt;"",HYPERLINK(CCUS_Projects_Database!$R84,"Link 1"),"")</f>
        <v>Link 1</v>
      </c>
      <c r="Z84" s="43" t="str">
        <f>IF(CCUS_Projects_Database!$S84&lt;&gt;"",HYPERLINK(CCUS_Projects_Database!$S84,"Link 2"),"")</f>
        <v>Link 2</v>
      </c>
      <c r="AA84" s="43" t="str">
        <f>IF(CCUS_Projects_Database!$T84&lt;&gt;"",HYPERLINK(CCUS_Projects_Database!$T84,"Link 3"),"")</f>
        <v/>
      </c>
      <c r="AB84" s="43" t="str">
        <f>IF(CCUS_Projects_Database!$U84&lt;&gt;"",HYPERLINK(CCUS_Projects_Database!$U84,"Link 4"),"")</f>
        <v/>
      </c>
      <c r="AC84" s="43" t="str">
        <f>IF(CCUS_Projects_Database!$V84&lt;&gt;"",HYPERLINK(CCUS_Projects_Database!$V84,"Link 5"),"")</f>
        <v/>
      </c>
      <c r="AD84" s="43" t="str">
        <f>IF(CCUS_Projects_Database!$W84&lt;&gt;"",HYPERLINK(CCUS_Projects_Database!$W84,"Link 6"),"")</f>
        <v/>
      </c>
      <c r="AE84" s="43" t="str">
        <f>IF(CCUS_Projects_Database!$X84&lt;&gt;"",HYPERLINK(CCUS_Projects_Database!$X84,"Link 7"),"")</f>
        <v/>
      </c>
    </row>
    <row r="85" ht="15.75" customHeight="1">
      <c r="A85" s="44" t="s">
        <v>453</v>
      </c>
      <c r="B85" s="45">
        <v>47.0</v>
      </c>
      <c r="C85" s="45" t="s">
        <v>181</v>
      </c>
      <c r="D85" s="46" t="s">
        <v>454</v>
      </c>
      <c r="E85" s="45" t="s">
        <v>8</v>
      </c>
      <c r="F85" s="45">
        <v>2021.0</v>
      </c>
      <c r="G85" s="45">
        <v>2024.0</v>
      </c>
      <c r="H85" s="45">
        <v>2025.0</v>
      </c>
      <c r="I85" s="45" t="s">
        <v>124</v>
      </c>
      <c r="J85" s="45" t="s">
        <v>28</v>
      </c>
      <c r="K85" s="47" t="s">
        <v>124</v>
      </c>
      <c r="L85" s="52">
        <v>2.3</v>
      </c>
      <c r="M85" s="47">
        <v>2.3</v>
      </c>
      <c r="N85" s="45" t="s">
        <v>48</v>
      </c>
      <c r="O85" s="48" t="s">
        <v>71</v>
      </c>
      <c r="P85" s="49" t="s">
        <v>455</v>
      </c>
      <c r="Q85" s="45" t="s">
        <v>184</v>
      </c>
      <c r="R85" s="49" t="s">
        <v>456</v>
      </c>
      <c r="S85" s="49" t="s">
        <v>457</v>
      </c>
      <c r="T85" s="49" t="s">
        <v>458</v>
      </c>
      <c r="U85" s="49" t="s">
        <v>459</v>
      </c>
      <c r="V85" s="49" t="s">
        <v>460</v>
      </c>
      <c r="W85" s="49" t="s">
        <v>461</v>
      </c>
      <c r="X85" s="49" t="s">
        <v>124</v>
      </c>
      <c r="Y85" s="50" t="str">
        <f>IF(CCUS_Projects_Database!$R85&lt;&gt;"",HYPERLINK(CCUS_Projects_Database!$R85,"Link 1"),"")</f>
        <v>Link 1</v>
      </c>
      <c r="Z85" s="50" t="str">
        <f>IF(CCUS_Projects_Database!$S85&lt;&gt;"",HYPERLINK(CCUS_Projects_Database!$S85,"Link 2"),"")</f>
        <v>Link 2</v>
      </c>
      <c r="AA85" s="50" t="str">
        <f>IF(CCUS_Projects_Database!$T85&lt;&gt;"",HYPERLINK(CCUS_Projects_Database!$T85,"Link 3"),"")</f>
        <v>Link 3</v>
      </c>
      <c r="AB85" s="50" t="str">
        <f>IF(CCUS_Projects_Database!$U85&lt;&gt;"",HYPERLINK(CCUS_Projects_Database!$U85,"Link 4"),"")</f>
        <v>Link 4</v>
      </c>
      <c r="AC85" s="50" t="str">
        <f>IF(CCUS_Projects_Database!$V85&lt;&gt;"",HYPERLINK(CCUS_Projects_Database!$V85,"Link 5"),"")</f>
        <v>Link 5</v>
      </c>
      <c r="AD85" s="50" t="str">
        <f>IF(CCUS_Projects_Database!$W85&lt;&gt;"",HYPERLINK(CCUS_Projects_Database!$W85,"Link 6"),"")</f>
        <v>Link 6</v>
      </c>
      <c r="AE85" s="50" t="str">
        <f>IF(CCUS_Projects_Database!$X85&lt;&gt;"",HYPERLINK(CCUS_Projects_Database!$X85,"Link 7"),"")</f>
        <v/>
      </c>
    </row>
    <row r="86" ht="15.75" customHeight="1">
      <c r="A86" s="37" t="s">
        <v>462</v>
      </c>
      <c r="B86" s="38">
        <v>497.0</v>
      </c>
      <c r="C86" s="38" t="s">
        <v>239</v>
      </c>
      <c r="D86" s="39" t="s">
        <v>463</v>
      </c>
      <c r="E86" s="38" t="s">
        <v>12</v>
      </c>
      <c r="F86" s="38">
        <v>2022.0</v>
      </c>
      <c r="G86" s="38">
        <v>2024.0</v>
      </c>
      <c r="H86" s="38">
        <v>2027.0</v>
      </c>
      <c r="I86" s="38" t="s">
        <v>124</v>
      </c>
      <c r="J86" s="38" t="s">
        <v>28</v>
      </c>
      <c r="K86" s="40" t="s">
        <v>124</v>
      </c>
      <c r="L86" s="51">
        <v>5.0</v>
      </c>
      <c r="M86" s="40">
        <v>5.0</v>
      </c>
      <c r="N86" s="38" t="s">
        <v>12</v>
      </c>
      <c r="O86" s="41" t="s">
        <v>71</v>
      </c>
      <c r="P86" s="42" t="s">
        <v>462</v>
      </c>
      <c r="Q86" s="38" t="s">
        <v>143</v>
      </c>
      <c r="R86" s="42" t="s">
        <v>464</v>
      </c>
      <c r="S86" s="42" t="s">
        <v>465</v>
      </c>
      <c r="T86" s="42" t="s">
        <v>466</v>
      </c>
      <c r="U86" s="42" t="s">
        <v>124</v>
      </c>
      <c r="V86" s="42" t="s">
        <v>124</v>
      </c>
      <c r="W86" s="42" t="s">
        <v>124</v>
      </c>
      <c r="X86" s="42" t="s">
        <v>124</v>
      </c>
      <c r="Y86" s="43" t="str">
        <f>IF(CCUS_Projects_Database!$R86&lt;&gt;"",HYPERLINK(CCUS_Projects_Database!$R86,"Link 1"),"")</f>
        <v>Link 1</v>
      </c>
      <c r="Z86" s="43" t="str">
        <f>IF(CCUS_Projects_Database!$S86&lt;&gt;"",HYPERLINK(CCUS_Projects_Database!$S86,"Link 2"),"")</f>
        <v>Link 2</v>
      </c>
      <c r="AA86" s="43" t="str">
        <f>IF(CCUS_Projects_Database!$T86&lt;&gt;"",HYPERLINK(CCUS_Projects_Database!$T86,"Link 3"),"")</f>
        <v>Link 3</v>
      </c>
      <c r="AB86" s="43" t="str">
        <f>IF(CCUS_Projects_Database!$U86&lt;&gt;"",HYPERLINK(CCUS_Projects_Database!$U86,"Link 4"),"")</f>
        <v/>
      </c>
      <c r="AC86" s="43" t="str">
        <f>IF(CCUS_Projects_Database!$V86&lt;&gt;"",HYPERLINK(CCUS_Projects_Database!$V86,"Link 5"),"")</f>
        <v/>
      </c>
      <c r="AD86" s="43" t="str">
        <f>IF(CCUS_Projects_Database!$W86&lt;&gt;"",HYPERLINK(CCUS_Projects_Database!$W86,"Link 6"),"")</f>
        <v/>
      </c>
      <c r="AE86" s="43" t="str">
        <f>IF(CCUS_Projects_Database!$X86&lt;&gt;"",HYPERLINK(CCUS_Projects_Database!$X86,"Link 7"),"")</f>
        <v/>
      </c>
    </row>
    <row r="87" ht="15.75" customHeight="1">
      <c r="A87" s="44" t="s">
        <v>467</v>
      </c>
      <c r="B87" s="45">
        <v>49.0</v>
      </c>
      <c r="C87" s="45" t="s">
        <v>141</v>
      </c>
      <c r="D87" s="46" t="s">
        <v>468</v>
      </c>
      <c r="E87" s="45" t="s">
        <v>12</v>
      </c>
      <c r="F87" s="45">
        <v>2021.0</v>
      </c>
      <c r="G87" s="45" t="s">
        <v>124</v>
      </c>
      <c r="H87" s="45" t="s">
        <v>124</v>
      </c>
      <c r="I87" s="45" t="s">
        <v>124</v>
      </c>
      <c r="J87" s="45" t="s">
        <v>28</v>
      </c>
      <c r="K87" s="47" t="s">
        <v>124</v>
      </c>
      <c r="L87" s="47"/>
      <c r="M87" s="47" t="s">
        <v>124</v>
      </c>
      <c r="N87" s="45" t="s">
        <v>12</v>
      </c>
      <c r="O87" s="48" t="s">
        <v>71</v>
      </c>
      <c r="P87" s="49" t="s">
        <v>467</v>
      </c>
      <c r="Q87" s="45" t="s">
        <v>143</v>
      </c>
      <c r="R87" s="49" t="s">
        <v>469</v>
      </c>
      <c r="S87" s="49" t="s">
        <v>470</v>
      </c>
      <c r="T87" s="49" t="s">
        <v>124</v>
      </c>
      <c r="U87" s="49" t="s">
        <v>124</v>
      </c>
      <c r="V87" s="49" t="s">
        <v>124</v>
      </c>
      <c r="W87" s="49" t="s">
        <v>124</v>
      </c>
      <c r="X87" s="49" t="s">
        <v>124</v>
      </c>
      <c r="Y87" s="50" t="str">
        <f>IF(CCUS_Projects_Database!$R87&lt;&gt;"",HYPERLINK(CCUS_Projects_Database!$R87,"Link 1"),"")</f>
        <v>Link 1</v>
      </c>
      <c r="Z87" s="50" t="str">
        <f>IF(CCUS_Projects_Database!$S87&lt;&gt;"",HYPERLINK(CCUS_Projects_Database!$S87,"Link 2"),"")</f>
        <v>Link 2</v>
      </c>
      <c r="AA87" s="50" t="str">
        <f>IF(CCUS_Projects_Database!$T87&lt;&gt;"",HYPERLINK(CCUS_Projects_Database!$T87,"Link 3"),"")</f>
        <v/>
      </c>
      <c r="AB87" s="50" t="str">
        <f>IF(CCUS_Projects_Database!$U87&lt;&gt;"",HYPERLINK(CCUS_Projects_Database!$U87,"Link 4"),"")</f>
        <v/>
      </c>
      <c r="AC87" s="50" t="str">
        <f>IF(CCUS_Projects_Database!$V87&lt;&gt;"",HYPERLINK(CCUS_Projects_Database!$V87,"Link 5"),"")</f>
        <v/>
      </c>
      <c r="AD87" s="50" t="str">
        <f>IF(CCUS_Projects_Database!$W87&lt;&gt;"",HYPERLINK(CCUS_Projects_Database!$W87,"Link 6"),"")</f>
        <v/>
      </c>
      <c r="AE87" s="50" t="str">
        <f>IF(CCUS_Projects_Database!$X87&lt;&gt;"",HYPERLINK(CCUS_Projects_Database!$X87,"Link 7"),"")</f>
        <v/>
      </c>
    </row>
    <row r="88" ht="15.75" customHeight="1">
      <c r="A88" s="37" t="s">
        <v>471</v>
      </c>
      <c r="B88" s="38">
        <v>50.0</v>
      </c>
      <c r="C88" s="38" t="s">
        <v>181</v>
      </c>
      <c r="D88" s="39" t="s">
        <v>472</v>
      </c>
      <c r="E88" s="38" t="s">
        <v>14</v>
      </c>
      <c r="F88" s="38">
        <v>2021.0</v>
      </c>
      <c r="G88" s="38">
        <v>2025.0</v>
      </c>
      <c r="H88" s="38">
        <v>2028.0</v>
      </c>
      <c r="I88" s="38" t="s">
        <v>124</v>
      </c>
      <c r="J88" s="38" t="s">
        <v>28</v>
      </c>
      <c r="K88" s="40">
        <v>1.0</v>
      </c>
      <c r="L88" s="51">
        <v>2.3</v>
      </c>
      <c r="M88" s="40">
        <v>2.3</v>
      </c>
      <c r="N88" s="38" t="s">
        <v>14</v>
      </c>
      <c r="O88" s="41" t="s">
        <v>71</v>
      </c>
      <c r="P88" s="42" t="s">
        <v>455</v>
      </c>
      <c r="Q88" s="38" t="s">
        <v>184</v>
      </c>
      <c r="R88" s="42" t="s">
        <v>458</v>
      </c>
      <c r="S88" s="42" t="s">
        <v>460</v>
      </c>
      <c r="T88" s="42" t="s">
        <v>473</v>
      </c>
      <c r="U88" s="42" t="s">
        <v>474</v>
      </c>
      <c r="V88" s="42" t="s">
        <v>475</v>
      </c>
      <c r="W88" s="42" t="s">
        <v>124</v>
      </c>
      <c r="X88" s="42" t="s">
        <v>124</v>
      </c>
      <c r="Y88" s="43" t="str">
        <f>IF(CCUS_Projects_Database!$R88&lt;&gt;"",HYPERLINK(CCUS_Projects_Database!$R88,"Link 1"),"")</f>
        <v>Link 1</v>
      </c>
      <c r="Z88" s="43" t="str">
        <f>IF(CCUS_Projects_Database!$S88&lt;&gt;"",HYPERLINK(CCUS_Projects_Database!$S88,"Link 2"),"")</f>
        <v>Link 2</v>
      </c>
      <c r="AA88" s="43" t="str">
        <f>IF(CCUS_Projects_Database!$T88&lt;&gt;"",HYPERLINK(CCUS_Projects_Database!$T88,"Link 3"),"")</f>
        <v>Link 3</v>
      </c>
      <c r="AB88" s="43" t="str">
        <f>IF(CCUS_Projects_Database!$U88&lt;&gt;"",HYPERLINK(CCUS_Projects_Database!$U88,"Link 4"),"")</f>
        <v>Link 4</v>
      </c>
      <c r="AC88" s="43" t="str">
        <f>IF(CCUS_Projects_Database!$V88&lt;&gt;"",HYPERLINK(CCUS_Projects_Database!$V88,"Link 5"),"")</f>
        <v>Link 5</v>
      </c>
      <c r="AD88" s="43" t="str">
        <f>IF(CCUS_Projects_Database!$W88&lt;&gt;"",HYPERLINK(CCUS_Projects_Database!$W88,"Link 6"),"")</f>
        <v/>
      </c>
      <c r="AE88" s="43" t="str">
        <f>IF(CCUS_Projects_Database!$X88&lt;&gt;"",HYPERLINK(CCUS_Projects_Database!$X88,"Link 7"),"")</f>
        <v/>
      </c>
    </row>
    <row r="89" ht="15.75" customHeight="1">
      <c r="A89" s="44" t="s">
        <v>476</v>
      </c>
      <c r="B89" s="45">
        <v>628.0</v>
      </c>
      <c r="C89" s="45" t="s">
        <v>181</v>
      </c>
      <c r="D89" s="46" t="s">
        <v>472</v>
      </c>
      <c r="E89" s="45" t="s">
        <v>14</v>
      </c>
      <c r="F89" s="45">
        <v>2021.0</v>
      </c>
      <c r="G89" s="45">
        <v>2025.0</v>
      </c>
      <c r="H89" s="45" t="s">
        <v>124</v>
      </c>
      <c r="I89" s="45" t="s">
        <v>124</v>
      </c>
      <c r="J89" s="45" t="s">
        <v>28</v>
      </c>
      <c r="K89" s="47">
        <v>2.0</v>
      </c>
      <c r="L89" s="52">
        <v>10.0</v>
      </c>
      <c r="M89" s="47">
        <v>10.0</v>
      </c>
      <c r="N89" s="45" t="s">
        <v>14</v>
      </c>
      <c r="O89" s="48" t="s">
        <v>71</v>
      </c>
      <c r="P89" s="49" t="s">
        <v>455</v>
      </c>
      <c r="Q89" s="45" t="s">
        <v>184</v>
      </c>
      <c r="R89" s="49" t="s">
        <v>473</v>
      </c>
      <c r="S89" s="49" t="s">
        <v>474</v>
      </c>
      <c r="T89" s="49" t="s">
        <v>124</v>
      </c>
      <c r="U89" s="49" t="s">
        <v>124</v>
      </c>
      <c r="V89" s="49" t="s">
        <v>124</v>
      </c>
      <c r="W89" s="49" t="s">
        <v>124</v>
      </c>
      <c r="X89" s="49" t="s">
        <v>124</v>
      </c>
      <c r="Y89" s="50" t="str">
        <f>IF(CCUS_Projects_Database!$R89&lt;&gt;"",HYPERLINK(CCUS_Projects_Database!$R89,"Link 1"),"")</f>
        <v>Link 1</v>
      </c>
      <c r="Z89" s="50" t="str">
        <f>IF(CCUS_Projects_Database!$S89&lt;&gt;"",HYPERLINK(CCUS_Projects_Database!$S89,"Link 2"),"")</f>
        <v>Link 2</v>
      </c>
      <c r="AA89" s="50" t="str">
        <f>IF(CCUS_Projects_Database!$T89&lt;&gt;"",HYPERLINK(CCUS_Projects_Database!$T89,"Link 3"),"")</f>
        <v/>
      </c>
      <c r="AB89" s="50" t="str">
        <f>IF(CCUS_Projects_Database!$U89&lt;&gt;"",HYPERLINK(CCUS_Projects_Database!$U89,"Link 4"),"")</f>
        <v/>
      </c>
      <c r="AC89" s="50" t="str">
        <f>IF(CCUS_Projects_Database!$V89&lt;&gt;"",HYPERLINK(CCUS_Projects_Database!$V89,"Link 5"),"")</f>
        <v/>
      </c>
      <c r="AD89" s="50" t="str">
        <f>IF(CCUS_Projects_Database!$W89&lt;&gt;"",HYPERLINK(CCUS_Projects_Database!$W89,"Link 6"),"")</f>
        <v/>
      </c>
      <c r="AE89" s="50" t="str">
        <f>IF(CCUS_Projects_Database!$X89&lt;&gt;"",HYPERLINK(CCUS_Projects_Database!$X89,"Link 7"),"")</f>
        <v/>
      </c>
    </row>
    <row r="90" ht="15.75" customHeight="1">
      <c r="A90" s="37" t="s">
        <v>477</v>
      </c>
      <c r="B90" s="38">
        <v>1044.0</v>
      </c>
      <c r="C90" s="38" t="s">
        <v>181</v>
      </c>
      <c r="D90" s="39" t="s">
        <v>478</v>
      </c>
      <c r="E90" s="38" t="s">
        <v>16</v>
      </c>
      <c r="F90" s="38">
        <v>2020.0</v>
      </c>
      <c r="G90" s="38" t="s">
        <v>124</v>
      </c>
      <c r="H90" s="38">
        <v>2027.0</v>
      </c>
      <c r="I90" s="38" t="s">
        <v>124</v>
      </c>
      <c r="J90" s="38" t="s">
        <v>28</v>
      </c>
      <c r="K90" s="40" t="s">
        <v>124</v>
      </c>
      <c r="L90" s="40"/>
      <c r="M90" s="40">
        <v>0.411</v>
      </c>
      <c r="N90" s="38" t="s">
        <v>46</v>
      </c>
      <c r="O90" s="41" t="s">
        <v>75</v>
      </c>
      <c r="P90" s="42" t="s">
        <v>124</v>
      </c>
      <c r="Q90" s="38" t="s">
        <v>184</v>
      </c>
      <c r="R90" s="42" t="s">
        <v>479</v>
      </c>
      <c r="S90" s="42" t="s">
        <v>124</v>
      </c>
      <c r="T90" s="42" t="s">
        <v>124</v>
      </c>
      <c r="U90" s="42" t="s">
        <v>124</v>
      </c>
      <c r="V90" s="42" t="s">
        <v>124</v>
      </c>
      <c r="W90" s="42" t="s">
        <v>124</v>
      </c>
      <c r="X90" s="42" t="s">
        <v>124</v>
      </c>
      <c r="Y90" s="43" t="str">
        <f>IF(CCUS_Projects_Database!$R90&lt;&gt;"",HYPERLINK(CCUS_Projects_Database!$R90,"Link 1"),"")</f>
        <v>Link 1</v>
      </c>
      <c r="Z90" s="43" t="str">
        <f>IF(CCUS_Projects_Database!$S90&lt;&gt;"",HYPERLINK(CCUS_Projects_Database!$S90,"Link 2"),"")</f>
        <v/>
      </c>
      <c r="AA90" s="43" t="str">
        <f>IF(CCUS_Projects_Database!$T90&lt;&gt;"",HYPERLINK(CCUS_Projects_Database!$T90,"Link 3"),"")</f>
        <v/>
      </c>
      <c r="AB90" s="43" t="str">
        <f>IF(CCUS_Projects_Database!$U90&lt;&gt;"",HYPERLINK(CCUS_Projects_Database!$U90,"Link 4"),"")</f>
        <v/>
      </c>
      <c r="AC90" s="43" t="str">
        <f>IF(CCUS_Projects_Database!$V90&lt;&gt;"",HYPERLINK(CCUS_Projects_Database!$V90,"Link 5"),"")</f>
        <v/>
      </c>
      <c r="AD90" s="43" t="str">
        <f>IF(CCUS_Projects_Database!$W90&lt;&gt;"",HYPERLINK(CCUS_Projects_Database!$W90,"Link 6"),"")</f>
        <v/>
      </c>
      <c r="AE90" s="43" t="str">
        <f>IF(CCUS_Projects_Database!$X90&lt;&gt;"",HYPERLINK(CCUS_Projects_Database!$X90,"Link 7"),"")</f>
        <v/>
      </c>
    </row>
    <row r="91" ht="15.75" customHeight="1">
      <c r="A91" s="44" t="s">
        <v>480</v>
      </c>
      <c r="B91" s="45">
        <v>1142.0</v>
      </c>
      <c r="C91" s="45" t="s">
        <v>481</v>
      </c>
      <c r="D91" s="46" t="s">
        <v>482</v>
      </c>
      <c r="E91" s="45" t="s">
        <v>8</v>
      </c>
      <c r="F91" s="45">
        <v>2023.0</v>
      </c>
      <c r="G91" s="45" t="s">
        <v>124</v>
      </c>
      <c r="H91" s="45">
        <v>2032.0</v>
      </c>
      <c r="I91" s="45" t="s">
        <v>124</v>
      </c>
      <c r="J91" s="45" t="s">
        <v>28</v>
      </c>
      <c r="K91" s="47" t="s">
        <v>124</v>
      </c>
      <c r="L91" s="52">
        <v>0.315</v>
      </c>
      <c r="M91" s="47">
        <v>0.315</v>
      </c>
      <c r="N91" s="45" t="s">
        <v>56</v>
      </c>
      <c r="O91" s="48" t="s">
        <v>71</v>
      </c>
      <c r="P91" s="49" t="s">
        <v>124</v>
      </c>
      <c r="Q91" s="45" t="s">
        <v>125</v>
      </c>
      <c r="R91" s="49" t="s">
        <v>407</v>
      </c>
      <c r="S91" s="49" t="s">
        <v>483</v>
      </c>
      <c r="T91" s="49" t="s">
        <v>124</v>
      </c>
      <c r="U91" s="49" t="s">
        <v>124</v>
      </c>
      <c r="V91" s="49" t="s">
        <v>124</v>
      </c>
      <c r="W91" s="49" t="s">
        <v>124</v>
      </c>
      <c r="X91" s="49" t="s">
        <v>124</v>
      </c>
      <c r="Y91" s="50" t="str">
        <f>IF(CCUS_Projects_Database!$R91&lt;&gt;"",HYPERLINK(CCUS_Projects_Database!$R91,"Link 1"),"")</f>
        <v>Link 1</v>
      </c>
      <c r="Z91" s="50" t="str">
        <f>IF(CCUS_Projects_Database!$S91&lt;&gt;"",HYPERLINK(CCUS_Projects_Database!$S91,"Link 2"),"")</f>
        <v>Link 2</v>
      </c>
      <c r="AA91" s="50" t="str">
        <f>IF(CCUS_Projects_Database!$T91&lt;&gt;"",HYPERLINK(CCUS_Projects_Database!$T91,"Link 3"),"")</f>
        <v/>
      </c>
      <c r="AB91" s="50" t="str">
        <f>IF(CCUS_Projects_Database!$U91&lt;&gt;"",HYPERLINK(CCUS_Projects_Database!$U91,"Link 4"),"")</f>
        <v/>
      </c>
      <c r="AC91" s="50" t="str">
        <f>IF(CCUS_Projects_Database!$V91&lt;&gt;"",HYPERLINK(CCUS_Projects_Database!$V91,"Link 5"),"")</f>
        <v/>
      </c>
      <c r="AD91" s="50" t="str">
        <f>IF(CCUS_Projects_Database!$W91&lt;&gt;"",HYPERLINK(CCUS_Projects_Database!$W91,"Link 6"),"")</f>
        <v/>
      </c>
      <c r="AE91" s="50" t="str">
        <f>IF(CCUS_Projects_Database!$X91&lt;&gt;"",HYPERLINK(CCUS_Projects_Database!$X91,"Link 7"),"")</f>
        <v/>
      </c>
    </row>
    <row r="92" ht="15.75" customHeight="1">
      <c r="A92" s="37" t="s">
        <v>484</v>
      </c>
      <c r="B92" s="38">
        <v>54.0</v>
      </c>
      <c r="C92" s="38" t="s">
        <v>181</v>
      </c>
      <c r="D92" s="39" t="s">
        <v>485</v>
      </c>
      <c r="E92" s="38" t="s">
        <v>16</v>
      </c>
      <c r="F92" s="38">
        <v>2022.0</v>
      </c>
      <c r="G92" s="38" t="s">
        <v>124</v>
      </c>
      <c r="H92" s="38" t="s">
        <v>124</v>
      </c>
      <c r="I92" s="38" t="s">
        <v>124</v>
      </c>
      <c r="J92" s="38" t="s">
        <v>28</v>
      </c>
      <c r="K92" s="40" t="s">
        <v>124</v>
      </c>
      <c r="L92" s="51">
        <v>0.1</v>
      </c>
      <c r="M92" s="40">
        <v>0.1</v>
      </c>
      <c r="N92" s="38" t="s">
        <v>56</v>
      </c>
      <c r="O92" s="41" t="s">
        <v>75</v>
      </c>
      <c r="P92" s="42" t="s">
        <v>124</v>
      </c>
      <c r="Q92" s="38" t="s">
        <v>184</v>
      </c>
      <c r="R92" s="42" t="s">
        <v>486</v>
      </c>
      <c r="S92" s="42" t="s">
        <v>487</v>
      </c>
      <c r="T92" s="42" t="s">
        <v>124</v>
      </c>
      <c r="U92" s="42" t="s">
        <v>124</v>
      </c>
      <c r="V92" s="42" t="s">
        <v>124</v>
      </c>
      <c r="W92" s="42" t="s">
        <v>124</v>
      </c>
      <c r="X92" s="42" t="s">
        <v>124</v>
      </c>
      <c r="Y92" s="43" t="str">
        <f>IF(CCUS_Projects_Database!$R92&lt;&gt;"",HYPERLINK(CCUS_Projects_Database!$R92,"Link 1"),"")</f>
        <v>Link 1</v>
      </c>
      <c r="Z92" s="43" t="str">
        <f>IF(CCUS_Projects_Database!$S92&lt;&gt;"",HYPERLINK(CCUS_Projects_Database!$S92,"Link 2"),"")</f>
        <v>Link 2</v>
      </c>
      <c r="AA92" s="43" t="str">
        <f>IF(CCUS_Projects_Database!$T92&lt;&gt;"",HYPERLINK(CCUS_Projects_Database!$T92,"Link 3"),"")</f>
        <v/>
      </c>
      <c r="AB92" s="43" t="str">
        <f>IF(CCUS_Projects_Database!$U92&lt;&gt;"",HYPERLINK(CCUS_Projects_Database!$U92,"Link 4"),"")</f>
        <v/>
      </c>
      <c r="AC92" s="43" t="str">
        <f>IF(CCUS_Projects_Database!$V92&lt;&gt;"",HYPERLINK(CCUS_Projects_Database!$V92,"Link 5"),"")</f>
        <v/>
      </c>
      <c r="AD92" s="43" t="str">
        <f>IF(CCUS_Projects_Database!$W92&lt;&gt;"",HYPERLINK(CCUS_Projects_Database!$W92,"Link 6"),"")</f>
        <v/>
      </c>
      <c r="AE92" s="43" t="str">
        <f>IF(CCUS_Projects_Database!$X92&lt;&gt;"",HYPERLINK(CCUS_Projects_Database!$X92,"Link 7"),"")</f>
        <v/>
      </c>
    </row>
    <row r="93" ht="15.75" customHeight="1">
      <c r="A93" s="44" t="s">
        <v>488</v>
      </c>
      <c r="B93" s="45">
        <v>1072.0</v>
      </c>
      <c r="C93" s="45" t="s">
        <v>141</v>
      </c>
      <c r="D93" s="46" t="s">
        <v>489</v>
      </c>
      <c r="E93" s="45" t="s">
        <v>8</v>
      </c>
      <c r="F93" s="45">
        <v>2024.0</v>
      </c>
      <c r="G93" s="45" t="s">
        <v>124</v>
      </c>
      <c r="H93" s="45">
        <v>2028.0</v>
      </c>
      <c r="I93" s="45" t="s">
        <v>124</v>
      </c>
      <c r="J93" s="45" t="s">
        <v>28</v>
      </c>
      <c r="K93" s="47" t="s">
        <v>124</v>
      </c>
      <c r="L93" s="52">
        <v>0.145</v>
      </c>
      <c r="M93" s="47">
        <v>0.145</v>
      </c>
      <c r="N93" s="45" t="s">
        <v>54</v>
      </c>
      <c r="O93" s="48" t="s">
        <v>77</v>
      </c>
      <c r="P93" s="49" t="s">
        <v>124</v>
      </c>
      <c r="Q93" s="45" t="s">
        <v>143</v>
      </c>
      <c r="R93" s="49" t="s">
        <v>490</v>
      </c>
      <c r="S93" s="49" t="s">
        <v>491</v>
      </c>
      <c r="T93" s="49" t="s">
        <v>124</v>
      </c>
      <c r="U93" s="49" t="s">
        <v>124</v>
      </c>
      <c r="V93" s="49" t="s">
        <v>124</v>
      </c>
      <c r="W93" s="49" t="s">
        <v>124</v>
      </c>
      <c r="X93" s="49" t="s">
        <v>124</v>
      </c>
      <c r="Y93" s="50" t="str">
        <f>IF(CCUS_Projects_Database!$R93&lt;&gt;"",HYPERLINK(CCUS_Projects_Database!$R93,"Link 1"),"")</f>
        <v>Link 1</v>
      </c>
      <c r="Z93" s="50" t="str">
        <f>IF(CCUS_Projects_Database!$S93&lt;&gt;"",HYPERLINK(CCUS_Projects_Database!$S93,"Link 2"),"")</f>
        <v>Link 2</v>
      </c>
      <c r="AA93" s="50" t="str">
        <f>IF(CCUS_Projects_Database!$T93&lt;&gt;"",HYPERLINK(CCUS_Projects_Database!$T93,"Link 3"),"")</f>
        <v/>
      </c>
      <c r="AB93" s="50" t="str">
        <f>IF(CCUS_Projects_Database!$U93&lt;&gt;"",HYPERLINK(CCUS_Projects_Database!$U93,"Link 4"),"")</f>
        <v/>
      </c>
      <c r="AC93" s="50" t="str">
        <f>IF(CCUS_Projects_Database!$V93&lt;&gt;"",HYPERLINK(CCUS_Projects_Database!$V93,"Link 5"),"")</f>
        <v/>
      </c>
      <c r="AD93" s="50" t="str">
        <f>IF(CCUS_Projects_Database!$W93&lt;&gt;"",HYPERLINK(CCUS_Projects_Database!$W93,"Link 6"),"")</f>
        <v/>
      </c>
      <c r="AE93" s="50" t="str">
        <f>IF(CCUS_Projects_Database!$X93&lt;&gt;"",HYPERLINK(CCUS_Projects_Database!$X93,"Link 7"),"")</f>
        <v/>
      </c>
    </row>
    <row r="94" ht="15.75" customHeight="1">
      <c r="A94" s="37" t="s">
        <v>492</v>
      </c>
      <c r="B94" s="38">
        <v>598.0</v>
      </c>
      <c r="C94" s="38" t="s">
        <v>493</v>
      </c>
      <c r="D94" s="39" t="s">
        <v>494</v>
      </c>
      <c r="E94" s="38" t="s">
        <v>6</v>
      </c>
      <c r="F94" s="38">
        <v>2022.0</v>
      </c>
      <c r="G94" s="38" t="s">
        <v>124</v>
      </c>
      <c r="H94" s="38" t="s">
        <v>124</v>
      </c>
      <c r="I94" s="38" t="s">
        <v>124</v>
      </c>
      <c r="J94" s="38" t="s">
        <v>28</v>
      </c>
      <c r="K94" s="40" t="s">
        <v>124</v>
      </c>
      <c r="L94" s="40"/>
      <c r="M94" s="40" t="s">
        <v>124</v>
      </c>
      <c r="N94" s="38" t="s">
        <v>48</v>
      </c>
      <c r="O94" s="41" t="s">
        <v>71</v>
      </c>
      <c r="P94" s="42" t="s">
        <v>124</v>
      </c>
      <c r="Q94" s="38" t="s">
        <v>148</v>
      </c>
      <c r="R94" s="42" t="s">
        <v>495</v>
      </c>
      <c r="S94" s="42" t="s">
        <v>124</v>
      </c>
      <c r="T94" s="42" t="s">
        <v>124</v>
      </c>
      <c r="U94" s="42" t="s">
        <v>124</v>
      </c>
      <c r="V94" s="42" t="s">
        <v>124</v>
      </c>
      <c r="W94" s="42" t="s">
        <v>124</v>
      </c>
      <c r="X94" s="42" t="s">
        <v>124</v>
      </c>
      <c r="Y94" s="43" t="str">
        <f>IF(CCUS_Projects_Database!$R94&lt;&gt;"",HYPERLINK(CCUS_Projects_Database!$R94,"Link 1"),"")</f>
        <v>Link 1</v>
      </c>
      <c r="Z94" s="43" t="str">
        <f>IF(CCUS_Projects_Database!$S94&lt;&gt;"",HYPERLINK(CCUS_Projects_Database!$S94,"Link 2"),"")</f>
        <v/>
      </c>
      <c r="AA94" s="43" t="str">
        <f>IF(CCUS_Projects_Database!$T94&lt;&gt;"",HYPERLINK(CCUS_Projects_Database!$T94,"Link 3"),"")</f>
        <v/>
      </c>
      <c r="AB94" s="43" t="str">
        <f>IF(CCUS_Projects_Database!$U94&lt;&gt;"",HYPERLINK(CCUS_Projects_Database!$U94,"Link 4"),"")</f>
        <v/>
      </c>
      <c r="AC94" s="43" t="str">
        <f>IF(CCUS_Projects_Database!$V94&lt;&gt;"",HYPERLINK(CCUS_Projects_Database!$V94,"Link 5"),"")</f>
        <v/>
      </c>
      <c r="AD94" s="43" t="str">
        <f>IF(CCUS_Projects_Database!$W94&lt;&gt;"",HYPERLINK(CCUS_Projects_Database!$W94,"Link 6"),"")</f>
        <v/>
      </c>
      <c r="AE94" s="43" t="str">
        <f>IF(CCUS_Projects_Database!$X94&lt;&gt;"",HYPERLINK(CCUS_Projects_Database!$X94,"Link 7"),"")</f>
        <v/>
      </c>
    </row>
    <row r="95" ht="15.75" customHeight="1">
      <c r="A95" s="44" t="s">
        <v>496</v>
      </c>
      <c r="B95" s="45">
        <v>730.0</v>
      </c>
      <c r="C95" s="45" t="s">
        <v>299</v>
      </c>
      <c r="D95" s="46" t="s">
        <v>497</v>
      </c>
      <c r="E95" s="45" t="s">
        <v>8</v>
      </c>
      <c r="F95" s="45">
        <v>2021.0</v>
      </c>
      <c r="G95" s="45" t="s">
        <v>124</v>
      </c>
      <c r="H95" s="45">
        <v>2030.0</v>
      </c>
      <c r="I95" s="45" t="s">
        <v>124</v>
      </c>
      <c r="J95" s="45" t="s">
        <v>28</v>
      </c>
      <c r="K95" s="47" t="s">
        <v>124</v>
      </c>
      <c r="L95" s="47"/>
      <c r="M95" s="47" t="s">
        <v>124</v>
      </c>
      <c r="N95" s="45" t="s">
        <v>46</v>
      </c>
      <c r="O95" s="48" t="s">
        <v>77</v>
      </c>
      <c r="P95" s="49" t="s">
        <v>124</v>
      </c>
      <c r="Q95" s="45" t="s">
        <v>125</v>
      </c>
      <c r="R95" s="49" t="s">
        <v>124</v>
      </c>
      <c r="S95" s="49" t="s">
        <v>124</v>
      </c>
      <c r="T95" s="49" t="s">
        <v>124</v>
      </c>
      <c r="U95" s="49" t="s">
        <v>124</v>
      </c>
      <c r="V95" s="49" t="s">
        <v>124</v>
      </c>
      <c r="W95" s="49" t="s">
        <v>124</v>
      </c>
      <c r="X95" s="49" t="s">
        <v>124</v>
      </c>
      <c r="Y95" s="50" t="str">
        <f>IF(CCUS_Projects_Database!$R95&lt;&gt;"",HYPERLINK(CCUS_Projects_Database!$R95,"Link 1"),"")</f>
        <v/>
      </c>
      <c r="Z95" s="50" t="str">
        <f>IF(CCUS_Projects_Database!$S95&lt;&gt;"",HYPERLINK(CCUS_Projects_Database!$S95,"Link 2"),"")</f>
        <v/>
      </c>
      <c r="AA95" s="50" t="str">
        <f>IF(CCUS_Projects_Database!$T95&lt;&gt;"",HYPERLINK(CCUS_Projects_Database!$T95,"Link 3"),"")</f>
        <v/>
      </c>
      <c r="AB95" s="50" t="str">
        <f>IF(CCUS_Projects_Database!$U95&lt;&gt;"",HYPERLINK(CCUS_Projects_Database!$U95,"Link 4"),"")</f>
        <v/>
      </c>
      <c r="AC95" s="50" t="str">
        <f>IF(CCUS_Projects_Database!$V95&lt;&gt;"",HYPERLINK(CCUS_Projects_Database!$V95,"Link 5"),"")</f>
        <v/>
      </c>
      <c r="AD95" s="50" t="str">
        <f>IF(CCUS_Projects_Database!$W95&lt;&gt;"",HYPERLINK(CCUS_Projects_Database!$W95,"Link 6"),"")</f>
        <v/>
      </c>
      <c r="AE95" s="50" t="str">
        <f>IF(CCUS_Projects_Database!$X95&lt;&gt;"",HYPERLINK(CCUS_Projects_Database!$X95,"Link 7"),"")</f>
        <v/>
      </c>
    </row>
    <row r="96" ht="15.75" customHeight="1">
      <c r="A96" s="37" t="s">
        <v>498</v>
      </c>
      <c r="B96" s="38">
        <v>645.0</v>
      </c>
      <c r="C96" s="38" t="s">
        <v>284</v>
      </c>
      <c r="D96" s="39" t="s">
        <v>499</v>
      </c>
      <c r="E96" s="38" t="s">
        <v>8</v>
      </c>
      <c r="F96" s="38">
        <v>2021.0</v>
      </c>
      <c r="G96" s="38" t="s">
        <v>124</v>
      </c>
      <c r="H96" s="38" t="s">
        <v>124</v>
      </c>
      <c r="I96" s="38" t="s">
        <v>124</v>
      </c>
      <c r="J96" s="38" t="s">
        <v>28</v>
      </c>
      <c r="K96" s="40" t="s">
        <v>124</v>
      </c>
      <c r="L96" s="51">
        <v>0.1</v>
      </c>
      <c r="M96" s="40">
        <v>0.1</v>
      </c>
      <c r="N96" s="38" t="s">
        <v>46</v>
      </c>
      <c r="O96" s="41" t="s">
        <v>77</v>
      </c>
      <c r="P96" s="42" t="s">
        <v>124</v>
      </c>
      <c r="Q96" s="38" t="s">
        <v>125</v>
      </c>
      <c r="R96" s="42" t="s">
        <v>500</v>
      </c>
      <c r="S96" s="42" t="s">
        <v>124</v>
      </c>
      <c r="T96" s="42" t="s">
        <v>124</v>
      </c>
      <c r="U96" s="42" t="s">
        <v>124</v>
      </c>
      <c r="V96" s="42" t="s">
        <v>124</v>
      </c>
      <c r="W96" s="42" t="s">
        <v>124</v>
      </c>
      <c r="X96" s="42" t="s">
        <v>124</v>
      </c>
      <c r="Y96" s="43" t="str">
        <f>IF(CCUS_Projects_Database!$R96&lt;&gt;"",HYPERLINK(CCUS_Projects_Database!$R96,"Link 1"),"")</f>
        <v>Link 1</v>
      </c>
      <c r="Z96" s="43" t="str">
        <f>IF(CCUS_Projects_Database!$S96&lt;&gt;"",HYPERLINK(CCUS_Projects_Database!$S96,"Link 2"),"")</f>
        <v/>
      </c>
      <c r="AA96" s="43" t="str">
        <f>IF(CCUS_Projects_Database!$T96&lt;&gt;"",HYPERLINK(CCUS_Projects_Database!$T96,"Link 3"),"")</f>
        <v/>
      </c>
      <c r="AB96" s="43" t="str">
        <f>IF(CCUS_Projects_Database!$U96&lt;&gt;"",HYPERLINK(CCUS_Projects_Database!$U96,"Link 4"),"")</f>
        <v/>
      </c>
      <c r="AC96" s="43" t="str">
        <f>IF(CCUS_Projects_Database!$V96&lt;&gt;"",HYPERLINK(CCUS_Projects_Database!$V96,"Link 5"),"")</f>
        <v/>
      </c>
      <c r="AD96" s="43" t="str">
        <f>IF(CCUS_Projects_Database!$W96&lt;&gt;"",HYPERLINK(CCUS_Projects_Database!$W96,"Link 6"),"")</f>
        <v/>
      </c>
      <c r="AE96" s="43" t="str">
        <f>IF(CCUS_Projects_Database!$X96&lt;&gt;"",HYPERLINK(CCUS_Projects_Database!$X96,"Link 7"),"")</f>
        <v/>
      </c>
    </row>
    <row r="97" ht="15.75" customHeight="1">
      <c r="A97" s="44" t="s">
        <v>501</v>
      </c>
      <c r="B97" s="45">
        <v>697.0</v>
      </c>
      <c r="C97" s="45" t="s">
        <v>141</v>
      </c>
      <c r="D97" s="46" t="s">
        <v>502</v>
      </c>
      <c r="E97" s="45" t="s">
        <v>8</v>
      </c>
      <c r="F97" s="45">
        <v>2021.0</v>
      </c>
      <c r="G97" s="45" t="s">
        <v>124</v>
      </c>
      <c r="H97" s="45" t="s">
        <v>124</v>
      </c>
      <c r="I97" s="45" t="s">
        <v>124</v>
      </c>
      <c r="J97" s="45" t="s">
        <v>28</v>
      </c>
      <c r="K97" s="47" t="s">
        <v>124</v>
      </c>
      <c r="L97" s="52">
        <v>1.66</v>
      </c>
      <c r="M97" s="47">
        <v>1.66</v>
      </c>
      <c r="N97" s="45" t="s">
        <v>136</v>
      </c>
      <c r="O97" s="48" t="s">
        <v>77</v>
      </c>
      <c r="P97" s="49" t="s">
        <v>124</v>
      </c>
      <c r="Q97" s="45" t="s">
        <v>143</v>
      </c>
      <c r="R97" s="49" t="s">
        <v>202</v>
      </c>
      <c r="S97" s="49" t="s">
        <v>124</v>
      </c>
      <c r="T97" s="49" t="s">
        <v>124</v>
      </c>
      <c r="U97" s="49" t="s">
        <v>124</v>
      </c>
      <c r="V97" s="49" t="s">
        <v>124</v>
      </c>
      <c r="W97" s="49" t="s">
        <v>124</v>
      </c>
      <c r="X97" s="49" t="s">
        <v>124</v>
      </c>
      <c r="Y97" s="50" t="str">
        <f>IF(CCUS_Projects_Database!$R97&lt;&gt;"",HYPERLINK(CCUS_Projects_Database!$R97,"Link 1"),"")</f>
        <v>Link 1</v>
      </c>
      <c r="Z97" s="50" t="str">
        <f>IF(CCUS_Projects_Database!$S97&lt;&gt;"",HYPERLINK(CCUS_Projects_Database!$S97,"Link 2"),"")</f>
        <v/>
      </c>
      <c r="AA97" s="50" t="str">
        <f>IF(CCUS_Projects_Database!$T97&lt;&gt;"",HYPERLINK(CCUS_Projects_Database!$T97,"Link 3"),"")</f>
        <v/>
      </c>
      <c r="AB97" s="50" t="str">
        <f>IF(CCUS_Projects_Database!$U97&lt;&gt;"",HYPERLINK(CCUS_Projects_Database!$U97,"Link 4"),"")</f>
        <v/>
      </c>
      <c r="AC97" s="50" t="str">
        <f>IF(CCUS_Projects_Database!$V97&lt;&gt;"",HYPERLINK(CCUS_Projects_Database!$V97,"Link 5"),"")</f>
        <v/>
      </c>
      <c r="AD97" s="50" t="str">
        <f>IF(CCUS_Projects_Database!$W97&lt;&gt;"",HYPERLINK(CCUS_Projects_Database!$W97,"Link 6"),"")</f>
        <v/>
      </c>
      <c r="AE97" s="50" t="str">
        <f>IF(CCUS_Projects_Database!$X97&lt;&gt;"",HYPERLINK(CCUS_Projects_Database!$X97,"Link 7"),"")</f>
        <v/>
      </c>
    </row>
    <row r="98" ht="15.75" customHeight="1">
      <c r="A98" s="37" t="s">
        <v>503</v>
      </c>
      <c r="B98" s="38">
        <v>487.0</v>
      </c>
      <c r="C98" s="38" t="s">
        <v>141</v>
      </c>
      <c r="D98" s="39" t="s">
        <v>504</v>
      </c>
      <c r="E98" s="38" t="s">
        <v>12</v>
      </c>
      <c r="F98" s="38">
        <v>2022.0</v>
      </c>
      <c r="G98" s="38" t="s">
        <v>124</v>
      </c>
      <c r="H98" s="38">
        <v>2026.0</v>
      </c>
      <c r="I98" s="38" t="s">
        <v>124</v>
      </c>
      <c r="J98" s="38" t="s">
        <v>28</v>
      </c>
      <c r="K98" s="40" t="s">
        <v>124</v>
      </c>
      <c r="L98" s="51">
        <v>8.0</v>
      </c>
      <c r="M98" s="40">
        <v>8.0</v>
      </c>
      <c r="N98" s="38" t="s">
        <v>12</v>
      </c>
      <c r="O98" s="41" t="s">
        <v>71</v>
      </c>
      <c r="P98" s="42" t="s">
        <v>505</v>
      </c>
      <c r="Q98" s="38" t="s">
        <v>143</v>
      </c>
      <c r="R98" s="42" t="s">
        <v>506</v>
      </c>
      <c r="S98" s="42" t="s">
        <v>507</v>
      </c>
      <c r="T98" s="42" t="s">
        <v>124</v>
      </c>
      <c r="U98" s="42" t="s">
        <v>124</v>
      </c>
      <c r="V98" s="42" t="s">
        <v>124</v>
      </c>
      <c r="W98" s="42" t="s">
        <v>124</v>
      </c>
      <c r="X98" s="42" t="s">
        <v>124</v>
      </c>
      <c r="Y98" s="43" t="str">
        <f>IF(CCUS_Projects_Database!$R98&lt;&gt;"",HYPERLINK(CCUS_Projects_Database!$R98,"Link 1"),"")</f>
        <v>Link 1</v>
      </c>
      <c r="Z98" s="43" t="str">
        <f>IF(CCUS_Projects_Database!$S98&lt;&gt;"",HYPERLINK(CCUS_Projects_Database!$S98,"Link 2"),"")</f>
        <v>Link 2</v>
      </c>
      <c r="AA98" s="43" t="str">
        <f>IF(CCUS_Projects_Database!$T98&lt;&gt;"",HYPERLINK(CCUS_Projects_Database!$T98,"Link 3"),"")</f>
        <v/>
      </c>
      <c r="AB98" s="43" t="str">
        <f>IF(CCUS_Projects_Database!$U98&lt;&gt;"",HYPERLINK(CCUS_Projects_Database!$U98,"Link 4"),"")</f>
        <v/>
      </c>
      <c r="AC98" s="43" t="str">
        <f>IF(CCUS_Projects_Database!$V98&lt;&gt;"",HYPERLINK(CCUS_Projects_Database!$V98,"Link 5"),"")</f>
        <v/>
      </c>
      <c r="AD98" s="43" t="str">
        <f>IF(CCUS_Projects_Database!$W98&lt;&gt;"",HYPERLINK(CCUS_Projects_Database!$W98,"Link 6"),"")</f>
        <v/>
      </c>
      <c r="AE98" s="43" t="str">
        <f>IF(CCUS_Projects_Database!$X98&lt;&gt;"",HYPERLINK(CCUS_Projects_Database!$X98,"Link 7"),"")</f>
        <v/>
      </c>
    </row>
    <row r="99" ht="15.75" customHeight="1">
      <c r="A99" s="44" t="s">
        <v>508</v>
      </c>
      <c r="B99" s="45">
        <v>53.0</v>
      </c>
      <c r="C99" s="45" t="s">
        <v>141</v>
      </c>
      <c r="D99" s="46" t="s">
        <v>509</v>
      </c>
      <c r="E99" s="45" t="s">
        <v>6</v>
      </c>
      <c r="F99" s="45">
        <v>2010.0</v>
      </c>
      <c r="G99" s="45" t="s">
        <v>124</v>
      </c>
      <c r="H99" s="45">
        <v>2012.0</v>
      </c>
      <c r="I99" s="45" t="s">
        <v>124</v>
      </c>
      <c r="J99" s="45" t="s">
        <v>32</v>
      </c>
      <c r="K99" s="47" t="s">
        <v>124</v>
      </c>
      <c r="L99" s="52">
        <v>0.13</v>
      </c>
      <c r="M99" s="47">
        <v>0.16</v>
      </c>
      <c r="N99" s="45" t="s">
        <v>50</v>
      </c>
      <c r="O99" s="48" t="s">
        <v>73</v>
      </c>
      <c r="P99" s="49" t="s">
        <v>124</v>
      </c>
      <c r="Q99" s="45" t="s">
        <v>143</v>
      </c>
      <c r="R99" s="49" t="s">
        <v>510</v>
      </c>
      <c r="S99" s="49" t="s">
        <v>511</v>
      </c>
      <c r="T99" s="49" t="s">
        <v>353</v>
      </c>
      <c r="U99" s="49" t="s">
        <v>124</v>
      </c>
      <c r="V99" s="49" t="s">
        <v>124</v>
      </c>
      <c r="W99" s="49" t="s">
        <v>124</v>
      </c>
      <c r="X99" s="49" t="s">
        <v>124</v>
      </c>
      <c r="Y99" s="50" t="str">
        <f>IF(CCUS_Projects_Database!$R99&lt;&gt;"",HYPERLINK(CCUS_Projects_Database!$R99,"Link 1"),"")</f>
        <v>Link 1</v>
      </c>
      <c r="Z99" s="50" t="str">
        <f>IF(CCUS_Projects_Database!$S99&lt;&gt;"",HYPERLINK(CCUS_Projects_Database!$S99,"Link 2"),"")</f>
        <v>Link 2</v>
      </c>
      <c r="AA99" s="50" t="str">
        <f>IF(CCUS_Projects_Database!$T99&lt;&gt;"",HYPERLINK(CCUS_Projects_Database!$T99,"Link 3"),"")</f>
        <v>Link 3</v>
      </c>
      <c r="AB99" s="50" t="str">
        <f>IF(CCUS_Projects_Database!$U99&lt;&gt;"",HYPERLINK(CCUS_Projects_Database!$U99,"Link 4"),"")</f>
        <v/>
      </c>
      <c r="AC99" s="50" t="str">
        <f>IF(CCUS_Projects_Database!$V99&lt;&gt;"",HYPERLINK(CCUS_Projects_Database!$V99,"Link 5"),"")</f>
        <v/>
      </c>
      <c r="AD99" s="50" t="str">
        <f>IF(CCUS_Projects_Database!$W99&lt;&gt;"",HYPERLINK(CCUS_Projects_Database!$W99,"Link 6"),"")</f>
        <v/>
      </c>
      <c r="AE99" s="50" t="str">
        <f>IF(CCUS_Projects_Database!$X99&lt;&gt;"",HYPERLINK(CCUS_Projects_Database!$X99,"Link 7"),"")</f>
        <v/>
      </c>
    </row>
    <row r="100" ht="15.75" customHeight="1">
      <c r="A100" s="37" t="s">
        <v>512</v>
      </c>
      <c r="B100" s="38">
        <v>531.0</v>
      </c>
      <c r="C100" s="38" t="s">
        <v>181</v>
      </c>
      <c r="D100" s="39" t="s">
        <v>513</v>
      </c>
      <c r="E100" s="38" t="s">
        <v>12</v>
      </c>
      <c r="F100" s="38">
        <v>2022.0</v>
      </c>
      <c r="G100" s="38" t="s">
        <v>124</v>
      </c>
      <c r="H100" s="38">
        <v>2028.0</v>
      </c>
      <c r="I100" s="38" t="s">
        <v>124</v>
      </c>
      <c r="J100" s="38" t="s">
        <v>28</v>
      </c>
      <c r="K100" s="40" t="s">
        <v>124</v>
      </c>
      <c r="L100" s="51">
        <v>2.0</v>
      </c>
      <c r="M100" s="40">
        <v>2.0</v>
      </c>
      <c r="N100" s="38" t="s">
        <v>12</v>
      </c>
      <c r="O100" s="41" t="s">
        <v>71</v>
      </c>
      <c r="P100" s="42" t="s">
        <v>124</v>
      </c>
      <c r="Q100" s="38" t="s">
        <v>184</v>
      </c>
      <c r="R100" s="42" t="s">
        <v>514</v>
      </c>
      <c r="S100" s="42" t="s">
        <v>515</v>
      </c>
      <c r="T100" s="42" t="s">
        <v>516</v>
      </c>
      <c r="U100" s="42" t="s">
        <v>517</v>
      </c>
      <c r="V100" s="42" t="s">
        <v>124</v>
      </c>
      <c r="W100" s="42" t="s">
        <v>124</v>
      </c>
      <c r="X100" s="42" t="s">
        <v>124</v>
      </c>
      <c r="Y100" s="43" t="str">
        <f>IF(CCUS_Projects_Database!$R100&lt;&gt;"",HYPERLINK(CCUS_Projects_Database!$R100,"Link 1"),"")</f>
        <v>Link 1</v>
      </c>
      <c r="Z100" s="43" t="str">
        <f>IF(CCUS_Projects_Database!$S100&lt;&gt;"",HYPERLINK(CCUS_Projects_Database!$S100,"Link 2"),"")</f>
        <v>Link 2</v>
      </c>
      <c r="AA100" s="43" t="str">
        <f>IF(CCUS_Projects_Database!$T100&lt;&gt;"",HYPERLINK(CCUS_Projects_Database!$T100,"Link 3"),"")</f>
        <v>Link 3</v>
      </c>
      <c r="AB100" s="43" t="str">
        <f>IF(CCUS_Projects_Database!$U100&lt;&gt;"",HYPERLINK(CCUS_Projects_Database!$U100,"Link 4"),"")</f>
        <v>Link 4</v>
      </c>
      <c r="AC100" s="43" t="str">
        <f>IF(CCUS_Projects_Database!$V100&lt;&gt;"",HYPERLINK(CCUS_Projects_Database!$V100,"Link 5"),"")</f>
        <v/>
      </c>
      <c r="AD100" s="43" t="str">
        <f>IF(CCUS_Projects_Database!$W100&lt;&gt;"",HYPERLINK(CCUS_Projects_Database!$W100,"Link 6"),"")</f>
        <v/>
      </c>
      <c r="AE100" s="43" t="str">
        <f>IF(CCUS_Projects_Database!$X100&lt;&gt;"",HYPERLINK(CCUS_Projects_Database!$X100,"Link 7"),"")</f>
        <v/>
      </c>
    </row>
    <row r="101" ht="15.75" customHeight="1">
      <c r="A101" s="44" t="s">
        <v>518</v>
      </c>
      <c r="B101" s="45">
        <v>55.0</v>
      </c>
      <c r="C101" s="45" t="s">
        <v>311</v>
      </c>
      <c r="D101" s="46" t="s">
        <v>519</v>
      </c>
      <c r="E101" s="45" t="s">
        <v>8</v>
      </c>
      <c r="F101" s="45">
        <v>2021.0</v>
      </c>
      <c r="G101" s="45">
        <v>2024.0</v>
      </c>
      <c r="H101" s="45">
        <v>2030.0</v>
      </c>
      <c r="I101" s="45" t="s">
        <v>124</v>
      </c>
      <c r="J101" s="45" t="s">
        <v>28</v>
      </c>
      <c r="K101" s="47" t="s">
        <v>124</v>
      </c>
      <c r="L101" s="47"/>
      <c r="M101" s="47" t="s">
        <v>124</v>
      </c>
      <c r="N101" s="45" t="s">
        <v>60</v>
      </c>
      <c r="O101" s="48" t="s">
        <v>77</v>
      </c>
      <c r="P101" s="49" t="s">
        <v>124</v>
      </c>
      <c r="Q101" s="45" t="s">
        <v>125</v>
      </c>
      <c r="R101" s="49" t="s">
        <v>124</v>
      </c>
      <c r="S101" s="49" t="s">
        <v>124</v>
      </c>
      <c r="T101" s="49" t="s">
        <v>124</v>
      </c>
      <c r="U101" s="49" t="s">
        <v>124</v>
      </c>
      <c r="V101" s="49" t="s">
        <v>124</v>
      </c>
      <c r="W101" s="49" t="s">
        <v>124</v>
      </c>
      <c r="X101" s="49" t="s">
        <v>124</v>
      </c>
      <c r="Y101" s="50" t="str">
        <f>IF(CCUS_Projects_Database!$R101&lt;&gt;"",HYPERLINK(CCUS_Projects_Database!$R101,"Link 1"),"")</f>
        <v/>
      </c>
      <c r="Z101" s="50" t="str">
        <f>IF(CCUS_Projects_Database!$S101&lt;&gt;"",HYPERLINK(CCUS_Projects_Database!$S101,"Link 2"),"")</f>
        <v/>
      </c>
      <c r="AA101" s="50" t="str">
        <f>IF(CCUS_Projects_Database!$T101&lt;&gt;"",HYPERLINK(CCUS_Projects_Database!$T101,"Link 3"),"")</f>
        <v/>
      </c>
      <c r="AB101" s="50" t="str">
        <f>IF(CCUS_Projects_Database!$U101&lt;&gt;"",HYPERLINK(CCUS_Projects_Database!$U101,"Link 4"),"")</f>
        <v/>
      </c>
      <c r="AC101" s="50" t="str">
        <f>IF(CCUS_Projects_Database!$V101&lt;&gt;"",HYPERLINK(CCUS_Projects_Database!$V101,"Link 5"),"")</f>
        <v/>
      </c>
      <c r="AD101" s="50" t="str">
        <f>IF(CCUS_Projects_Database!$W101&lt;&gt;"",HYPERLINK(CCUS_Projects_Database!$W101,"Link 6"),"")</f>
        <v/>
      </c>
      <c r="AE101" s="50" t="str">
        <f>IF(CCUS_Projects_Database!$X101&lt;&gt;"",HYPERLINK(CCUS_Projects_Database!$X101,"Link 7"),"")</f>
        <v/>
      </c>
    </row>
    <row r="102" ht="15.75" customHeight="1">
      <c r="A102" s="37" t="s">
        <v>520</v>
      </c>
      <c r="B102" s="38">
        <v>57.0</v>
      </c>
      <c r="C102" s="38" t="s">
        <v>521</v>
      </c>
      <c r="D102" s="39" t="s">
        <v>522</v>
      </c>
      <c r="E102" s="38" t="s">
        <v>6</v>
      </c>
      <c r="F102" s="38">
        <v>2021.0</v>
      </c>
      <c r="G102" s="38" t="s">
        <v>124</v>
      </c>
      <c r="H102" s="38">
        <v>2028.0</v>
      </c>
      <c r="I102" s="38" t="s">
        <v>124</v>
      </c>
      <c r="J102" s="38" t="s">
        <v>28</v>
      </c>
      <c r="K102" s="40" t="s">
        <v>124</v>
      </c>
      <c r="L102" s="51">
        <v>2.0</v>
      </c>
      <c r="M102" s="40">
        <v>2.0</v>
      </c>
      <c r="N102" s="38" t="s">
        <v>136</v>
      </c>
      <c r="O102" s="41" t="s">
        <v>71</v>
      </c>
      <c r="P102" s="42" t="s">
        <v>124</v>
      </c>
      <c r="Q102" s="38" t="s">
        <v>148</v>
      </c>
      <c r="R102" s="42" t="s">
        <v>523</v>
      </c>
      <c r="S102" s="42" t="s">
        <v>524</v>
      </c>
      <c r="T102" s="42" t="s">
        <v>525</v>
      </c>
      <c r="U102" s="42" t="s">
        <v>124</v>
      </c>
      <c r="V102" s="42" t="s">
        <v>124</v>
      </c>
      <c r="W102" s="42" t="s">
        <v>124</v>
      </c>
      <c r="X102" s="42" t="s">
        <v>124</v>
      </c>
      <c r="Y102" s="43" t="str">
        <f>IF(CCUS_Projects_Database!$R102&lt;&gt;"",HYPERLINK(CCUS_Projects_Database!$R102,"Link 1"),"")</f>
        <v>Link 1</v>
      </c>
      <c r="Z102" s="43" t="str">
        <f>IF(CCUS_Projects_Database!$S102&lt;&gt;"",HYPERLINK(CCUS_Projects_Database!$S102,"Link 2"),"")</f>
        <v>Link 2</v>
      </c>
      <c r="AA102" s="43" t="str">
        <f>IF(CCUS_Projects_Database!$T102&lt;&gt;"",HYPERLINK(CCUS_Projects_Database!$T102,"Link 3"),"")</f>
        <v>Link 3</v>
      </c>
      <c r="AB102" s="43" t="str">
        <f>IF(CCUS_Projects_Database!$U102&lt;&gt;"",HYPERLINK(CCUS_Projects_Database!$U102,"Link 4"),"")</f>
        <v/>
      </c>
      <c r="AC102" s="43" t="str">
        <f>IF(CCUS_Projects_Database!$V102&lt;&gt;"",HYPERLINK(CCUS_Projects_Database!$V102,"Link 5"),"")</f>
        <v/>
      </c>
      <c r="AD102" s="43" t="str">
        <f>IF(CCUS_Projects_Database!$W102&lt;&gt;"",HYPERLINK(CCUS_Projects_Database!$W102,"Link 6"),"")</f>
        <v/>
      </c>
      <c r="AE102" s="43" t="str">
        <f>IF(CCUS_Projects_Database!$X102&lt;&gt;"",HYPERLINK(CCUS_Projects_Database!$X102,"Link 7"),"")</f>
        <v/>
      </c>
    </row>
    <row r="103" ht="15.75" customHeight="1">
      <c r="A103" s="44" t="s">
        <v>526</v>
      </c>
      <c r="B103" s="45">
        <v>56.0</v>
      </c>
      <c r="C103" s="45" t="s">
        <v>284</v>
      </c>
      <c r="D103" s="46" t="s">
        <v>527</v>
      </c>
      <c r="E103" s="45" t="s">
        <v>8</v>
      </c>
      <c r="F103" s="45">
        <v>2019.0</v>
      </c>
      <c r="G103" s="45" t="s">
        <v>124</v>
      </c>
      <c r="H103" s="45">
        <v>2035.0</v>
      </c>
      <c r="I103" s="45" t="s">
        <v>124</v>
      </c>
      <c r="J103" s="45" t="s">
        <v>28</v>
      </c>
      <c r="K103" s="47" t="s">
        <v>124</v>
      </c>
      <c r="L103" s="52">
        <v>0.15</v>
      </c>
      <c r="M103" s="47">
        <v>0.15</v>
      </c>
      <c r="N103" s="45" t="s">
        <v>46</v>
      </c>
      <c r="O103" s="48" t="s">
        <v>71</v>
      </c>
      <c r="P103" s="49" t="s">
        <v>375</v>
      </c>
      <c r="Q103" s="45" t="s">
        <v>125</v>
      </c>
      <c r="R103" s="49" t="s">
        <v>528</v>
      </c>
      <c r="S103" s="49" t="s">
        <v>529</v>
      </c>
      <c r="T103" s="49" t="s">
        <v>530</v>
      </c>
      <c r="U103" s="49" t="s">
        <v>531</v>
      </c>
      <c r="V103" s="49" t="s">
        <v>124</v>
      </c>
      <c r="W103" s="49" t="s">
        <v>124</v>
      </c>
      <c r="X103" s="49" t="s">
        <v>124</v>
      </c>
      <c r="Y103" s="50" t="str">
        <f>IF(CCUS_Projects_Database!$R103&lt;&gt;"",HYPERLINK(CCUS_Projects_Database!$R103,"Link 1"),"")</f>
        <v>Link 1</v>
      </c>
      <c r="Z103" s="50" t="str">
        <f>IF(CCUS_Projects_Database!$S103&lt;&gt;"",HYPERLINK(CCUS_Projects_Database!$S103,"Link 2"),"")</f>
        <v>Link 2</v>
      </c>
      <c r="AA103" s="50" t="str">
        <f>IF(CCUS_Projects_Database!$T103&lt;&gt;"",HYPERLINK(CCUS_Projects_Database!$T103,"Link 3"),"")</f>
        <v>Link 3</v>
      </c>
      <c r="AB103" s="50" t="str">
        <f>IF(CCUS_Projects_Database!$U103&lt;&gt;"",HYPERLINK(CCUS_Projects_Database!$U103,"Link 4"),"")</f>
        <v>Link 4</v>
      </c>
      <c r="AC103" s="50" t="str">
        <f>IF(CCUS_Projects_Database!$V103&lt;&gt;"",HYPERLINK(CCUS_Projects_Database!$V103,"Link 5"),"")</f>
        <v/>
      </c>
      <c r="AD103" s="50" t="str">
        <f>IF(CCUS_Projects_Database!$W103&lt;&gt;"",HYPERLINK(CCUS_Projects_Database!$W103,"Link 6"),"")</f>
        <v/>
      </c>
      <c r="AE103" s="50" t="str">
        <f>IF(CCUS_Projects_Database!$X103&lt;&gt;"",HYPERLINK(CCUS_Projects_Database!$X103,"Link 7"),"")</f>
        <v/>
      </c>
    </row>
    <row r="104" ht="15.75" customHeight="1">
      <c r="A104" s="37" t="s">
        <v>532</v>
      </c>
      <c r="B104" s="38">
        <v>59.0</v>
      </c>
      <c r="C104" s="38" t="s">
        <v>239</v>
      </c>
      <c r="D104" s="39" t="s">
        <v>533</v>
      </c>
      <c r="E104" s="38" t="s">
        <v>8</v>
      </c>
      <c r="F104" s="38">
        <v>2008.0</v>
      </c>
      <c r="G104" s="38">
        <v>2011.0</v>
      </c>
      <c r="H104" s="38">
        <v>2014.0</v>
      </c>
      <c r="I104" s="38" t="s">
        <v>124</v>
      </c>
      <c r="J104" s="38" t="s">
        <v>32</v>
      </c>
      <c r="K104" s="40" t="s">
        <v>124</v>
      </c>
      <c r="L104" s="51">
        <v>1.0</v>
      </c>
      <c r="M104" s="40">
        <v>1.0</v>
      </c>
      <c r="N104" s="38" t="s">
        <v>46</v>
      </c>
      <c r="O104" s="41" t="s">
        <v>73</v>
      </c>
      <c r="P104" s="42" t="s">
        <v>124</v>
      </c>
      <c r="Q104" s="38" t="s">
        <v>143</v>
      </c>
      <c r="R104" s="42" t="s">
        <v>534</v>
      </c>
      <c r="S104" s="42" t="s">
        <v>535</v>
      </c>
      <c r="T104" s="42" t="s">
        <v>536</v>
      </c>
      <c r="U104" s="42" t="s">
        <v>124</v>
      </c>
      <c r="V104" s="42" t="s">
        <v>124</v>
      </c>
      <c r="W104" s="42" t="s">
        <v>124</v>
      </c>
      <c r="X104" s="42" t="s">
        <v>124</v>
      </c>
      <c r="Y104" s="43" t="str">
        <f>IF(CCUS_Projects_Database!$R104&lt;&gt;"",HYPERLINK(CCUS_Projects_Database!$R104,"Link 1"),"")</f>
        <v>Link 1</v>
      </c>
      <c r="Z104" s="43" t="str">
        <f>IF(CCUS_Projects_Database!$S104&lt;&gt;"",HYPERLINK(CCUS_Projects_Database!$S104,"Link 2"),"")</f>
        <v>Link 2</v>
      </c>
      <c r="AA104" s="43" t="str">
        <f>IF(CCUS_Projects_Database!$T104&lt;&gt;"",HYPERLINK(CCUS_Projects_Database!$T104,"Link 3"),"")</f>
        <v>Link 3</v>
      </c>
      <c r="AB104" s="43" t="str">
        <f>IF(CCUS_Projects_Database!$U104&lt;&gt;"",HYPERLINK(CCUS_Projects_Database!$U104,"Link 4"),"")</f>
        <v/>
      </c>
      <c r="AC104" s="43" t="str">
        <f>IF(CCUS_Projects_Database!$V104&lt;&gt;"",HYPERLINK(CCUS_Projects_Database!$V104,"Link 5"),"")</f>
        <v/>
      </c>
      <c r="AD104" s="43" t="str">
        <f>IF(CCUS_Projects_Database!$W104&lt;&gt;"",HYPERLINK(CCUS_Projects_Database!$W104,"Link 6"),"")</f>
        <v/>
      </c>
      <c r="AE104" s="43" t="str">
        <f>IF(CCUS_Projects_Database!$X104&lt;&gt;"",HYPERLINK(CCUS_Projects_Database!$X104,"Link 7"),"")</f>
        <v/>
      </c>
    </row>
    <row r="105" ht="15.75" customHeight="1">
      <c r="A105" s="44" t="s">
        <v>537</v>
      </c>
      <c r="B105" s="45">
        <v>498.0</v>
      </c>
      <c r="C105" s="45" t="s">
        <v>239</v>
      </c>
      <c r="D105" s="46" t="s">
        <v>538</v>
      </c>
      <c r="E105" s="45" t="s">
        <v>12</v>
      </c>
      <c r="F105" s="45">
        <v>2022.0</v>
      </c>
      <c r="G105" s="45" t="s">
        <v>124</v>
      </c>
      <c r="H105" s="45" t="s">
        <v>124</v>
      </c>
      <c r="I105" s="45" t="s">
        <v>124</v>
      </c>
      <c r="J105" s="45" t="s">
        <v>28</v>
      </c>
      <c r="K105" s="47" t="s">
        <v>124</v>
      </c>
      <c r="L105" s="52">
        <v>5.0</v>
      </c>
      <c r="M105" s="47">
        <v>5.0</v>
      </c>
      <c r="N105" s="45" t="s">
        <v>12</v>
      </c>
      <c r="O105" s="48" t="s">
        <v>71</v>
      </c>
      <c r="P105" s="49" t="s">
        <v>537</v>
      </c>
      <c r="Q105" s="45" t="s">
        <v>143</v>
      </c>
      <c r="R105" s="49" t="s">
        <v>464</v>
      </c>
      <c r="S105" s="49" t="s">
        <v>539</v>
      </c>
      <c r="T105" s="49" t="s">
        <v>540</v>
      </c>
      <c r="U105" s="49" t="s">
        <v>124</v>
      </c>
      <c r="V105" s="49" t="s">
        <v>124</v>
      </c>
      <c r="W105" s="49" t="s">
        <v>124</v>
      </c>
      <c r="X105" s="49" t="s">
        <v>124</v>
      </c>
      <c r="Y105" s="50" t="str">
        <f>IF(CCUS_Projects_Database!$R105&lt;&gt;"",HYPERLINK(CCUS_Projects_Database!$R105,"Link 1"),"")</f>
        <v>Link 1</v>
      </c>
      <c r="Z105" s="50" t="str">
        <f>IF(CCUS_Projects_Database!$S105&lt;&gt;"",HYPERLINK(CCUS_Projects_Database!$S105,"Link 2"),"")</f>
        <v>Link 2</v>
      </c>
      <c r="AA105" s="50" t="str">
        <f>IF(CCUS_Projects_Database!$T105&lt;&gt;"",HYPERLINK(CCUS_Projects_Database!$T105,"Link 3"),"")</f>
        <v>Link 3</v>
      </c>
      <c r="AB105" s="50" t="str">
        <f>IF(CCUS_Projects_Database!$U105&lt;&gt;"",HYPERLINK(CCUS_Projects_Database!$U105,"Link 4"),"")</f>
        <v/>
      </c>
      <c r="AC105" s="50" t="str">
        <f>IF(CCUS_Projects_Database!$V105&lt;&gt;"",HYPERLINK(CCUS_Projects_Database!$V105,"Link 5"),"")</f>
        <v/>
      </c>
      <c r="AD105" s="50" t="str">
        <f>IF(CCUS_Projects_Database!$W105&lt;&gt;"",HYPERLINK(CCUS_Projects_Database!$W105,"Link 6"),"")</f>
        <v/>
      </c>
      <c r="AE105" s="50" t="str">
        <f>IF(CCUS_Projects_Database!$X105&lt;&gt;"",HYPERLINK(CCUS_Projects_Database!$X105,"Link 7"),"")</f>
        <v/>
      </c>
    </row>
    <row r="106" ht="15.75" customHeight="1">
      <c r="A106" s="37" t="s">
        <v>541</v>
      </c>
      <c r="B106" s="38">
        <v>196.0</v>
      </c>
      <c r="C106" s="38" t="s">
        <v>157</v>
      </c>
      <c r="D106" s="39" t="s">
        <v>542</v>
      </c>
      <c r="E106" s="38" t="s">
        <v>8</v>
      </c>
      <c r="F106" s="38">
        <v>2021.0</v>
      </c>
      <c r="G106" s="38" t="s">
        <v>124</v>
      </c>
      <c r="H106" s="38">
        <v>2027.0</v>
      </c>
      <c r="I106" s="38" t="s">
        <v>124</v>
      </c>
      <c r="J106" s="38" t="s">
        <v>28</v>
      </c>
      <c r="K106" s="40">
        <v>1.0</v>
      </c>
      <c r="L106" s="51">
        <v>1.0</v>
      </c>
      <c r="M106" s="40">
        <v>1.0</v>
      </c>
      <c r="N106" s="38" t="s">
        <v>136</v>
      </c>
      <c r="O106" s="41" t="s">
        <v>71</v>
      </c>
      <c r="P106" s="42" t="s">
        <v>281</v>
      </c>
      <c r="Q106" s="38" t="s">
        <v>125</v>
      </c>
      <c r="R106" s="42" t="s">
        <v>543</v>
      </c>
      <c r="S106" s="42" t="s">
        <v>544</v>
      </c>
      <c r="T106" s="42" t="s">
        <v>545</v>
      </c>
      <c r="U106" s="42" t="s">
        <v>546</v>
      </c>
      <c r="V106" s="42" t="s">
        <v>124</v>
      </c>
      <c r="W106" s="42" t="s">
        <v>124</v>
      </c>
      <c r="X106" s="42" t="s">
        <v>124</v>
      </c>
      <c r="Y106" s="43" t="str">
        <f>IF(CCUS_Projects_Database!$R106&lt;&gt;"",HYPERLINK(CCUS_Projects_Database!$R106,"Link 1"),"")</f>
        <v>Link 1</v>
      </c>
      <c r="Z106" s="43" t="str">
        <f>IF(CCUS_Projects_Database!$S106&lt;&gt;"",HYPERLINK(CCUS_Projects_Database!$S106,"Link 2"),"")</f>
        <v>Link 2</v>
      </c>
      <c r="AA106" s="43" t="str">
        <f>IF(CCUS_Projects_Database!$T106&lt;&gt;"",HYPERLINK(CCUS_Projects_Database!$T106,"Link 3"),"")</f>
        <v>Link 3</v>
      </c>
      <c r="AB106" s="43" t="str">
        <f>IF(CCUS_Projects_Database!$U106&lt;&gt;"",HYPERLINK(CCUS_Projects_Database!$U106,"Link 4"),"")</f>
        <v>Link 4</v>
      </c>
      <c r="AC106" s="43" t="str">
        <f>IF(CCUS_Projects_Database!$V106&lt;&gt;"",HYPERLINK(CCUS_Projects_Database!$V106,"Link 5"),"")</f>
        <v/>
      </c>
      <c r="AD106" s="43" t="str">
        <f>IF(CCUS_Projects_Database!$W106&lt;&gt;"",HYPERLINK(CCUS_Projects_Database!$W106,"Link 6"),"")</f>
        <v/>
      </c>
      <c r="AE106" s="43" t="str">
        <f>IF(CCUS_Projects_Database!$X106&lt;&gt;"",HYPERLINK(CCUS_Projects_Database!$X106,"Link 7"),"")</f>
        <v/>
      </c>
    </row>
    <row r="107" ht="15.75" customHeight="1">
      <c r="A107" s="44" t="s">
        <v>547</v>
      </c>
      <c r="B107" s="45">
        <v>197.0</v>
      </c>
      <c r="C107" s="45" t="s">
        <v>157</v>
      </c>
      <c r="D107" s="46" t="s">
        <v>542</v>
      </c>
      <c r="E107" s="45" t="s">
        <v>8</v>
      </c>
      <c r="F107" s="45">
        <v>2021.0</v>
      </c>
      <c r="G107" s="45" t="s">
        <v>124</v>
      </c>
      <c r="H107" s="45">
        <v>2030.0</v>
      </c>
      <c r="I107" s="45" t="s">
        <v>124</v>
      </c>
      <c r="J107" s="45" t="s">
        <v>28</v>
      </c>
      <c r="K107" s="47">
        <v>2.0</v>
      </c>
      <c r="L107" s="52">
        <v>1.0</v>
      </c>
      <c r="M107" s="47">
        <v>1.0</v>
      </c>
      <c r="N107" s="45" t="s">
        <v>136</v>
      </c>
      <c r="O107" s="48" t="s">
        <v>71</v>
      </c>
      <c r="P107" s="49" t="s">
        <v>281</v>
      </c>
      <c r="Q107" s="45" t="s">
        <v>125</v>
      </c>
      <c r="R107" s="49" t="s">
        <v>543</v>
      </c>
      <c r="S107" s="49" t="s">
        <v>544</v>
      </c>
      <c r="T107" s="49" t="s">
        <v>545</v>
      </c>
      <c r="U107" s="49" t="s">
        <v>546</v>
      </c>
      <c r="V107" s="49" t="s">
        <v>124</v>
      </c>
      <c r="W107" s="49" t="s">
        <v>124</v>
      </c>
      <c r="X107" s="49" t="s">
        <v>124</v>
      </c>
      <c r="Y107" s="50" t="str">
        <f>IF(CCUS_Projects_Database!$R107&lt;&gt;"",HYPERLINK(CCUS_Projects_Database!$R107,"Link 1"),"")</f>
        <v>Link 1</v>
      </c>
      <c r="Z107" s="50" t="str">
        <f>IF(CCUS_Projects_Database!$S107&lt;&gt;"",HYPERLINK(CCUS_Projects_Database!$S107,"Link 2"),"")</f>
        <v>Link 2</v>
      </c>
      <c r="AA107" s="50" t="str">
        <f>IF(CCUS_Projects_Database!$T107&lt;&gt;"",HYPERLINK(CCUS_Projects_Database!$T107,"Link 3"),"")</f>
        <v>Link 3</v>
      </c>
      <c r="AB107" s="50" t="str">
        <f>IF(CCUS_Projects_Database!$U107&lt;&gt;"",HYPERLINK(CCUS_Projects_Database!$U107,"Link 4"),"")</f>
        <v>Link 4</v>
      </c>
      <c r="AC107" s="50" t="str">
        <f>IF(CCUS_Projects_Database!$V107&lt;&gt;"",HYPERLINK(CCUS_Projects_Database!$V107,"Link 5"),"")</f>
        <v/>
      </c>
      <c r="AD107" s="50" t="str">
        <f>IF(CCUS_Projects_Database!$W107&lt;&gt;"",HYPERLINK(CCUS_Projects_Database!$W107,"Link 6"),"")</f>
        <v/>
      </c>
      <c r="AE107" s="50" t="str">
        <f>IF(CCUS_Projects_Database!$X107&lt;&gt;"",HYPERLINK(CCUS_Projects_Database!$X107,"Link 7"),"")</f>
        <v/>
      </c>
    </row>
    <row r="108" ht="15.75" customHeight="1">
      <c r="A108" s="37" t="s">
        <v>548</v>
      </c>
      <c r="B108" s="38">
        <v>499.0</v>
      </c>
      <c r="C108" s="38" t="s">
        <v>239</v>
      </c>
      <c r="D108" s="39" t="s">
        <v>549</v>
      </c>
      <c r="E108" s="38" t="s">
        <v>12</v>
      </c>
      <c r="F108" s="38">
        <v>2022.0</v>
      </c>
      <c r="G108" s="38" t="s">
        <v>124</v>
      </c>
      <c r="H108" s="38" t="s">
        <v>124</v>
      </c>
      <c r="I108" s="38" t="s">
        <v>124</v>
      </c>
      <c r="J108" s="38" t="s">
        <v>28</v>
      </c>
      <c r="K108" s="40" t="s">
        <v>124</v>
      </c>
      <c r="L108" s="40"/>
      <c r="M108" s="40" t="s">
        <v>124</v>
      </c>
      <c r="N108" s="38" t="s">
        <v>12</v>
      </c>
      <c r="O108" s="41" t="s">
        <v>71</v>
      </c>
      <c r="P108" s="42" t="s">
        <v>548</v>
      </c>
      <c r="Q108" s="38" t="s">
        <v>143</v>
      </c>
      <c r="R108" s="42" t="s">
        <v>464</v>
      </c>
      <c r="S108" s="42" t="s">
        <v>124</v>
      </c>
      <c r="T108" s="42" t="s">
        <v>124</v>
      </c>
      <c r="U108" s="42" t="s">
        <v>124</v>
      </c>
      <c r="V108" s="42" t="s">
        <v>124</v>
      </c>
      <c r="W108" s="42" t="s">
        <v>124</v>
      </c>
      <c r="X108" s="42" t="s">
        <v>124</v>
      </c>
      <c r="Y108" s="43" t="str">
        <f>IF(CCUS_Projects_Database!$R108&lt;&gt;"",HYPERLINK(CCUS_Projects_Database!$R108,"Link 1"),"")</f>
        <v>Link 1</v>
      </c>
      <c r="Z108" s="43" t="str">
        <f>IF(CCUS_Projects_Database!$S108&lt;&gt;"",HYPERLINK(CCUS_Projects_Database!$S108,"Link 2"),"")</f>
        <v/>
      </c>
      <c r="AA108" s="43" t="str">
        <f>IF(CCUS_Projects_Database!$T108&lt;&gt;"",HYPERLINK(CCUS_Projects_Database!$T108,"Link 3"),"")</f>
        <v/>
      </c>
      <c r="AB108" s="43" t="str">
        <f>IF(CCUS_Projects_Database!$U108&lt;&gt;"",HYPERLINK(CCUS_Projects_Database!$U108,"Link 4"),"")</f>
        <v/>
      </c>
      <c r="AC108" s="43" t="str">
        <f>IF(CCUS_Projects_Database!$V108&lt;&gt;"",HYPERLINK(CCUS_Projects_Database!$V108,"Link 5"),"")</f>
        <v/>
      </c>
      <c r="AD108" s="43" t="str">
        <f>IF(CCUS_Projects_Database!$W108&lt;&gt;"",HYPERLINK(CCUS_Projects_Database!$W108,"Link 6"),"")</f>
        <v/>
      </c>
      <c r="AE108" s="43" t="str">
        <f>IF(CCUS_Projects_Database!$X108&lt;&gt;"",HYPERLINK(CCUS_Projects_Database!$X108,"Link 7"),"")</f>
        <v/>
      </c>
    </row>
    <row r="109" ht="15.75" customHeight="1">
      <c r="A109" s="44" t="s">
        <v>550</v>
      </c>
      <c r="B109" s="45">
        <v>60.0</v>
      </c>
      <c r="C109" s="45" t="s">
        <v>181</v>
      </c>
      <c r="D109" s="46" t="s">
        <v>551</v>
      </c>
      <c r="E109" s="45" t="s">
        <v>14</v>
      </c>
      <c r="F109" s="45">
        <v>2018.0</v>
      </c>
      <c r="G109" s="45" t="s">
        <v>124</v>
      </c>
      <c r="H109" s="45">
        <v>2024.0</v>
      </c>
      <c r="I109" s="45" t="s">
        <v>124</v>
      </c>
      <c r="J109" s="45" t="s">
        <v>30</v>
      </c>
      <c r="K109" s="47" t="s">
        <v>124</v>
      </c>
      <c r="L109" s="52">
        <v>0.12</v>
      </c>
      <c r="M109" s="47">
        <v>0.12</v>
      </c>
      <c r="N109" s="45" t="s">
        <v>14</v>
      </c>
      <c r="O109" s="48" t="s">
        <v>73</v>
      </c>
      <c r="P109" s="49" t="s">
        <v>550</v>
      </c>
      <c r="Q109" s="45" t="s">
        <v>184</v>
      </c>
      <c r="R109" s="49" t="s">
        <v>124</v>
      </c>
      <c r="S109" s="49" t="s">
        <v>124</v>
      </c>
      <c r="T109" s="49" t="s">
        <v>124</v>
      </c>
      <c r="U109" s="49" t="s">
        <v>124</v>
      </c>
      <c r="V109" s="49" t="s">
        <v>124</v>
      </c>
      <c r="W109" s="49" t="s">
        <v>124</v>
      </c>
      <c r="X109" s="49" t="s">
        <v>124</v>
      </c>
      <c r="Y109" s="50" t="str">
        <f>IF(CCUS_Projects_Database!$R109&lt;&gt;"",HYPERLINK(CCUS_Projects_Database!$R109,"Link 1"),"")</f>
        <v/>
      </c>
      <c r="Z109" s="50" t="str">
        <f>IF(CCUS_Projects_Database!$S109&lt;&gt;"",HYPERLINK(CCUS_Projects_Database!$S109,"Link 2"),"")</f>
        <v/>
      </c>
      <c r="AA109" s="50" t="str">
        <f>IF(CCUS_Projects_Database!$T109&lt;&gt;"",HYPERLINK(CCUS_Projects_Database!$T109,"Link 3"),"")</f>
        <v/>
      </c>
      <c r="AB109" s="50" t="str">
        <f>IF(CCUS_Projects_Database!$U109&lt;&gt;"",HYPERLINK(CCUS_Projects_Database!$U109,"Link 4"),"")</f>
        <v/>
      </c>
      <c r="AC109" s="50" t="str">
        <f>IF(CCUS_Projects_Database!$V109&lt;&gt;"",HYPERLINK(CCUS_Projects_Database!$V109,"Link 5"),"")</f>
        <v/>
      </c>
      <c r="AD109" s="50" t="str">
        <f>IF(CCUS_Projects_Database!$W109&lt;&gt;"",HYPERLINK(CCUS_Projects_Database!$W109,"Link 6"),"")</f>
        <v/>
      </c>
      <c r="AE109" s="50" t="str">
        <f>IF(CCUS_Projects_Database!$X109&lt;&gt;"",HYPERLINK(CCUS_Projects_Database!$X109,"Link 7"),"")</f>
        <v/>
      </c>
    </row>
    <row r="110" ht="15.75" customHeight="1">
      <c r="A110" s="37" t="s">
        <v>552</v>
      </c>
      <c r="B110" s="38">
        <v>62.0</v>
      </c>
      <c r="C110" s="38" t="s">
        <v>141</v>
      </c>
      <c r="D110" s="39" t="s">
        <v>553</v>
      </c>
      <c r="E110" s="38" t="s">
        <v>8</v>
      </c>
      <c r="F110" s="38">
        <v>2021.0</v>
      </c>
      <c r="G110" s="38">
        <v>2024.0</v>
      </c>
      <c r="H110" s="38">
        <v>2028.0</v>
      </c>
      <c r="I110" s="38" t="s">
        <v>124</v>
      </c>
      <c r="J110" s="38" t="s">
        <v>28</v>
      </c>
      <c r="K110" s="40" t="s">
        <v>124</v>
      </c>
      <c r="L110" s="51">
        <v>2.8</v>
      </c>
      <c r="M110" s="40">
        <v>2.8</v>
      </c>
      <c r="N110" s="38" t="s">
        <v>46</v>
      </c>
      <c r="O110" s="41" t="s">
        <v>71</v>
      </c>
      <c r="P110" s="42" t="s">
        <v>191</v>
      </c>
      <c r="Q110" s="38" t="s">
        <v>143</v>
      </c>
      <c r="R110" s="42" t="s">
        <v>554</v>
      </c>
      <c r="S110" s="42" t="s">
        <v>555</v>
      </c>
      <c r="T110" s="42" t="s">
        <v>554</v>
      </c>
      <c r="U110" s="42" t="s">
        <v>124</v>
      </c>
      <c r="V110" s="42" t="s">
        <v>124</v>
      </c>
      <c r="W110" s="42" t="s">
        <v>124</v>
      </c>
      <c r="X110" s="42" t="s">
        <v>124</v>
      </c>
      <c r="Y110" s="43" t="str">
        <f>IF(CCUS_Projects_Database!$R110&lt;&gt;"",HYPERLINK(CCUS_Projects_Database!$R110,"Link 1"),"")</f>
        <v>Link 1</v>
      </c>
      <c r="Z110" s="43" t="str">
        <f>IF(CCUS_Projects_Database!$S110&lt;&gt;"",HYPERLINK(CCUS_Projects_Database!$S110,"Link 2"),"")</f>
        <v>Link 2</v>
      </c>
      <c r="AA110" s="43" t="str">
        <f>IF(CCUS_Projects_Database!$T110&lt;&gt;"",HYPERLINK(CCUS_Projects_Database!$T110,"Link 3"),"")</f>
        <v>Link 3</v>
      </c>
      <c r="AB110" s="43" t="str">
        <f>IF(CCUS_Projects_Database!$U110&lt;&gt;"",HYPERLINK(CCUS_Projects_Database!$U110,"Link 4"),"")</f>
        <v/>
      </c>
      <c r="AC110" s="43" t="str">
        <f>IF(CCUS_Projects_Database!$V110&lt;&gt;"",HYPERLINK(CCUS_Projects_Database!$V110,"Link 5"),"")</f>
        <v/>
      </c>
      <c r="AD110" s="43" t="str">
        <f>IF(CCUS_Projects_Database!$W110&lt;&gt;"",HYPERLINK(CCUS_Projects_Database!$W110,"Link 6"),"")</f>
        <v/>
      </c>
      <c r="AE110" s="43" t="str">
        <f>IF(CCUS_Projects_Database!$X110&lt;&gt;"",HYPERLINK(CCUS_Projects_Database!$X110,"Link 7"),"")</f>
        <v/>
      </c>
    </row>
    <row r="111" ht="15.75" customHeight="1">
      <c r="A111" s="44" t="s">
        <v>556</v>
      </c>
      <c r="B111" s="45">
        <v>1042.0</v>
      </c>
      <c r="C111" s="45" t="s">
        <v>557</v>
      </c>
      <c r="D111" s="46" t="s">
        <v>558</v>
      </c>
      <c r="E111" s="45" t="s">
        <v>8</v>
      </c>
      <c r="F111" s="45">
        <v>2024.0</v>
      </c>
      <c r="G111" s="45" t="s">
        <v>124</v>
      </c>
      <c r="H111" s="45">
        <v>2030.0</v>
      </c>
      <c r="I111" s="45" t="s">
        <v>124</v>
      </c>
      <c r="J111" s="45" t="s">
        <v>28</v>
      </c>
      <c r="K111" s="47" t="s">
        <v>124</v>
      </c>
      <c r="L111" s="52">
        <v>0.75</v>
      </c>
      <c r="M111" s="47">
        <v>0.75</v>
      </c>
      <c r="N111" s="45" t="s">
        <v>56</v>
      </c>
      <c r="O111" s="48" t="s">
        <v>71</v>
      </c>
      <c r="P111" s="49" t="s">
        <v>559</v>
      </c>
      <c r="Q111" s="45" t="s">
        <v>125</v>
      </c>
      <c r="R111" s="49" t="s">
        <v>560</v>
      </c>
      <c r="S111" s="49" t="s">
        <v>124</v>
      </c>
      <c r="T111" s="49" t="s">
        <v>124</v>
      </c>
      <c r="U111" s="49" t="s">
        <v>124</v>
      </c>
      <c r="V111" s="49" t="s">
        <v>124</v>
      </c>
      <c r="W111" s="49" t="s">
        <v>124</v>
      </c>
      <c r="X111" s="49" t="s">
        <v>124</v>
      </c>
      <c r="Y111" s="50" t="str">
        <f>IF(CCUS_Projects_Database!$R111&lt;&gt;"",HYPERLINK(CCUS_Projects_Database!$R111,"Link 1"),"")</f>
        <v>Link 1</v>
      </c>
      <c r="Z111" s="50" t="str">
        <f>IF(CCUS_Projects_Database!$S111&lt;&gt;"",HYPERLINK(CCUS_Projects_Database!$S111,"Link 2"),"")</f>
        <v/>
      </c>
      <c r="AA111" s="50" t="str">
        <f>IF(CCUS_Projects_Database!$T111&lt;&gt;"",HYPERLINK(CCUS_Projects_Database!$T111,"Link 3"),"")</f>
        <v/>
      </c>
      <c r="AB111" s="50" t="str">
        <f>IF(CCUS_Projects_Database!$U111&lt;&gt;"",HYPERLINK(CCUS_Projects_Database!$U111,"Link 4"),"")</f>
        <v/>
      </c>
      <c r="AC111" s="50" t="str">
        <f>IF(CCUS_Projects_Database!$V111&lt;&gt;"",HYPERLINK(CCUS_Projects_Database!$V111,"Link 5"),"")</f>
        <v/>
      </c>
      <c r="AD111" s="50" t="str">
        <f>IF(CCUS_Projects_Database!$W111&lt;&gt;"",HYPERLINK(CCUS_Projects_Database!$W111,"Link 6"),"")</f>
        <v/>
      </c>
      <c r="AE111" s="50" t="str">
        <f>IF(CCUS_Projects_Database!$X111&lt;&gt;"",HYPERLINK(CCUS_Projects_Database!$X111,"Link 7"),"")</f>
        <v/>
      </c>
    </row>
    <row r="112" ht="15.75" customHeight="1">
      <c r="A112" s="37" t="s">
        <v>561</v>
      </c>
      <c r="B112" s="38">
        <v>691.0</v>
      </c>
      <c r="C112" s="38" t="s">
        <v>141</v>
      </c>
      <c r="D112" s="39" t="s">
        <v>562</v>
      </c>
      <c r="E112" s="38" t="s">
        <v>8</v>
      </c>
      <c r="F112" s="38">
        <v>2020.0</v>
      </c>
      <c r="G112" s="38" t="s">
        <v>124</v>
      </c>
      <c r="H112" s="38" t="s">
        <v>124</v>
      </c>
      <c r="I112" s="38" t="s">
        <v>124</v>
      </c>
      <c r="J112" s="38" t="s">
        <v>28</v>
      </c>
      <c r="K112" s="40" t="s">
        <v>124</v>
      </c>
      <c r="L112" s="51">
        <v>2.8</v>
      </c>
      <c r="M112" s="40">
        <v>2.8</v>
      </c>
      <c r="N112" s="38" t="s">
        <v>58</v>
      </c>
      <c r="O112" s="41" t="s">
        <v>77</v>
      </c>
      <c r="P112" s="42" t="s">
        <v>124</v>
      </c>
      <c r="Q112" s="38" t="s">
        <v>143</v>
      </c>
      <c r="R112" s="42" t="s">
        <v>563</v>
      </c>
      <c r="S112" s="42" t="s">
        <v>564</v>
      </c>
      <c r="T112" s="42" t="s">
        <v>124</v>
      </c>
      <c r="U112" s="42" t="s">
        <v>124</v>
      </c>
      <c r="V112" s="42" t="s">
        <v>124</v>
      </c>
      <c r="W112" s="42" t="s">
        <v>124</v>
      </c>
      <c r="X112" s="42" t="s">
        <v>124</v>
      </c>
      <c r="Y112" s="43" t="str">
        <f>IF(CCUS_Projects_Database!$R112&lt;&gt;"",HYPERLINK(CCUS_Projects_Database!$R112,"Link 1"),"")</f>
        <v>Link 1</v>
      </c>
      <c r="Z112" s="43" t="str">
        <f>IF(CCUS_Projects_Database!$S112&lt;&gt;"",HYPERLINK(CCUS_Projects_Database!$S112,"Link 2"),"")</f>
        <v>Link 2</v>
      </c>
      <c r="AA112" s="43" t="str">
        <f>IF(CCUS_Projects_Database!$T112&lt;&gt;"",HYPERLINK(CCUS_Projects_Database!$T112,"Link 3"),"")</f>
        <v/>
      </c>
      <c r="AB112" s="43" t="str">
        <f>IF(CCUS_Projects_Database!$U112&lt;&gt;"",HYPERLINK(CCUS_Projects_Database!$U112,"Link 4"),"")</f>
        <v/>
      </c>
      <c r="AC112" s="43" t="str">
        <f>IF(CCUS_Projects_Database!$V112&lt;&gt;"",HYPERLINK(CCUS_Projects_Database!$V112,"Link 5"),"")</f>
        <v/>
      </c>
      <c r="AD112" s="43" t="str">
        <f>IF(CCUS_Projects_Database!$W112&lt;&gt;"",HYPERLINK(CCUS_Projects_Database!$W112,"Link 6"),"")</f>
        <v/>
      </c>
      <c r="AE112" s="43" t="str">
        <f>IF(CCUS_Projects_Database!$X112&lt;&gt;"",HYPERLINK(CCUS_Projects_Database!$X112,"Link 7"),"")</f>
        <v/>
      </c>
    </row>
    <row r="113" ht="15.75" customHeight="1">
      <c r="A113" s="44" t="s">
        <v>565</v>
      </c>
      <c r="B113" s="45">
        <v>63.0</v>
      </c>
      <c r="C113" s="45" t="s">
        <v>141</v>
      </c>
      <c r="D113" s="46" t="s">
        <v>566</v>
      </c>
      <c r="E113" s="45" t="s">
        <v>8</v>
      </c>
      <c r="F113" s="45">
        <v>2022.0</v>
      </c>
      <c r="G113" s="45" t="s">
        <v>124</v>
      </c>
      <c r="H113" s="45">
        <v>2024.0</v>
      </c>
      <c r="I113" s="45" t="s">
        <v>124</v>
      </c>
      <c r="J113" s="45" t="s">
        <v>28</v>
      </c>
      <c r="K113" s="47" t="s">
        <v>124</v>
      </c>
      <c r="L113" s="52">
        <v>0.23</v>
      </c>
      <c r="M113" s="47">
        <v>0.23</v>
      </c>
      <c r="N113" s="45" t="s">
        <v>50</v>
      </c>
      <c r="O113" s="48" t="s">
        <v>71</v>
      </c>
      <c r="P113" s="49" t="s">
        <v>567</v>
      </c>
      <c r="Q113" s="45" t="s">
        <v>143</v>
      </c>
      <c r="R113" s="49" t="s">
        <v>568</v>
      </c>
      <c r="S113" s="49" t="s">
        <v>124</v>
      </c>
      <c r="T113" s="49" t="s">
        <v>124</v>
      </c>
      <c r="U113" s="49" t="s">
        <v>124</v>
      </c>
      <c r="V113" s="49" t="s">
        <v>124</v>
      </c>
      <c r="W113" s="49" t="s">
        <v>124</v>
      </c>
      <c r="X113" s="49" t="s">
        <v>124</v>
      </c>
      <c r="Y113" s="50" t="str">
        <f>IF(CCUS_Projects_Database!$R113&lt;&gt;"",HYPERLINK(CCUS_Projects_Database!$R113,"Link 1"),"")</f>
        <v>Link 1</v>
      </c>
      <c r="Z113" s="50" t="str">
        <f>IF(CCUS_Projects_Database!$S113&lt;&gt;"",HYPERLINK(CCUS_Projects_Database!$S113,"Link 2"),"")</f>
        <v/>
      </c>
      <c r="AA113" s="50" t="str">
        <f>IF(CCUS_Projects_Database!$T113&lt;&gt;"",HYPERLINK(CCUS_Projects_Database!$T113,"Link 3"),"")</f>
        <v/>
      </c>
      <c r="AB113" s="50" t="str">
        <f>IF(CCUS_Projects_Database!$U113&lt;&gt;"",HYPERLINK(CCUS_Projects_Database!$U113,"Link 4"),"")</f>
        <v/>
      </c>
      <c r="AC113" s="50" t="str">
        <f>IF(CCUS_Projects_Database!$V113&lt;&gt;"",HYPERLINK(CCUS_Projects_Database!$V113,"Link 5"),"")</f>
        <v/>
      </c>
      <c r="AD113" s="50" t="str">
        <f>IF(CCUS_Projects_Database!$W113&lt;&gt;"",HYPERLINK(CCUS_Projects_Database!$W113,"Link 6"),"")</f>
        <v/>
      </c>
      <c r="AE113" s="50" t="str">
        <f>IF(CCUS_Projects_Database!$X113&lt;&gt;"",HYPERLINK(CCUS_Projects_Database!$X113,"Link 7"),"")</f>
        <v/>
      </c>
    </row>
    <row r="114" ht="15.75" customHeight="1">
      <c r="A114" s="37" t="s">
        <v>569</v>
      </c>
      <c r="B114" s="38">
        <v>638.0</v>
      </c>
      <c r="C114" s="38" t="s">
        <v>157</v>
      </c>
      <c r="D114" s="39" t="s">
        <v>570</v>
      </c>
      <c r="E114" s="38" t="s">
        <v>8</v>
      </c>
      <c r="F114" s="38">
        <v>2022.0</v>
      </c>
      <c r="G114" s="38" t="s">
        <v>124</v>
      </c>
      <c r="H114" s="38" t="s">
        <v>124</v>
      </c>
      <c r="I114" s="38" t="s">
        <v>124</v>
      </c>
      <c r="J114" s="38" t="s">
        <v>28</v>
      </c>
      <c r="K114" s="40" t="s">
        <v>124</v>
      </c>
      <c r="L114" s="40"/>
      <c r="M114" s="40" t="s">
        <v>124</v>
      </c>
      <c r="N114" s="38" t="s">
        <v>56</v>
      </c>
      <c r="O114" s="41" t="s">
        <v>71</v>
      </c>
      <c r="P114" s="42" t="s">
        <v>571</v>
      </c>
      <c r="Q114" s="38" t="s">
        <v>125</v>
      </c>
      <c r="R114" s="42" t="s">
        <v>572</v>
      </c>
      <c r="S114" s="42" t="s">
        <v>124</v>
      </c>
      <c r="T114" s="42" t="s">
        <v>124</v>
      </c>
      <c r="U114" s="42" t="s">
        <v>124</v>
      </c>
      <c r="V114" s="42" t="s">
        <v>124</v>
      </c>
      <c r="W114" s="42" t="s">
        <v>124</v>
      </c>
      <c r="X114" s="42" t="s">
        <v>124</v>
      </c>
      <c r="Y114" s="43" t="str">
        <f>IF(CCUS_Projects_Database!$R114&lt;&gt;"",HYPERLINK(CCUS_Projects_Database!$R114,"Link 1"),"")</f>
        <v>Link 1</v>
      </c>
      <c r="Z114" s="43" t="str">
        <f>IF(CCUS_Projects_Database!$S114&lt;&gt;"",HYPERLINK(CCUS_Projects_Database!$S114,"Link 2"),"")</f>
        <v/>
      </c>
      <c r="AA114" s="43" t="str">
        <f>IF(CCUS_Projects_Database!$T114&lt;&gt;"",HYPERLINK(CCUS_Projects_Database!$T114,"Link 3"),"")</f>
        <v/>
      </c>
      <c r="AB114" s="43" t="str">
        <f>IF(CCUS_Projects_Database!$U114&lt;&gt;"",HYPERLINK(CCUS_Projects_Database!$U114,"Link 4"),"")</f>
        <v/>
      </c>
      <c r="AC114" s="43" t="str">
        <f>IF(CCUS_Projects_Database!$V114&lt;&gt;"",HYPERLINK(CCUS_Projects_Database!$V114,"Link 5"),"")</f>
        <v/>
      </c>
      <c r="AD114" s="43" t="str">
        <f>IF(CCUS_Projects_Database!$W114&lt;&gt;"",HYPERLINK(CCUS_Projects_Database!$W114,"Link 6"),"")</f>
        <v/>
      </c>
      <c r="AE114" s="43" t="str">
        <f>IF(CCUS_Projects_Database!$X114&lt;&gt;"",HYPERLINK(CCUS_Projects_Database!$X114,"Link 7"),"")</f>
        <v/>
      </c>
    </row>
    <row r="115" ht="15.75" customHeight="1">
      <c r="A115" s="44" t="s">
        <v>573</v>
      </c>
      <c r="B115" s="45">
        <v>686.0</v>
      </c>
      <c r="C115" s="45" t="s">
        <v>574</v>
      </c>
      <c r="D115" s="46" t="s">
        <v>405</v>
      </c>
      <c r="E115" s="45" t="s">
        <v>8</v>
      </c>
      <c r="F115" s="45">
        <v>2022.0</v>
      </c>
      <c r="G115" s="45" t="s">
        <v>124</v>
      </c>
      <c r="H115" s="45" t="s">
        <v>124</v>
      </c>
      <c r="I115" s="45" t="s">
        <v>124</v>
      </c>
      <c r="J115" s="45" t="s">
        <v>28</v>
      </c>
      <c r="K115" s="47" t="s">
        <v>124</v>
      </c>
      <c r="L115" s="52">
        <v>0.2</v>
      </c>
      <c r="M115" s="47">
        <v>0.2</v>
      </c>
      <c r="N115" s="45" t="s">
        <v>56</v>
      </c>
      <c r="O115" s="48" t="s">
        <v>71</v>
      </c>
      <c r="P115" s="49" t="s">
        <v>406</v>
      </c>
      <c r="Q115" s="45" t="s">
        <v>125</v>
      </c>
      <c r="R115" s="49" t="s">
        <v>407</v>
      </c>
      <c r="S115" s="49" t="s">
        <v>124</v>
      </c>
      <c r="T115" s="49" t="s">
        <v>124</v>
      </c>
      <c r="U115" s="49" t="s">
        <v>124</v>
      </c>
      <c r="V115" s="49" t="s">
        <v>124</v>
      </c>
      <c r="W115" s="49" t="s">
        <v>124</v>
      </c>
      <c r="X115" s="49" t="s">
        <v>124</v>
      </c>
      <c r="Y115" s="50" t="str">
        <f>IF(CCUS_Projects_Database!$R115&lt;&gt;"",HYPERLINK(CCUS_Projects_Database!$R115,"Link 1"),"")</f>
        <v>Link 1</v>
      </c>
      <c r="Z115" s="50" t="str">
        <f>IF(CCUS_Projects_Database!$S115&lt;&gt;"",HYPERLINK(CCUS_Projects_Database!$S115,"Link 2"),"")</f>
        <v/>
      </c>
      <c r="AA115" s="50" t="str">
        <f>IF(CCUS_Projects_Database!$T115&lt;&gt;"",HYPERLINK(CCUS_Projects_Database!$T115,"Link 3"),"")</f>
        <v/>
      </c>
      <c r="AB115" s="50" t="str">
        <f>IF(CCUS_Projects_Database!$U115&lt;&gt;"",HYPERLINK(CCUS_Projects_Database!$U115,"Link 4"),"")</f>
        <v/>
      </c>
      <c r="AC115" s="50" t="str">
        <f>IF(CCUS_Projects_Database!$V115&lt;&gt;"",HYPERLINK(CCUS_Projects_Database!$V115,"Link 5"),"")</f>
        <v/>
      </c>
      <c r="AD115" s="50" t="str">
        <f>IF(CCUS_Projects_Database!$W115&lt;&gt;"",HYPERLINK(CCUS_Projects_Database!$W115,"Link 6"),"")</f>
        <v/>
      </c>
      <c r="AE115" s="50" t="str">
        <f>IF(CCUS_Projects_Database!$X115&lt;&gt;"",HYPERLINK(CCUS_Projects_Database!$X115,"Link 7"),"")</f>
        <v/>
      </c>
    </row>
    <row r="116" ht="15.75" customHeight="1">
      <c r="A116" s="37" t="s">
        <v>575</v>
      </c>
      <c r="B116" s="38">
        <v>654.0</v>
      </c>
      <c r="C116" s="38" t="s">
        <v>247</v>
      </c>
      <c r="D116" s="39" t="s">
        <v>576</v>
      </c>
      <c r="E116" s="38" t="s">
        <v>10</v>
      </c>
      <c r="F116" s="38">
        <v>2023.0</v>
      </c>
      <c r="G116" s="38" t="s">
        <v>124</v>
      </c>
      <c r="H116" s="38" t="s">
        <v>124</v>
      </c>
      <c r="I116" s="38" t="s">
        <v>124</v>
      </c>
      <c r="J116" s="38" t="s">
        <v>28</v>
      </c>
      <c r="K116" s="40">
        <v>1.0</v>
      </c>
      <c r="L116" s="51">
        <v>1.2</v>
      </c>
      <c r="M116" s="40">
        <v>1.2</v>
      </c>
      <c r="N116" s="38" t="s">
        <v>10</v>
      </c>
      <c r="O116" s="41" t="s">
        <v>71</v>
      </c>
      <c r="P116" s="42" t="s">
        <v>577</v>
      </c>
      <c r="Q116" s="38" t="s">
        <v>125</v>
      </c>
      <c r="R116" s="42" t="s">
        <v>329</v>
      </c>
      <c r="S116" s="42" t="s">
        <v>124</v>
      </c>
      <c r="T116" s="42" t="s">
        <v>124</v>
      </c>
      <c r="U116" s="42" t="s">
        <v>124</v>
      </c>
      <c r="V116" s="42" t="s">
        <v>124</v>
      </c>
      <c r="W116" s="42" t="s">
        <v>124</v>
      </c>
      <c r="X116" s="42" t="s">
        <v>124</v>
      </c>
      <c r="Y116" s="43" t="str">
        <f>IF(CCUS_Projects_Database!$R116&lt;&gt;"",HYPERLINK(CCUS_Projects_Database!$R116,"Link 1"),"")</f>
        <v>Link 1</v>
      </c>
      <c r="Z116" s="43" t="str">
        <f>IF(CCUS_Projects_Database!$S116&lt;&gt;"",HYPERLINK(CCUS_Projects_Database!$S116,"Link 2"),"")</f>
        <v/>
      </c>
      <c r="AA116" s="43" t="str">
        <f>IF(CCUS_Projects_Database!$T116&lt;&gt;"",HYPERLINK(CCUS_Projects_Database!$T116,"Link 3"),"")</f>
        <v/>
      </c>
      <c r="AB116" s="43" t="str">
        <f>IF(CCUS_Projects_Database!$U116&lt;&gt;"",HYPERLINK(CCUS_Projects_Database!$U116,"Link 4"),"")</f>
        <v/>
      </c>
      <c r="AC116" s="43" t="str">
        <f>IF(CCUS_Projects_Database!$V116&lt;&gt;"",HYPERLINK(CCUS_Projects_Database!$V116,"Link 5"),"")</f>
        <v/>
      </c>
      <c r="AD116" s="43" t="str">
        <f>IF(CCUS_Projects_Database!$W116&lt;&gt;"",HYPERLINK(CCUS_Projects_Database!$W116,"Link 6"),"")</f>
        <v/>
      </c>
      <c r="AE116" s="43" t="str">
        <f>IF(CCUS_Projects_Database!$X116&lt;&gt;"",HYPERLINK(CCUS_Projects_Database!$X116,"Link 7"),"")</f>
        <v/>
      </c>
    </row>
    <row r="117" ht="15.75" customHeight="1">
      <c r="A117" s="44" t="s">
        <v>578</v>
      </c>
      <c r="B117" s="45">
        <v>655.0</v>
      </c>
      <c r="C117" s="45" t="s">
        <v>247</v>
      </c>
      <c r="D117" s="46" t="s">
        <v>576</v>
      </c>
      <c r="E117" s="45" t="s">
        <v>10</v>
      </c>
      <c r="F117" s="45">
        <v>2023.0</v>
      </c>
      <c r="G117" s="45" t="s">
        <v>124</v>
      </c>
      <c r="H117" s="45" t="s">
        <v>124</v>
      </c>
      <c r="I117" s="45" t="s">
        <v>124</v>
      </c>
      <c r="J117" s="45" t="s">
        <v>28</v>
      </c>
      <c r="K117" s="47">
        <v>2.0</v>
      </c>
      <c r="L117" s="52">
        <v>1.2</v>
      </c>
      <c r="M117" s="47">
        <v>1.2</v>
      </c>
      <c r="N117" s="45" t="s">
        <v>10</v>
      </c>
      <c r="O117" s="48" t="s">
        <v>71</v>
      </c>
      <c r="P117" s="49" t="s">
        <v>577</v>
      </c>
      <c r="Q117" s="45" t="s">
        <v>125</v>
      </c>
      <c r="R117" s="49" t="s">
        <v>329</v>
      </c>
      <c r="S117" s="49" t="s">
        <v>124</v>
      </c>
      <c r="T117" s="49" t="s">
        <v>124</v>
      </c>
      <c r="U117" s="49" t="s">
        <v>124</v>
      </c>
      <c r="V117" s="49" t="s">
        <v>124</v>
      </c>
      <c r="W117" s="49" t="s">
        <v>124</v>
      </c>
      <c r="X117" s="49" t="s">
        <v>124</v>
      </c>
      <c r="Y117" s="50" t="str">
        <f>IF(CCUS_Projects_Database!$R117&lt;&gt;"",HYPERLINK(CCUS_Projects_Database!$R117,"Link 1"),"")</f>
        <v>Link 1</v>
      </c>
      <c r="Z117" s="50" t="str">
        <f>IF(CCUS_Projects_Database!$S117&lt;&gt;"",HYPERLINK(CCUS_Projects_Database!$S117,"Link 2"),"")</f>
        <v/>
      </c>
      <c r="AA117" s="50" t="str">
        <f>IF(CCUS_Projects_Database!$T117&lt;&gt;"",HYPERLINK(CCUS_Projects_Database!$T117,"Link 3"),"")</f>
        <v/>
      </c>
      <c r="AB117" s="50" t="str">
        <f>IF(CCUS_Projects_Database!$U117&lt;&gt;"",HYPERLINK(CCUS_Projects_Database!$U117,"Link 4"),"")</f>
        <v/>
      </c>
      <c r="AC117" s="50" t="str">
        <f>IF(CCUS_Projects_Database!$V117&lt;&gt;"",HYPERLINK(CCUS_Projects_Database!$V117,"Link 5"),"")</f>
        <v/>
      </c>
      <c r="AD117" s="50" t="str">
        <f>IF(CCUS_Projects_Database!$W117&lt;&gt;"",HYPERLINK(CCUS_Projects_Database!$W117,"Link 6"),"")</f>
        <v/>
      </c>
      <c r="AE117" s="50" t="str">
        <f>IF(CCUS_Projects_Database!$X117&lt;&gt;"",HYPERLINK(CCUS_Projects_Database!$X117,"Link 7"),"")</f>
        <v/>
      </c>
    </row>
    <row r="118" ht="15.75" customHeight="1">
      <c r="A118" s="37" t="s">
        <v>579</v>
      </c>
      <c r="B118" s="38">
        <v>656.0</v>
      </c>
      <c r="C118" s="38" t="s">
        <v>247</v>
      </c>
      <c r="D118" s="39" t="s">
        <v>576</v>
      </c>
      <c r="E118" s="38" t="s">
        <v>10</v>
      </c>
      <c r="F118" s="38">
        <v>2023.0</v>
      </c>
      <c r="G118" s="38" t="s">
        <v>124</v>
      </c>
      <c r="H118" s="38" t="s">
        <v>124</v>
      </c>
      <c r="I118" s="38" t="s">
        <v>124</v>
      </c>
      <c r="J118" s="38" t="s">
        <v>28</v>
      </c>
      <c r="K118" s="40">
        <v>3.0</v>
      </c>
      <c r="L118" s="51">
        <v>0.3</v>
      </c>
      <c r="M118" s="40">
        <v>0.3</v>
      </c>
      <c r="N118" s="38" t="s">
        <v>10</v>
      </c>
      <c r="O118" s="41" t="s">
        <v>71</v>
      </c>
      <c r="P118" s="42" t="s">
        <v>577</v>
      </c>
      <c r="Q118" s="38" t="s">
        <v>125</v>
      </c>
      <c r="R118" s="42" t="s">
        <v>329</v>
      </c>
      <c r="S118" s="42" t="s">
        <v>124</v>
      </c>
      <c r="T118" s="42" t="s">
        <v>124</v>
      </c>
      <c r="U118" s="42" t="s">
        <v>124</v>
      </c>
      <c r="V118" s="42" t="s">
        <v>124</v>
      </c>
      <c r="W118" s="42" t="s">
        <v>124</v>
      </c>
      <c r="X118" s="42" t="s">
        <v>124</v>
      </c>
      <c r="Y118" s="43" t="str">
        <f>IF(CCUS_Projects_Database!$R118&lt;&gt;"",HYPERLINK(CCUS_Projects_Database!$R118,"Link 1"),"")</f>
        <v>Link 1</v>
      </c>
      <c r="Z118" s="43" t="str">
        <f>IF(CCUS_Projects_Database!$S118&lt;&gt;"",HYPERLINK(CCUS_Projects_Database!$S118,"Link 2"),"")</f>
        <v/>
      </c>
      <c r="AA118" s="43" t="str">
        <f>IF(CCUS_Projects_Database!$T118&lt;&gt;"",HYPERLINK(CCUS_Projects_Database!$T118,"Link 3"),"")</f>
        <v/>
      </c>
      <c r="AB118" s="43" t="str">
        <f>IF(CCUS_Projects_Database!$U118&lt;&gt;"",HYPERLINK(CCUS_Projects_Database!$U118,"Link 4"),"")</f>
        <v/>
      </c>
      <c r="AC118" s="43" t="str">
        <f>IF(CCUS_Projects_Database!$V118&lt;&gt;"",HYPERLINK(CCUS_Projects_Database!$V118,"Link 5"),"")</f>
        <v/>
      </c>
      <c r="AD118" s="43" t="str">
        <f>IF(CCUS_Projects_Database!$W118&lt;&gt;"",HYPERLINK(CCUS_Projects_Database!$W118,"Link 6"),"")</f>
        <v/>
      </c>
      <c r="AE118" s="43" t="str">
        <f>IF(CCUS_Projects_Database!$X118&lt;&gt;"",HYPERLINK(CCUS_Projects_Database!$X118,"Link 7"),"")</f>
        <v/>
      </c>
    </row>
    <row r="119" ht="15.75" customHeight="1">
      <c r="A119" s="44" t="s">
        <v>580</v>
      </c>
      <c r="B119" s="45">
        <v>64.0</v>
      </c>
      <c r="C119" s="45" t="s">
        <v>141</v>
      </c>
      <c r="D119" s="46" t="s">
        <v>581</v>
      </c>
      <c r="E119" s="45" t="s">
        <v>8</v>
      </c>
      <c r="F119" s="45">
        <v>2019.0</v>
      </c>
      <c r="G119" s="45">
        <v>2024.0</v>
      </c>
      <c r="H119" s="45">
        <v>2026.0</v>
      </c>
      <c r="I119" s="45" t="s">
        <v>124</v>
      </c>
      <c r="J119" s="45" t="s">
        <v>28</v>
      </c>
      <c r="K119" s="47" t="s">
        <v>124</v>
      </c>
      <c r="L119" s="52">
        <v>1.45</v>
      </c>
      <c r="M119" s="47">
        <v>1.4</v>
      </c>
      <c r="N119" s="45" t="s">
        <v>46</v>
      </c>
      <c r="O119" s="48" t="s">
        <v>73</v>
      </c>
      <c r="P119" s="49" t="s">
        <v>582</v>
      </c>
      <c r="Q119" s="45" t="s">
        <v>143</v>
      </c>
      <c r="R119" s="49" t="s">
        <v>563</v>
      </c>
      <c r="S119" s="49" t="s">
        <v>583</v>
      </c>
      <c r="T119" s="49" t="s">
        <v>584</v>
      </c>
      <c r="U119" s="49" t="s">
        <v>585</v>
      </c>
      <c r="V119" s="49" t="s">
        <v>124</v>
      </c>
      <c r="W119" s="49" t="s">
        <v>124</v>
      </c>
      <c r="X119" s="49" t="s">
        <v>124</v>
      </c>
      <c r="Y119" s="50" t="str">
        <f>IF(CCUS_Projects_Database!$R119&lt;&gt;"",HYPERLINK(CCUS_Projects_Database!$R119,"Link 1"),"")</f>
        <v>Link 1</v>
      </c>
      <c r="Z119" s="50" t="str">
        <f>IF(CCUS_Projects_Database!$S119&lt;&gt;"",HYPERLINK(CCUS_Projects_Database!$S119,"Link 2"),"")</f>
        <v>Link 2</v>
      </c>
      <c r="AA119" s="50" t="str">
        <f>IF(CCUS_Projects_Database!$T119&lt;&gt;"",HYPERLINK(CCUS_Projects_Database!$T119,"Link 3"),"")</f>
        <v>Link 3</v>
      </c>
      <c r="AB119" s="50" t="str">
        <f>IF(CCUS_Projects_Database!$U119&lt;&gt;"",HYPERLINK(CCUS_Projects_Database!$U119,"Link 4"),"")</f>
        <v>Link 4</v>
      </c>
      <c r="AC119" s="50" t="str">
        <f>IF(CCUS_Projects_Database!$V119&lt;&gt;"",HYPERLINK(CCUS_Projects_Database!$V119,"Link 5"),"")</f>
        <v/>
      </c>
      <c r="AD119" s="50" t="str">
        <f>IF(CCUS_Projects_Database!$W119&lt;&gt;"",HYPERLINK(CCUS_Projects_Database!$W119,"Link 6"),"")</f>
        <v/>
      </c>
      <c r="AE119" s="50" t="str">
        <f>IF(CCUS_Projects_Database!$X119&lt;&gt;"",HYPERLINK(CCUS_Projects_Database!$X119,"Link 7"),"")</f>
        <v/>
      </c>
    </row>
    <row r="120" ht="15.75" customHeight="1">
      <c r="A120" s="37" t="s">
        <v>586</v>
      </c>
      <c r="B120" s="38">
        <v>259.0</v>
      </c>
      <c r="C120" s="38" t="s">
        <v>122</v>
      </c>
      <c r="D120" s="39" t="s">
        <v>587</v>
      </c>
      <c r="E120" s="38" t="s">
        <v>8</v>
      </c>
      <c r="F120" s="38">
        <v>2022.0</v>
      </c>
      <c r="G120" s="38" t="s">
        <v>124</v>
      </c>
      <c r="H120" s="38">
        <v>2028.0</v>
      </c>
      <c r="I120" s="38" t="s">
        <v>124</v>
      </c>
      <c r="J120" s="38" t="s">
        <v>28</v>
      </c>
      <c r="K120" s="40" t="s">
        <v>124</v>
      </c>
      <c r="L120" s="51">
        <v>0.61</v>
      </c>
      <c r="M120" s="40">
        <v>0.61</v>
      </c>
      <c r="N120" s="38" t="s">
        <v>56</v>
      </c>
      <c r="O120" s="41" t="s">
        <v>71</v>
      </c>
      <c r="P120" s="42" t="s">
        <v>588</v>
      </c>
      <c r="Q120" s="38" t="s">
        <v>125</v>
      </c>
      <c r="R120" s="42" t="s">
        <v>589</v>
      </c>
      <c r="S120" s="42" t="s">
        <v>590</v>
      </c>
      <c r="T120" s="42" t="s">
        <v>124</v>
      </c>
      <c r="U120" s="42" t="s">
        <v>124</v>
      </c>
      <c r="V120" s="42" t="s">
        <v>124</v>
      </c>
      <c r="W120" s="42" t="s">
        <v>124</v>
      </c>
      <c r="X120" s="42" t="s">
        <v>124</v>
      </c>
      <c r="Y120" s="43" t="str">
        <f>IF(CCUS_Projects_Database!$R120&lt;&gt;"",HYPERLINK(CCUS_Projects_Database!$R120,"Link 1"),"")</f>
        <v>Link 1</v>
      </c>
      <c r="Z120" s="43" t="str">
        <f>IF(CCUS_Projects_Database!$S120&lt;&gt;"",HYPERLINK(CCUS_Projects_Database!$S120,"Link 2"),"")</f>
        <v>Link 2</v>
      </c>
      <c r="AA120" s="43" t="str">
        <f>IF(CCUS_Projects_Database!$T120&lt;&gt;"",HYPERLINK(CCUS_Projects_Database!$T120,"Link 3"),"")</f>
        <v/>
      </c>
      <c r="AB120" s="43" t="str">
        <f>IF(CCUS_Projects_Database!$U120&lt;&gt;"",HYPERLINK(CCUS_Projects_Database!$U120,"Link 4"),"")</f>
        <v/>
      </c>
      <c r="AC120" s="43" t="str">
        <f>IF(CCUS_Projects_Database!$V120&lt;&gt;"",HYPERLINK(CCUS_Projects_Database!$V120,"Link 5"),"")</f>
        <v/>
      </c>
      <c r="AD120" s="43" t="str">
        <f>IF(CCUS_Projects_Database!$W120&lt;&gt;"",HYPERLINK(CCUS_Projects_Database!$W120,"Link 6"),"")</f>
        <v/>
      </c>
      <c r="AE120" s="43" t="str">
        <f>IF(CCUS_Projects_Database!$X120&lt;&gt;"",HYPERLINK(CCUS_Projects_Database!$X120,"Link 7"),"")</f>
        <v/>
      </c>
    </row>
    <row r="121" ht="15.75" customHeight="1">
      <c r="A121" s="44" t="s">
        <v>591</v>
      </c>
      <c r="B121" s="45">
        <v>65.0</v>
      </c>
      <c r="C121" s="45" t="s">
        <v>157</v>
      </c>
      <c r="D121" s="46" t="s">
        <v>592</v>
      </c>
      <c r="E121" s="45" t="s">
        <v>6</v>
      </c>
      <c r="F121" s="45">
        <v>2012.0</v>
      </c>
      <c r="G121" s="45" t="s">
        <v>124</v>
      </c>
      <c r="H121" s="45">
        <v>2028.0</v>
      </c>
      <c r="I121" s="45" t="s">
        <v>124</v>
      </c>
      <c r="J121" s="45" t="s">
        <v>28</v>
      </c>
      <c r="K121" s="47" t="s">
        <v>124</v>
      </c>
      <c r="L121" s="52">
        <v>3.0</v>
      </c>
      <c r="M121" s="47">
        <v>3.0</v>
      </c>
      <c r="N121" s="45" t="s">
        <v>46</v>
      </c>
      <c r="O121" s="48" t="s">
        <v>71</v>
      </c>
      <c r="P121" s="49" t="s">
        <v>124</v>
      </c>
      <c r="Q121" s="45" t="s">
        <v>125</v>
      </c>
      <c r="R121" s="49" t="s">
        <v>593</v>
      </c>
      <c r="S121" s="49" t="s">
        <v>124</v>
      </c>
      <c r="T121" s="49" t="s">
        <v>124</v>
      </c>
      <c r="U121" s="49" t="s">
        <v>124</v>
      </c>
      <c r="V121" s="49" t="s">
        <v>124</v>
      </c>
      <c r="W121" s="49" t="s">
        <v>124</v>
      </c>
      <c r="X121" s="49" t="s">
        <v>124</v>
      </c>
      <c r="Y121" s="50" t="str">
        <f>IF(CCUS_Projects_Database!$R121&lt;&gt;"",HYPERLINK(CCUS_Projects_Database!$R121,"Link 1"),"")</f>
        <v>Link 1</v>
      </c>
      <c r="Z121" s="50" t="str">
        <f>IF(CCUS_Projects_Database!$S121&lt;&gt;"",HYPERLINK(CCUS_Projects_Database!$S121,"Link 2"),"")</f>
        <v/>
      </c>
      <c r="AA121" s="50" t="str">
        <f>IF(CCUS_Projects_Database!$T121&lt;&gt;"",HYPERLINK(CCUS_Projects_Database!$T121,"Link 3"),"")</f>
        <v/>
      </c>
      <c r="AB121" s="50" t="str">
        <f>IF(CCUS_Projects_Database!$U121&lt;&gt;"",HYPERLINK(CCUS_Projects_Database!$U121,"Link 4"),"")</f>
        <v/>
      </c>
      <c r="AC121" s="50" t="str">
        <f>IF(CCUS_Projects_Database!$V121&lt;&gt;"",HYPERLINK(CCUS_Projects_Database!$V121,"Link 5"),"")</f>
        <v/>
      </c>
      <c r="AD121" s="50" t="str">
        <f>IF(CCUS_Projects_Database!$W121&lt;&gt;"",HYPERLINK(CCUS_Projects_Database!$W121,"Link 6"),"")</f>
        <v/>
      </c>
      <c r="AE121" s="50" t="str">
        <f>IF(CCUS_Projects_Database!$X121&lt;&gt;"",HYPERLINK(CCUS_Projects_Database!$X121,"Link 7"),"")</f>
        <v/>
      </c>
    </row>
    <row r="122" ht="15.75" customHeight="1">
      <c r="A122" s="37" t="s">
        <v>594</v>
      </c>
      <c r="B122" s="38">
        <v>652.0</v>
      </c>
      <c r="C122" s="38" t="s">
        <v>595</v>
      </c>
      <c r="D122" s="39" t="s">
        <v>596</v>
      </c>
      <c r="E122" s="38" t="s">
        <v>10</v>
      </c>
      <c r="F122" s="38">
        <v>2023.0</v>
      </c>
      <c r="G122" s="38" t="s">
        <v>124</v>
      </c>
      <c r="H122" s="38">
        <v>2029.0</v>
      </c>
      <c r="I122" s="38" t="s">
        <v>124</v>
      </c>
      <c r="J122" s="38" t="s">
        <v>28</v>
      </c>
      <c r="K122" s="40">
        <v>1.0</v>
      </c>
      <c r="L122" s="51">
        <v>3.6</v>
      </c>
      <c r="M122" s="40">
        <v>3.6</v>
      </c>
      <c r="N122" s="38" t="s">
        <v>10</v>
      </c>
      <c r="O122" s="41" t="s">
        <v>71</v>
      </c>
      <c r="P122" s="42" t="s">
        <v>597</v>
      </c>
      <c r="Q122" s="38" t="s">
        <v>125</v>
      </c>
      <c r="R122" s="42" t="s">
        <v>329</v>
      </c>
      <c r="S122" s="42" t="s">
        <v>124</v>
      </c>
      <c r="T122" s="42" t="s">
        <v>124</v>
      </c>
      <c r="U122" s="42" t="s">
        <v>124</v>
      </c>
      <c r="V122" s="42" t="s">
        <v>124</v>
      </c>
      <c r="W122" s="42" t="s">
        <v>124</v>
      </c>
      <c r="X122" s="42" t="s">
        <v>124</v>
      </c>
      <c r="Y122" s="43" t="str">
        <f>IF(CCUS_Projects_Database!$R122&lt;&gt;"",HYPERLINK(CCUS_Projects_Database!$R122,"Link 1"),"")</f>
        <v>Link 1</v>
      </c>
      <c r="Z122" s="43" t="str">
        <f>IF(CCUS_Projects_Database!$S122&lt;&gt;"",HYPERLINK(CCUS_Projects_Database!$S122,"Link 2"),"")</f>
        <v/>
      </c>
      <c r="AA122" s="43" t="str">
        <f>IF(CCUS_Projects_Database!$T122&lt;&gt;"",HYPERLINK(CCUS_Projects_Database!$T122,"Link 3"),"")</f>
        <v/>
      </c>
      <c r="AB122" s="43" t="str">
        <f>IF(CCUS_Projects_Database!$U122&lt;&gt;"",HYPERLINK(CCUS_Projects_Database!$U122,"Link 4"),"")</f>
        <v/>
      </c>
      <c r="AC122" s="43" t="str">
        <f>IF(CCUS_Projects_Database!$V122&lt;&gt;"",HYPERLINK(CCUS_Projects_Database!$V122,"Link 5"),"")</f>
        <v/>
      </c>
      <c r="AD122" s="43" t="str">
        <f>IF(CCUS_Projects_Database!$W122&lt;&gt;"",HYPERLINK(CCUS_Projects_Database!$W122,"Link 6"),"")</f>
        <v/>
      </c>
      <c r="AE122" s="43" t="str">
        <f>IF(CCUS_Projects_Database!$X122&lt;&gt;"",HYPERLINK(CCUS_Projects_Database!$X122,"Link 7"),"")</f>
        <v/>
      </c>
    </row>
    <row r="123" ht="15.75" customHeight="1">
      <c r="A123" s="44" t="s">
        <v>598</v>
      </c>
      <c r="B123" s="45">
        <v>653.0</v>
      </c>
      <c r="C123" s="45" t="s">
        <v>595</v>
      </c>
      <c r="D123" s="46" t="s">
        <v>596</v>
      </c>
      <c r="E123" s="45" t="s">
        <v>10</v>
      </c>
      <c r="F123" s="45">
        <v>2023.0</v>
      </c>
      <c r="G123" s="45" t="s">
        <v>124</v>
      </c>
      <c r="H123" s="45">
        <v>2040.0</v>
      </c>
      <c r="I123" s="45" t="s">
        <v>124</v>
      </c>
      <c r="J123" s="45" t="s">
        <v>28</v>
      </c>
      <c r="K123" s="47">
        <v>2.0</v>
      </c>
      <c r="L123" s="52">
        <v>2.8</v>
      </c>
      <c r="M123" s="47">
        <v>2.8</v>
      </c>
      <c r="N123" s="45" t="s">
        <v>10</v>
      </c>
      <c r="O123" s="48" t="s">
        <v>71</v>
      </c>
      <c r="P123" s="49" t="s">
        <v>597</v>
      </c>
      <c r="Q123" s="45" t="s">
        <v>125</v>
      </c>
      <c r="R123" s="49" t="s">
        <v>329</v>
      </c>
      <c r="S123" s="49" t="s">
        <v>124</v>
      </c>
      <c r="T123" s="49" t="s">
        <v>124</v>
      </c>
      <c r="U123" s="49" t="s">
        <v>124</v>
      </c>
      <c r="V123" s="49" t="s">
        <v>124</v>
      </c>
      <c r="W123" s="49" t="s">
        <v>124</v>
      </c>
      <c r="X123" s="49" t="s">
        <v>124</v>
      </c>
      <c r="Y123" s="50" t="str">
        <f>IF(CCUS_Projects_Database!$R123&lt;&gt;"",HYPERLINK(CCUS_Projects_Database!$R123,"Link 1"),"")</f>
        <v>Link 1</v>
      </c>
      <c r="Z123" s="50" t="str">
        <f>IF(CCUS_Projects_Database!$S123&lt;&gt;"",HYPERLINK(CCUS_Projects_Database!$S123,"Link 2"),"")</f>
        <v/>
      </c>
      <c r="AA123" s="50" t="str">
        <f>IF(CCUS_Projects_Database!$T123&lt;&gt;"",HYPERLINK(CCUS_Projects_Database!$T123,"Link 3"),"")</f>
        <v/>
      </c>
      <c r="AB123" s="50" t="str">
        <f>IF(CCUS_Projects_Database!$U123&lt;&gt;"",HYPERLINK(CCUS_Projects_Database!$U123,"Link 4"),"")</f>
        <v/>
      </c>
      <c r="AC123" s="50" t="str">
        <f>IF(CCUS_Projects_Database!$V123&lt;&gt;"",HYPERLINK(CCUS_Projects_Database!$V123,"Link 5"),"")</f>
        <v/>
      </c>
      <c r="AD123" s="50" t="str">
        <f>IF(CCUS_Projects_Database!$W123&lt;&gt;"",HYPERLINK(CCUS_Projects_Database!$W123,"Link 6"),"")</f>
        <v/>
      </c>
      <c r="AE123" s="50" t="str">
        <f>IF(CCUS_Projects_Database!$X123&lt;&gt;"",HYPERLINK(CCUS_Projects_Database!$X123,"Link 7"),"")</f>
        <v/>
      </c>
    </row>
    <row r="124" ht="15.75" customHeight="1">
      <c r="A124" s="37" t="s">
        <v>599</v>
      </c>
      <c r="B124" s="38">
        <v>701.0</v>
      </c>
      <c r="C124" s="38" t="s">
        <v>141</v>
      </c>
      <c r="D124" s="39" t="s">
        <v>600</v>
      </c>
      <c r="E124" s="38" t="s">
        <v>8</v>
      </c>
      <c r="F124" s="38">
        <v>2023.0</v>
      </c>
      <c r="G124" s="38" t="s">
        <v>124</v>
      </c>
      <c r="H124" s="38">
        <v>2028.0</v>
      </c>
      <c r="I124" s="38" t="s">
        <v>124</v>
      </c>
      <c r="J124" s="38" t="s">
        <v>28</v>
      </c>
      <c r="K124" s="40" t="s">
        <v>124</v>
      </c>
      <c r="L124" s="51">
        <v>2.0</v>
      </c>
      <c r="M124" s="40">
        <v>2.0</v>
      </c>
      <c r="N124" s="38" t="s">
        <v>46</v>
      </c>
      <c r="O124" s="41" t="s">
        <v>77</v>
      </c>
      <c r="P124" s="42" t="s">
        <v>124</v>
      </c>
      <c r="Q124" s="38" t="s">
        <v>143</v>
      </c>
      <c r="R124" s="42" t="s">
        <v>601</v>
      </c>
      <c r="S124" s="42" t="s">
        <v>124</v>
      </c>
      <c r="T124" s="42" t="s">
        <v>124</v>
      </c>
      <c r="U124" s="42" t="s">
        <v>124</v>
      </c>
      <c r="V124" s="42" t="s">
        <v>124</v>
      </c>
      <c r="W124" s="42" t="s">
        <v>124</v>
      </c>
      <c r="X124" s="42" t="s">
        <v>124</v>
      </c>
      <c r="Y124" s="43" t="str">
        <f>IF(CCUS_Projects_Database!$R124&lt;&gt;"",HYPERLINK(CCUS_Projects_Database!$R124,"Link 1"),"")</f>
        <v>Link 1</v>
      </c>
      <c r="Z124" s="43" t="str">
        <f>IF(CCUS_Projects_Database!$S124&lt;&gt;"",HYPERLINK(CCUS_Projects_Database!$S124,"Link 2"),"")</f>
        <v/>
      </c>
      <c r="AA124" s="43" t="str">
        <f>IF(CCUS_Projects_Database!$T124&lt;&gt;"",HYPERLINK(CCUS_Projects_Database!$T124,"Link 3"),"")</f>
        <v/>
      </c>
      <c r="AB124" s="43" t="str">
        <f>IF(CCUS_Projects_Database!$U124&lt;&gt;"",HYPERLINK(CCUS_Projects_Database!$U124,"Link 4"),"")</f>
        <v/>
      </c>
      <c r="AC124" s="43" t="str">
        <f>IF(CCUS_Projects_Database!$V124&lt;&gt;"",HYPERLINK(CCUS_Projects_Database!$V124,"Link 5"),"")</f>
        <v/>
      </c>
      <c r="AD124" s="43" t="str">
        <f>IF(CCUS_Projects_Database!$W124&lt;&gt;"",HYPERLINK(CCUS_Projects_Database!$W124,"Link 6"),"")</f>
        <v/>
      </c>
      <c r="AE124" s="43" t="str">
        <f>IF(CCUS_Projects_Database!$X124&lt;&gt;"",HYPERLINK(CCUS_Projects_Database!$X124,"Link 7"),"")</f>
        <v/>
      </c>
    </row>
    <row r="125" ht="15.75" customHeight="1">
      <c r="A125" s="44" t="s">
        <v>602</v>
      </c>
      <c r="B125" s="45">
        <v>363.0</v>
      </c>
      <c r="C125" s="45" t="s">
        <v>141</v>
      </c>
      <c r="D125" s="46" t="s">
        <v>603</v>
      </c>
      <c r="E125" s="45" t="s">
        <v>8</v>
      </c>
      <c r="F125" s="45">
        <v>2021.0</v>
      </c>
      <c r="G125" s="45" t="s">
        <v>124</v>
      </c>
      <c r="H125" s="45" t="s">
        <v>124</v>
      </c>
      <c r="I125" s="45" t="s">
        <v>124</v>
      </c>
      <c r="J125" s="45" t="s">
        <v>28</v>
      </c>
      <c r="K125" s="47" t="s">
        <v>124</v>
      </c>
      <c r="L125" s="52">
        <v>2.91</v>
      </c>
      <c r="M125" s="47">
        <v>5.0</v>
      </c>
      <c r="N125" s="45" t="s">
        <v>46</v>
      </c>
      <c r="O125" s="48" t="s">
        <v>71</v>
      </c>
      <c r="P125" s="49" t="s">
        <v>124</v>
      </c>
      <c r="Q125" s="45" t="s">
        <v>143</v>
      </c>
      <c r="R125" s="49" t="s">
        <v>604</v>
      </c>
      <c r="S125" s="49" t="s">
        <v>605</v>
      </c>
      <c r="T125" s="49" t="s">
        <v>124</v>
      </c>
      <c r="U125" s="49" t="s">
        <v>124</v>
      </c>
      <c r="V125" s="49" t="s">
        <v>124</v>
      </c>
      <c r="W125" s="49" t="s">
        <v>124</v>
      </c>
      <c r="X125" s="49" t="s">
        <v>124</v>
      </c>
      <c r="Y125" s="50" t="str">
        <f>IF(CCUS_Projects_Database!$R125&lt;&gt;"",HYPERLINK(CCUS_Projects_Database!$R125,"Link 1"),"")</f>
        <v>Link 1</v>
      </c>
      <c r="Z125" s="50" t="str">
        <f>IF(CCUS_Projects_Database!$S125&lt;&gt;"",HYPERLINK(CCUS_Projects_Database!$S125,"Link 2"),"")</f>
        <v>Link 2</v>
      </c>
      <c r="AA125" s="50" t="str">
        <f>IF(CCUS_Projects_Database!$T125&lt;&gt;"",HYPERLINK(CCUS_Projects_Database!$T125,"Link 3"),"")</f>
        <v/>
      </c>
      <c r="AB125" s="50" t="str">
        <f>IF(CCUS_Projects_Database!$U125&lt;&gt;"",HYPERLINK(CCUS_Projects_Database!$U125,"Link 4"),"")</f>
        <v/>
      </c>
      <c r="AC125" s="50" t="str">
        <f>IF(CCUS_Projects_Database!$V125&lt;&gt;"",HYPERLINK(CCUS_Projects_Database!$V125,"Link 5"),"")</f>
        <v/>
      </c>
      <c r="AD125" s="50" t="str">
        <f>IF(CCUS_Projects_Database!$W125&lt;&gt;"",HYPERLINK(CCUS_Projects_Database!$W125,"Link 6"),"")</f>
        <v/>
      </c>
      <c r="AE125" s="50" t="str">
        <f>IF(CCUS_Projects_Database!$X125&lt;&gt;"",HYPERLINK(CCUS_Projects_Database!$X125,"Link 7"),"")</f>
        <v/>
      </c>
    </row>
    <row r="126" ht="15.75" customHeight="1">
      <c r="A126" s="37" t="s">
        <v>606</v>
      </c>
      <c r="B126" s="38">
        <v>698.0</v>
      </c>
      <c r="C126" s="38" t="s">
        <v>141</v>
      </c>
      <c r="D126" s="39" t="s">
        <v>607</v>
      </c>
      <c r="E126" s="38" t="s">
        <v>8</v>
      </c>
      <c r="F126" s="38">
        <v>2021.0</v>
      </c>
      <c r="G126" s="38" t="s">
        <v>124</v>
      </c>
      <c r="H126" s="38" t="s">
        <v>124</v>
      </c>
      <c r="I126" s="38" t="s">
        <v>124</v>
      </c>
      <c r="J126" s="38" t="s">
        <v>28</v>
      </c>
      <c r="K126" s="40" t="s">
        <v>124</v>
      </c>
      <c r="L126" s="40"/>
      <c r="M126" s="40" t="s">
        <v>124</v>
      </c>
      <c r="N126" s="38" t="s">
        <v>46</v>
      </c>
      <c r="O126" s="41" t="s">
        <v>71</v>
      </c>
      <c r="P126" s="42" t="s">
        <v>124</v>
      </c>
      <c r="Q126" s="38" t="s">
        <v>143</v>
      </c>
      <c r="R126" s="42" t="s">
        <v>608</v>
      </c>
      <c r="S126" s="42" t="s">
        <v>609</v>
      </c>
      <c r="T126" s="42" t="s">
        <v>610</v>
      </c>
      <c r="U126" s="42" t="s">
        <v>124</v>
      </c>
      <c r="V126" s="42" t="s">
        <v>124</v>
      </c>
      <c r="W126" s="42" t="s">
        <v>124</v>
      </c>
      <c r="X126" s="42" t="s">
        <v>124</v>
      </c>
      <c r="Y126" s="43" t="str">
        <f>IF(CCUS_Projects_Database!$R126&lt;&gt;"",HYPERLINK(CCUS_Projects_Database!$R126,"Link 1"),"")</f>
        <v>Link 1</v>
      </c>
      <c r="Z126" s="43" t="str">
        <f>IF(CCUS_Projects_Database!$S126&lt;&gt;"",HYPERLINK(CCUS_Projects_Database!$S126,"Link 2"),"")</f>
        <v>Link 2</v>
      </c>
      <c r="AA126" s="43" t="str">
        <f>IF(CCUS_Projects_Database!$T126&lt;&gt;"",HYPERLINK(CCUS_Projects_Database!$T126,"Link 3"),"")</f>
        <v>Link 3</v>
      </c>
      <c r="AB126" s="43" t="str">
        <f>IF(CCUS_Projects_Database!$U126&lt;&gt;"",HYPERLINK(CCUS_Projects_Database!$U126,"Link 4"),"")</f>
        <v/>
      </c>
      <c r="AC126" s="43" t="str">
        <f>IF(CCUS_Projects_Database!$V126&lt;&gt;"",HYPERLINK(CCUS_Projects_Database!$V126,"Link 5"),"")</f>
        <v/>
      </c>
      <c r="AD126" s="43" t="str">
        <f>IF(CCUS_Projects_Database!$W126&lt;&gt;"",HYPERLINK(CCUS_Projects_Database!$W126,"Link 6"),"")</f>
        <v/>
      </c>
      <c r="AE126" s="43" t="str">
        <f>IF(CCUS_Projects_Database!$X126&lt;&gt;"",HYPERLINK(CCUS_Projects_Database!$X126,"Link 7"),"")</f>
        <v/>
      </c>
    </row>
    <row r="127" ht="15.75" customHeight="1">
      <c r="A127" s="44" t="s">
        <v>611</v>
      </c>
      <c r="B127" s="45">
        <v>721.0</v>
      </c>
      <c r="C127" s="45" t="s">
        <v>141</v>
      </c>
      <c r="D127" s="46" t="s">
        <v>612</v>
      </c>
      <c r="E127" s="45" t="s">
        <v>6</v>
      </c>
      <c r="F127" s="45">
        <v>2023.0</v>
      </c>
      <c r="G127" s="45" t="s">
        <v>124</v>
      </c>
      <c r="H127" s="45" t="s">
        <v>124</v>
      </c>
      <c r="I127" s="45" t="s">
        <v>124</v>
      </c>
      <c r="J127" s="45" t="s">
        <v>28</v>
      </c>
      <c r="K127" s="47" t="s">
        <v>124</v>
      </c>
      <c r="L127" s="52">
        <v>1.7</v>
      </c>
      <c r="M127" s="47">
        <v>1.7</v>
      </c>
      <c r="N127" s="45" t="s">
        <v>46</v>
      </c>
      <c r="O127" s="48" t="s">
        <v>71</v>
      </c>
      <c r="P127" s="49" t="s">
        <v>124</v>
      </c>
      <c r="Q127" s="45" t="s">
        <v>143</v>
      </c>
      <c r="R127" s="49" t="s">
        <v>613</v>
      </c>
      <c r="S127" s="49" t="s">
        <v>614</v>
      </c>
      <c r="T127" s="49" t="s">
        <v>615</v>
      </c>
      <c r="U127" s="49" t="s">
        <v>124</v>
      </c>
      <c r="V127" s="49" t="s">
        <v>124</v>
      </c>
      <c r="W127" s="49" t="s">
        <v>124</v>
      </c>
      <c r="X127" s="49" t="s">
        <v>124</v>
      </c>
      <c r="Y127" s="50" t="str">
        <f>IF(CCUS_Projects_Database!$R127&lt;&gt;"",HYPERLINK(CCUS_Projects_Database!$R127,"Link 1"),"")</f>
        <v>Link 1</v>
      </c>
      <c r="Z127" s="50" t="str">
        <f>IF(CCUS_Projects_Database!$S127&lt;&gt;"",HYPERLINK(CCUS_Projects_Database!$S127,"Link 2"),"")</f>
        <v>Link 2</v>
      </c>
      <c r="AA127" s="50" t="str">
        <f>IF(CCUS_Projects_Database!$T127&lt;&gt;"",HYPERLINK(CCUS_Projects_Database!$T127,"Link 3"),"")</f>
        <v>Link 3</v>
      </c>
      <c r="AB127" s="50" t="str">
        <f>IF(CCUS_Projects_Database!$U127&lt;&gt;"",HYPERLINK(CCUS_Projects_Database!$U127,"Link 4"),"")</f>
        <v/>
      </c>
      <c r="AC127" s="50" t="str">
        <f>IF(CCUS_Projects_Database!$V127&lt;&gt;"",HYPERLINK(CCUS_Projects_Database!$V127,"Link 5"),"")</f>
        <v/>
      </c>
      <c r="AD127" s="50" t="str">
        <f>IF(CCUS_Projects_Database!$W127&lt;&gt;"",HYPERLINK(CCUS_Projects_Database!$W127,"Link 6"),"")</f>
        <v/>
      </c>
      <c r="AE127" s="50" t="str">
        <f>IF(CCUS_Projects_Database!$X127&lt;&gt;"",HYPERLINK(CCUS_Projects_Database!$X127,"Link 7"),"")</f>
        <v/>
      </c>
    </row>
    <row r="128" ht="15.75" customHeight="1">
      <c r="A128" s="37" t="s">
        <v>616</v>
      </c>
      <c r="B128" s="38">
        <v>864.0</v>
      </c>
      <c r="C128" s="38" t="s">
        <v>141</v>
      </c>
      <c r="D128" s="39" t="s">
        <v>617</v>
      </c>
      <c r="E128" s="38" t="s">
        <v>12</v>
      </c>
      <c r="F128" s="38">
        <v>2023.0</v>
      </c>
      <c r="G128" s="38" t="s">
        <v>124</v>
      </c>
      <c r="H128" s="38">
        <v>2027.0</v>
      </c>
      <c r="I128" s="38" t="s">
        <v>124</v>
      </c>
      <c r="J128" s="38" t="s">
        <v>28</v>
      </c>
      <c r="K128" s="40" t="s">
        <v>124</v>
      </c>
      <c r="L128" s="40"/>
      <c r="M128" s="40" t="s">
        <v>124</v>
      </c>
      <c r="N128" s="38" t="s">
        <v>12</v>
      </c>
      <c r="O128" s="41" t="s">
        <v>71</v>
      </c>
      <c r="P128" s="42" t="s">
        <v>124</v>
      </c>
      <c r="Q128" s="38" t="s">
        <v>143</v>
      </c>
      <c r="R128" s="42" t="s">
        <v>124</v>
      </c>
      <c r="S128" s="42" t="s">
        <v>124</v>
      </c>
      <c r="T128" s="42" t="s">
        <v>124</v>
      </c>
      <c r="U128" s="42" t="s">
        <v>124</v>
      </c>
      <c r="V128" s="42" t="s">
        <v>124</v>
      </c>
      <c r="W128" s="42" t="s">
        <v>124</v>
      </c>
      <c r="X128" s="42" t="s">
        <v>124</v>
      </c>
      <c r="Y128" s="43" t="str">
        <f>IF(CCUS_Projects_Database!$R128&lt;&gt;"",HYPERLINK(CCUS_Projects_Database!$R128,"Link 1"),"")</f>
        <v/>
      </c>
      <c r="Z128" s="43" t="str">
        <f>IF(CCUS_Projects_Database!$S128&lt;&gt;"",HYPERLINK(CCUS_Projects_Database!$S128,"Link 2"),"")</f>
        <v/>
      </c>
      <c r="AA128" s="43" t="str">
        <f>IF(CCUS_Projects_Database!$T128&lt;&gt;"",HYPERLINK(CCUS_Projects_Database!$T128,"Link 3"),"")</f>
        <v/>
      </c>
      <c r="AB128" s="43" t="str">
        <f>IF(CCUS_Projects_Database!$U128&lt;&gt;"",HYPERLINK(CCUS_Projects_Database!$U128,"Link 4"),"")</f>
        <v/>
      </c>
      <c r="AC128" s="43" t="str">
        <f>IF(CCUS_Projects_Database!$V128&lt;&gt;"",HYPERLINK(CCUS_Projects_Database!$V128,"Link 5"),"")</f>
        <v/>
      </c>
      <c r="AD128" s="43" t="str">
        <f>IF(CCUS_Projects_Database!$W128&lt;&gt;"",HYPERLINK(CCUS_Projects_Database!$W128,"Link 6"),"")</f>
        <v/>
      </c>
      <c r="AE128" s="43" t="str">
        <f>IF(CCUS_Projects_Database!$X128&lt;&gt;"",HYPERLINK(CCUS_Projects_Database!$X128,"Link 7"),"")</f>
        <v/>
      </c>
    </row>
    <row r="129" ht="15.75" customHeight="1">
      <c r="A129" s="44" t="s">
        <v>618</v>
      </c>
      <c r="B129" s="45">
        <v>972.0</v>
      </c>
      <c r="C129" s="45" t="s">
        <v>141</v>
      </c>
      <c r="D129" s="46" t="s">
        <v>619</v>
      </c>
      <c r="E129" s="45" t="s">
        <v>12</v>
      </c>
      <c r="F129" s="45">
        <v>2023.0</v>
      </c>
      <c r="G129" s="45" t="s">
        <v>124</v>
      </c>
      <c r="H129" s="45" t="s">
        <v>124</v>
      </c>
      <c r="I129" s="45" t="s">
        <v>124</v>
      </c>
      <c r="J129" s="45" t="s">
        <v>28</v>
      </c>
      <c r="K129" s="47" t="s">
        <v>124</v>
      </c>
      <c r="L129" s="47"/>
      <c r="M129" s="47" t="s">
        <v>124</v>
      </c>
      <c r="N129" s="45" t="s">
        <v>12</v>
      </c>
      <c r="O129" s="48" t="s">
        <v>71</v>
      </c>
      <c r="P129" s="49" t="s">
        <v>618</v>
      </c>
      <c r="Q129" s="45" t="s">
        <v>143</v>
      </c>
      <c r="R129" s="49" t="s">
        <v>155</v>
      </c>
      <c r="S129" s="49" t="s">
        <v>124</v>
      </c>
      <c r="T129" s="49" t="s">
        <v>124</v>
      </c>
      <c r="U129" s="49" t="s">
        <v>124</v>
      </c>
      <c r="V129" s="49" t="s">
        <v>124</v>
      </c>
      <c r="W129" s="49" t="s">
        <v>124</v>
      </c>
      <c r="X129" s="49" t="s">
        <v>124</v>
      </c>
      <c r="Y129" s="50" t="str">
        <f>IF(CCUS_Projects_Database!$R129&lt;&gt;"",HYPERLINK(CCUS_Projects_Database!$R129,"Link 1"),"")</f>
        <v>Link 1</v>
      </c>
      <c r="Z129" s="50" t="str">
        <f>IF(CCUS_Projects_Database!$S129&lt;&gt;"",HYPERLINK(CCUS_Projects_Database!$S129,"Link 2"),"")</f>
        <v/>
      </c>
      <c r="AA129" s="50" t="str">
        <f>IF(CCUS_Projects_Database!$T129&lt;&gt;"",HYPERLINK(CCUS_Projects_Database!$T129,"Link 3"),"")</f>
        <v/>
      </c>
      <c r="AB129" s="50" t="str">
        <f>IF(CCUS_Projects_Database!$U129&lt;&gt;"",HYPERLINK(CCUS_Projects_Database!$U129,"Link 4"),"")</f>
        <v/>
      </c>
      <c r="AC129" s="50" t="str">
        <f>IF(CCUS_Projects_Database!$V129&lt;&gt;"",HYPERLINK(CCUS_Projects_Database!$V129,"Link 5"),"")</f>
        <v/>
      </c>
      <c r="AD129" s="50" t="str">
        <f>IF(CCUS_Projects_Database!$W129&lt;&gt;"",HYPERLINK(CCUS_Projects_Database!$W129,"Link 6"),"")</f>
        <v/>
      </c>
      <c r="AE129" s="50" t="str">
        <f>IF(CCUS_Projects_Database!$X129&lt;&gt;"",HYPERLINK(CCUS_Projects_Database!$X129,"Link 7"),"")</f>
        <v/>
      </c>
    </row>
    <row r="130" ht="15.75" customHeight="1">
      <c r="A130" s="37" t="s">
        <v>620</v>
      </c>
      <c r="B130" s="38">
        <v>844.0</v>
      </c>
      <c r="C130" s="38" t="s">
        <v>253</v>
      </c>
      <c r="D130" s="39" t="s">
        <v>621</v>
      </c>
      <c r="E130" s="38" t="s">
        <v>8</v>
      </c>
      <c r="F130" s="38">
        <v>2023.0</v>
      </c>
      <c r="G130" s="38" t="s">
        <v>124</v>
      </c>
      <c r="H130" s="38" t="s">
        <v>124</v>
      </c>
      <c r="I130" s="38" t="s">
        <v>124</v>
      </c>
      <c r="J130" s="38" t="s">
        <v>28</v>
      </c>
      <c r="K130" s="40" t="s">
        <v>124</v>
      </c>
      <c r="L130" s="51">
        <v>1.5</v>
      </c>
      <c r="M130" s="40">
        <v>1.5</v>
      </c>
      <c r="N130" s="38" t="s">
        <v>56</v>
      </c>
      <c r="O130" s="41" t="s">
        <v>77</v>
      </c>
      <c r="P130" s="42" t="s">
        <v>124</v>
      </c>
      <c r="Q130" s="38" t="s">
        <v>253</v>
      </c>
      <c r="R130" s="42" t="s">
        <v>622</v>
      </c>
      <c r="S130" s="42" t="s">
        <v>124</v>
      </c>
      <c r="T130" s="42" t="s">
        <v>124</v>
      </c>
      <c r="U130" s="42" t="s">
        <v>124</v>
      </c>
      <c r="V130" s="42" t="s">
        <v>124</v>
      </c>
      <c r="W130" s="42" t="s">
        <v>124</v>
      </c>
      <c r="X130" s="42" t="s">
        <v>124</v>
      </c>
      <c r="Y130" s="43" t="str">
        <f>IF(CCUS_Projects_Database!$R130&lt;&gt;"",HYPERLINK(CCUS_Projects_Database!$R130,"Link 1"),"")</f>
        <v>Link 1</v>
      </c>
      <c r="Z130" s="43" t="str">
        <f>IF(CCUS_Projects_Database!$S130&lt;&gt;"",HYPERLINK(CCUS_Projects_Database!$S130,"Link 2"),"")</f>
        <v/>
      </c>
      <c r="AA130" s="43" t="str">
        <f>IF(CCUS_Projects_Database!$T130&lt;&gt;"",HYPERLINK(CCUS_Projects_Database!$T130,"Link 3"),"")</f>
        <v/>
      </c>
      <c r="AB130" s="43" t="str">
        <f>IF(CCUS_Projects_Database!$U130&lt;&gt;"",HYPERLINK(CCUS_Projects_Database!$U130,"Link 4"),"")</f>
        <v/>
      </c>
      <c r="AC130" s="43" t="str">
        <f>IF(CCUS_Projects_Database!$V130&lt;&gt;"",HYPERLINK(CCUS_Projects_Database!$V130,"Link 5"),"")</f>
        <v/>
      </c>
      <c r="AD130" s="43" t="str">
        <f>IF(CCUS_Projects_Database!$W130&lt;&gt;"",HYPERLINK(CCUS_Projects_Database!$W130,"Link 6"),"")</f>
        <v/>
      </c>
      <c r="AE130" s="43" t="str">
        <f>IF(CCUS_Projects_Database!$X130&lt;&gt;"",HYPERLINK(CCUS_Projects_Database!$X130,"Link 7"),"")</f>
        <v/>
      </c>
    </row>
    <row r="131" ht="15.75" customHeight="1">
      <c r="A131" s="44" t="s">
        <v>623</v>
      </c>
      <c r="B131" s="45">
        <v>626.0</v>
      </c>
      <c r="C131" s="45" t="s">
        <v>141</v>
      </c>
      <c r="D131" s="46" t="s">
        <v>624</v>
      </c>
      <c r="E131" s="45" t="s">
        <v>6</v>
      </c>
      <c r="F131" s="45">
        <v>2022.0</v>
      </c>
      <c r="G131" s="45" t="s">
        <v>124</v>
      </c>
      <c r="H131" s="45" t="s">
        <v>124</v>
      </c>
      <c r="I131" s="45" t="s">
        <v>124</v>
      </c>
      <c r="J131" s="45" t="s">
        <v>28</v>
      </c>
      <c r="K131" s="47" t="s">
        <v>124</v>
      </c>
      <c r="L131" s="52">
        <v>0.175</v>
      </c>
      <c r="M131" s="47">
        <v>0.175</v>
      </c>
      <c r="N131" s="45" t="s">
        <v>50</v>
      </c>
      <c r="O131" s="48" t="s">
        <v>71</v>
      </c>
      <c r="P131" s="49" t="s">
        <v>124</v>
      </c>
      <c r="Q131" s="45" t="s">
        <v>143</v>
      </c>
      <c r="R131" s="49" t="s">
        <v>625</v>
      </c>
      <c r="S131" s="49" t="s">
        <v>124</v>
      </c>
      <c r="T131" s="49" t="s">
        <v>124</v>
      </c>
      <c r="U131" s="49" t="s">
        <v>124</v>
      </c>
      <c r="V131" s="49" t="s">
        <v>124</v>
      </c>
      <c r="W131" s="49" t="s">
        <v>124</v>
      </c>
      <c r="X131" s="49" t="s">
        <v>124</v>
      </c>
      <c r="Y131" s="50" t="str">
        <f>IF(CCUS_Projects_Database!$R131&lt;&gt;"",HYPERLINK(CCUS_Projects_Database!$R131,"Link 1"),"")</f>
        <v>Link 1</v>
      </c>
      <c r="Z131" s="50" t="str">
        <f>IF(CCUS_Projects_Database!$S131&lt;&gt;"",HYPERLINK(CCUS_Projects_Database!$S131,"Link 2"),"")</f>
        <v/>
      </c>
      <c r="AA131" s="50" t="str">
        <f>IF(CCUS_Projects_Database!$T131&lt;&gt;"",HYPERLINK(CCUS_Projects_Database!$T131,"Link 3"),"")</f>
        <v/>
      </c>
      <c r="AB131" s="50" t="str">
        <f>IF(CCUS_Projects_Database!$U131&lt;&gt;"",HYPERLINK(CCUS_Projects_Database!$U131,"Link 4"),"")</f>
        <v/>
      </c>
      <c r="AC131" s="50" t="str">
        <f>IF(CCUS_Projects_Database!$V131&lt;&gt;"",HYPERLINK(CCUS_Projects_Database!$V131,"Link 5"),"")</f>
        <v/>
      </c>
      <c r="AD131" s="50" t="str">
        <f>IF(CCUS_Projects_Database!$W131&lt;&gt;"",HYPERLINK(CCUS_Projects_Database!$W131,"Link 6"),"")</f>
        <v/>
      </c>
      <c r="AE131" s="50" t="str">
        <f>IF(CCUS_Projects_Database!$X131&lt;&gt;"",HYPERLINK(CCUS_Projects_Database!$X131,"Link 7"),"")</f>
        <v/>
      </c>
    </row>
    <row r="132" ht="15.75" customHeight="1">
      <c r="A132" s="37" t="s">
        <v>626</v>
      </c>
      <c r="B132" s="38">
        <v>68.0</v>
      </c>
      <c r="C132" s="38" t="s">
        <v>141</v>
      </c>
      <c r="D132" s="39" t="s">
        <v>624</v>
      </c>
      <c r="E132" s="38" t="s">
        <v>6</v>
      </c>
      <c r="F132" s="38">
        <v>2022.0</v>
      </c>
      <c r="G132" s="38">
        <v>2024.0</v>
      </c>
      <c r="H132" s="38">
        <v>2028.0</v>
      </c>
      <c r="I132" s="38" t="s">
        <v>124</v>
      </c>
      <c r="J132" s="38" t="s">
        <v>28</v>
      </c>
      <c r="K132" s="40" t="s">
        <v>124</v>
      </c>
      <c r="L132" s="51">
        <v>0.35</v>
      </c>
      <c r="M132" s="40">
        <v>0.35</v>
      </c>
      <c r="N132" s="38" t="s">
        <v>50</v>
      </c>
      <c r="O132" s="41" t="s">
        <v>71</v>
      </c>
      <c r="P132" s="42" t="s">
        <v>124</v>
      </c>
      <c r="Q132" s="38" t="s">
        <v>143</v>
      </c>
      <c r="R132" s="42" t="s">
        <v>627</v>
      </c>
      <c r="S132" s="42" t="s">
        <v>124</v>
      </c>
      <c r="T132" s="42" t="s">
        <v>124</v>
      </c>
      <c r="U132" s="42" t="s">
        <v>124</v>
      </c>
      <c r="V132" s="42" t="s">
        <v>124</v>
      </c>
      <c r="W132" s="42" t="s">
        <v>124</v>
      </c>
      <c r="X132" s="42" t="s">
        <v>124</v>
      </c>
      <c r="Y132" s="43" t="str">
        <f>IF(CCUS_Projects_Database!$R132&lt;&gt;"",HYPERLINK(CCUS_Projects_Database!$R132,"Link 1"),"")</f>
        <v>Link 1</v>
      </c>
      <c r="Z132" s="43" t="str">
        <f>IF(CCUS_Projects_Database!$S132&lt;&gt;"",HYPERLINK(CCUS_Projects_Database!$S132,"Link 2"),"")</f>
        <v/>
      </c>
      <c r="AA132" s="43" t="str">
        <f>IF(CCUS_Projects_Database!$T132&lt;&gt;"",HYPERLINK(CCUS_Projects_Database!$T132,"Link 3"),"")</f>
        <v/>
      </c>
      <c r="AB132" s="43" t="str">
        <f>IF(CCUS_Projects_Database!$U132&lt;&gt;"",HYPERLINK(CCUS_Projects_Database!$U132,"Link 4"),"")</f>
        <v/>
      </c>
      <c r="AC132" s="43" t="str">
        <f>IF(CCUS_Projects_Database!$V132&lt;&gt;"",HYPERLINK(CCUS_Projects_Database!$V132,"Link 5"),"")</f>
        <v/>
      </c>
      <c r="AD132" s="43" t="str">
        <f>IF(CCUS_Projects_Database!$W132&lt;&gt;"",HYPERLINK(CCUS_Projects_Database!$W132,"Link 6"),"")</f>
        <v/>
      </c>
      <c r="AE132" s="43" t="str">
        <f>IF(CCUS_Projects_Database!$X132&lt;&gt;"",HYPERLINK(CCUS_Projects_Database!$X132,"Link 7"),"")</f>
        <v/>
      </c>
    </row>
    <row r="133" ht="15.75" customHeight="1">
      <c r="A133" s="44" t="s">
        <v>628</v>
      </c>
      <c r="B133" s="45">
        <v>69.0</v>
      </c>
      <c r="C133" s="45" t="s">
        <v>141</v>
      </c>
      <c r="D133" s="46" t="s">
        <v>624</v>
      </c>
      <c r="E133" s="45" t="s">
        <v>6</v>
      </c>
      <c r="F133" s="45">
        <v>2022.0</v>
      </c>
      <c r="G133" s="45">
        <v>2024.0</v>
      </c>
      <c r="H133" s="45">
        <v>2028.0</v>
      </c>
      <c r="I133" s="45" t="s">
        <v>124</v>
      </c>
      <c r="J133" s="45" t="s">
        <v>28</v>
      </c>
      <c r="K133" s="47" t="s">
        <v>124</v>
      </c>
      <c r="L133" s="47"/>
      <c r="M133" s="47" t="s">
        <v>124</v>
      </c>
      <c r="N133" s="45" t="s">
        <v>50</v>
      </c>
      <c r="O133" s="48" t="s">
        <v>71</v>
      </c>
      <c r="P133" s="49" t="s">
        <v>124</v>
      </c>
      <c r="Q133" s="45" t="s">
        <v>143</v>
      </c>
      <c r="R133" s="49" t="s">
        <v>627</v>
      </c>
      <c r="S133" s="49" t="s">
        <v>124</v>
      </c>
      <c r="T133" s="49" t="s">
        <v>124</v>
      </c>
      <c r="U133" s="49" t="s">
        <v>124</v>
      </c>
      <c r="V133" s="49" t="s">
        <v>124</v>
      </c>
      <c r="W133" s="49" t="s">
        <v>124</v>
      </c>
      <c r="X133" s="49" t="s">
        <v>124</v>
      </c>
      <c r="Y133" s="50" t="str">
        <f>IF(CCUS_Projects_Database!$R133&lt;&gt;"",HYPERLINK(CCUS_Projects_Database!$R133,"Link 1"),"")</f>
        <v>Link 1</v>
      </c>
      <c r="Z133" s="50" t="str">
        <f>IF(CCUS_Projects_Database!$S133&lt;&gt;"",HYPERLINK(CCUS_Projects_Database!$S133,"Link 2"),"")</f>
        <v/>
      </c>
      <c r="AA133" s="50" t="str">
        <f>IF(CCUS_Projects_Database!$T133&lt;&gt;"",HYPERLINK(CCUS_Projects_Database!$T133,"Link 3"),"")</f>
        <v/>
      </c>
      <c r="AB133" s="50" t="str">
        <f>IF(CCUS_Projects_Database!$U133&lt;&gt;"",HYPERLINK(CCUS_Projects_Database!$U133,"Link 4"),"")</f>
        <v/>
      </c>
      <c r="AC133" s="50" t="str">
        <f>IF(CCUS_Projects_Database!$V133&lt;&gt;"",HYPERLINK(CCUS_Projects_Database!$V133,"Link 5"),"")</f>
        <v/>
      </c>
      <c r="AD133" s="50" t="str">
        <f>IF(CCUS_Projects_Database!$W133&lt;&gt;"",HYPERLINK(CCUS_Projects_Database!$W133,"Link 6"),"")</f>
        <v/>
      </c>
      <c r="AE133" s="50" t="str">
        <f>IF(CCUS_Projects_Database!$X133&lt;&gt;"",HYPERLINK(CCUS_Projects_Database!$X133,"Link 7"),"")</f>
        <v/>
      </c>
    </row>
    <row r="134" ht="15.75" customHeight="1">
      <c r="A134" s="37" t="s">
        <v>629</v>
      </c>
      <c r="B134" s="38">
        <v>627.0</v>
      </c>
      <c r="C134" s="38" t="s">
        <v>141</v>
      </c>
      <c r="D134" s="39" t="s">
        <v>187</v>
      </c>
      <c r="E134" s="38" t="s">
        <v>8</v>
      </c>
      <c r="F134" s="38">
        <v>2022.0</v>
      </c>
      <c r="G134" s="38" t="s">
        <v>124</v>
      </c>
      <c r="H134" s="38" t="s">
        <v>124</v>
      </c>
      <c r="I134" s="38" t="s">
        <v>124</v>
      </c>
      <c r="J134" s="38" t="s">
        <v>28</v>
      </c>
      <c r="K134" s="40" t="s">
        <v>124</v>
      </c>
      <c r="L134" s="40"/>
      <c r="M134" s="40" t="s">
        <v>124</v>
      </c>
      <c r="N134" s="38" t="s">
        <v>50</v>
      </c>
      <c r="O134" s="41" t="s">
        <v>71</v>
      </c>
      <c r="P134" s="42" t="s">
        <v>630</v>
      </c>
      <c r="Q134" s="38" t="s">
        <v>143</v>
      </c>
      <c r="R134" s="42" t="s">
        <v>625</v>
      </c>
      <c r="S134" s="42" t="s">
        <v>124</v>
      </c>
      <c r="T134" s="42" t="s">
        <v>124</v>
      </c>
      <c r="U134" s="42" t="s">
        <v>124</v>
      </c>
      <c r="V134" s="42" t="s">
        <v>124</v>
      </c>
      <c r="W134" s="42" t="s">
        <v>124</v>
      </c>
      <c r="X134" s="42" t="s">
        <v>124</v>
      </c>
      <c r="Y134" s="43" t="str">
        <f>IF(CCUS_Projects_Database!$R134&lt;&gt;"",HYPERLINK(CCUS_Projects_Database!$R134,"Link 1"),"")</f>
        <v>Link 1</v>
      </c>
      <c r="Z134" s="43" t="str">
        <f>IF(CCUS_Projects_Database!$S134&lt;&gt;"",HYPERLINK(CCUS_Projects_Database!$S134,"Link 2"),"")</f>
        <v/>
      </c>
      <c r="AA134" s="43" t="str">
        <f>IF(CCUS_Projects_Database!$T134&lt;&gt;"",HYPERLINK(CCUS_Projects_Database!$T134,"Link 3"),"")</f>
        <v/>
      </c>
      <c r="AB134" s="43" t="str">
        <f>IF(CCUS_Projects_Database!$U134&lt;&gt;"",HYPERLINK(CCUS_Projects_Database!$U134,"Link 4"),"")</f>
        <v/>
      </c>
      <c r="AC134" s="43" t="str">
        <f>IF(CCUS_Projects_Database!$V134&lt;&gt;"",HYPERLINK(CCUS_Projects_Database!$V134,"Link 5"),"")</f>
        <v/>
      </c>
      <c r="AD134" s="43" t="str">
        <f>IF(CCUS_Projects_Database!$W134&lt;&gt;"",HYPERLINK(CCUS_Projects_Database!$W134,"Link 6"),"")</f>
        <v/>
      </c>
      <c r="AE134" s="43" t="str">
        <f>IF(CCUS_Projects_Database!$X134&lt;&gt;"",HYPERLINK(CCUS_Projects_Database!$X134,"Link 7"),"")</f>
        <v/>
      </c>
    </row>
    <row r="135" ht="15.75" customHeight="1">
      <c r="A135" s="44" t="s">
        <v>631</v>
      </c>
      <c r="B135" s="45">
        <v>748.0</v>
      </c>
      <c r="C135" s="45" t="s">
        <v>141</v>
      </c>
      <c r="D135" s="46" t="s">
        <v>632</v>
      </c>
      <c r="E135" s="45" t="s">
        <v>8</v>
      </c>
      <c r="F135" s="45">
        <v>2022.0</v>
      </c>
      <c r="G135" s="45" t="s">
        <v>124</v>
      </c>
      <c r="H135" s="45" t="s">
        <v>124</v>
      </c>
      <c r="I135" s="45" t="s">
        <v>124</v>
      </c>
      <c r="J135" s="45" t="s">
        <v>28</v>
      </c>
      <c r="K135" s="47" t="s">
        <v>124</v>
      </c>
      <c r="L135" s="47"/>
      <c r="M135" s="47" t="s">
        <v>124</v>
      </c>
      <c r="N135" s="45" t="s">
        <v>136</v>
      </c>
      <c r="O135" s="48" t="s">
        <v>77</v>
      </c>
      <c r="P135" s="49" t="s">
        <v>124</v>
      </c>
      <c r="Q135" s="45" t="s">
        <v>143</v>
      </c>
      <c r="R135" s="49" t="s">
        <v>633</v>
      </c>
      <c r="S135" s="49" t="s">
        <v>124</v>
      </c>
      <c r="T135" s="49" t="s">
        <v>124</v>
      </c>
      <c r="U135" s="49" t="s">
        <v>124</v>
      </c>
      <c r="V135" s="49" t="s">
        <v>124</v>
      </c>
      <c r="W135" s="49" t="s">
        <v>124</v>
      </c>
      <c r="X135" s="49" t="s">
        <v>124</v>
      </c>
      <c r="Y135" s="50" t="str">
        <f>IF(CCUS_Projects_Database!$R135&lt;&gt;"",HYPERLINK(CCUS_Projects_Database!$R135,"Link 1"),"")</f>
        <v>Link 1</v>
      </c>
      <c r="Z135" s="50" t="str">
        <f>IF(CCUS_Projects_Database!$S135&lt;&gt;"",HYPERLINK(CCUS_Projects_Database!$S135,"Link 2"),"")</f>
        <v/>
      </c>
      <c r="AA135" s="50" t="str">
        <f>IF(CCUS_Projects_Database!$T135&lt;&gt;"",HYPERLINK(CCUS_Projects_Database!$T135,"Link 3"),"")</f>
        <v/>
      </c>
      <c r="AB135" s="50" t="str">
        <f>IF(CCUS_Projects_Database!$U135&lt;&gt;"",HYPERLINK(CCUS_Projects_Database!$U135,"Link 4"),"")</f>
        <v/>
      </c>
      <c r="AC135" s="50" t="str">
        <f>IF(CCUS_Projects_Database!$V135&lt;&gt;"",HYPERLINK(CCUS_Projects_Database!$V135,"Link 5"),"")</f>
        <v/>
      </c>
      <c r="AD135" s="50" t="str">
        <f>IF(CCUS_Projects_Database!$W135&lt;&gt;"",HYPERLINK(CCUS_Projects_Database!$W135,"Link 6"),"")</f>
        <v/>
      </c>
      <c r="AE135" s="50" t="str">
        <f>IF(CCUS_Projects_Database!$X135&lt;&gt;"",HYPERLINK(CCUS_Projects_Database!$X135,"Link 7"),"")</f>
        <v/>
      </c>
    </row>
    <row r="136" ht="15.75" customHeight="1">
      <c r="A136" s="37" t="s">
        <v>634</v>
      </c>
      <c r="B136" s="38">
        <v>699.0</v>
      </c>
      <c r="C136" s="38" t="s">
        <v>141</v>
      </c>
      <c r="D136" s="39" t="s">
        <v>635</v>
      </c>
      <c r="E136" s="38" t="s">
        <v>8</v>
      </c>
      <c r="F136" s="38">
        <v>2019.0</v>
      </c>
      <c r="G136" s="38" t="s">
        <v>124</v>
      </c>
      <c r="H136" s="38" t="s">
        <v>124</v>
      </c>
      <c r="I136" s="38" t="s">
        <v>124</v>
      </c>
      <c r="J136" s="38" t="s">
        <v>28</v>
      </c>
      <c r="K136" s="40" t="s">
        <v>124</v>
      </c>
      <c r="L136" s="40"/>
      <c r="M136" s="40" t="s">
        <v>124</v>
      </c>
      <c r="N136" s="38" t="s">
        <v>46</v>
      </c>
      <c r="O136" s="41" t="s">
        <v>77</v>
      </c>
      <c r="P136" s="42" t="s">
        <v>124</v>
      </c>
      <c r="Q136" s="38" t="s">
        <v>143</v>
      </c>
      <c r="R136" s="42" t="s">
        <v>636</v>
      </c>
      <c r="S136" s="42" t="s">
        <v>637</v>
      </c>
      <c r="T136" s="42" t="s">
        <v>638</v>
      </c>
      <c r="U136" s="42" t="s">
        <v>124</v>
      </c>
      <c r="V136" s="42" t="s">
        <v>124</v>
      </c>
      <c r="W136" s="42" t="s">
        <v>124</v>
      </c>
      <c r="X136" s="42" t="s">
        <v>124</v>
      </c>
      <c r="Y136" s="43" t="str">
        <f>IF(CCUS_Projects_Database!$R136&lt;&gt;"",HYPERLINK(CCUS_Projects_Database!$R136,"Link 1"),"")</f>
        <v>Link 1</v>
      </c>
      <c r="Z136" s="43" t="str">
        <f>IF(CCUS_Projects_Database!$S136&lt;&gt;"",HYPERLINK(CCUS_Projects_Database!$S136,"Link 2"),"")</f>
        <v>Link 2</v>
      </c>
      <c r="AA136" s="43" t="str">
        <f>IF(CCUS_Projects_Database!$T136&lt;&gt;"",HYPERLINK(CCUS_Projects_Database!$T136,"Link 3"),"")</f>
        <v>Link 3</v>
      </c>
      <c r="AB136" s="43" t="str">
        <f>IF(CCUS_Projects_Database!$U136&lt;&gt;"",HYPERLINK(CCUS_Projects_Database!$U136,"Link 4"),"")</f>
        <v/>
      </c>
      <c r="AC136" s="43" t="str">
        <f>IF(CCUS_Projects_Database!$V136&lt;&gt;"",HYPERLINK(CCUS_Projects_Database!$V136,"Link 5"),"")</f>
        <v/>
      </c>
      <c r="AD136" s="43" t="str">
        <f>IF(CCUS_Projects_Database!$W136&lt;&gt;"",HYPERLINK(CCUS_Projects_Database!$W136,"Link 6"),"")</f>
        <v/>
      </c>
      <c r="AE136" s="43" t="str">
        <f>IF(CCUS_Projects_Database!$X136&lt;&gt;"",HYPERLINK(CCUS_Projects_Database!$X136,"Link 7"),"")</f>
        <v/>
      </c>
    </row>
    <row r="137" ht="15.75" customHeight="1">
      <c r="A137" s="44" t="s">
        <v>639</v>
      </c>
      <c r="B137" s="45">
        <v>539.0</v>
      </c>
      <c r="C137" s="45" t="s">
        <v>247</v>
      </c>
      <c r="D137" s="46" t="s">
        <v>640</v>
      </c>
      <c r="E137" s="45" t="s">
        <v>16</v>
      </c>
      <c r="F137" s="45">
        <v>2021.0</v>
      </c>
      <c r="G137" s="45" t="s">
        <v>124</v>
      </c>
      <c r="H137" s="45">
        <v>2026.0</v>
      </c>
      <c r="I137" s="45" t="s">
        <v>124</v>
      </c>
      <c r="J137" s="45" t="s">
        <v>28</v>
      </c>
      <c r="K137" s="47">
        <v>1.0</v>
      </c>
      <c r="L137" s="52">
        <v>0.11</v>
      </c>
      <c r="M137" s="47">
        <v>0.11</v>
      </c>
      <c r="N137" s="45" t="s">
        <v>56</v>
      </c>
      <c r="O137" s="48" t="s">
        <v>75</v>
      </c>
      <c r="P137" s="49" t="s">
        <v>124</v>
      </c>
      <c r="Q137" s="45" t="s">
        <v>125</v>
      </c>
      <c r="R137" s="49" t="s">
        <v>641</v>
      </c>
      <c r="S137" s="49" t="s">
        <v>642</v>
      </c>
      <c r="T137" s="49" t="s">
        <v>124</v>
      </c>
      <c r="U137" s="49" t="s">
        <v>124</v>
      </c>
      <c r="V137" s="49" t="s">
        <v>124</v>
      </c>
      <c r="W137" s="49" t="s">
        <v>124</v>
      </c>
      <c r="X137" s="49" t="s">
        <v>124</v>
      </c>
      <c r="Y137" s="50" t="str">
        <f>IF(CCUS_Projects_Database!$R137&lt;&gt;"",HYPERLINK(CCUS_Projects_Database!$R137,"Link 1"),"")</f>
        <v>Link 1</v>
      </c>
      <c r="Z137" s="50" t="str">
        <f>IF(CCUS_Projects_Database!$S137&lt;&gt;"",HYPERLINK(CCUS_Projects_Database!$S137,"Link 2"),"")</f>
        <v>Link 2</v>
      </c>
      <c r="AA137" s="50" t="str">
        <f>IF(CCUS_Projects_Database!$T137&lt;&gt;"",HYPERLINK(CCUS_Projects_Database!$T137,"Link 3"),"")</f>
        <v/>
      </c>
      <c r="AB137" s="50" t="str">
        <f>IF(CCUS_Projects_Database!$U137&lt;&gt;"",HYPERLINK(CCUS_Projects_Database!$U137,"Link 4"),"")</f>
        <v/>
      </c>
      <c r="AC137" s="50" t="str">
        <f>IF(CCUS_Projects_Database!$V137&lt;&gt;"",HYPERLINK(CCUS_Projects_Database!$V137,"Link 5"),"")</f>
        <v/>
      </c>
      <c r="AD137" s="50" t="str">
        <f>IF(CCUS_Projects_Database!$W137&lt;&gt;"",HYPERLINK(CCUS_Projects_Database!$W137,"Link 6"),"")</f>
        <v/>
      </c>
      <c r="AE137" s="50" t="str">
        <f>IF(CCUS_Projects_Database!$X137&lt;&gt;"",HYPERLINK(CCUS_Projects_Database!$X137,"Link 7"),"")</f>
        <v/>
      </c>
    </row>
    <row r="138" ht="15.75" customHeight="1">
      <c r="A138" s="37" t="s">
        <v>643</v>
      </c>
      <c r="B138" s="38">
        <v>540.0</v>
      </c>
      <c r="C138" s="38" t="s">
        <v>247</v>
      </c>
      <c r="D138" s="39" t="s">
        <v>644</v>
      </c>
      <c r="E138" s="38" t="s">
        <v>16</v>
      </c>
      <c r="F138" s="38">
        <v>2021.0</v>
      </c>
      <c r="G138" s="38" t="s">
        <v>124</v>
      </c>
      <c r="H138" s="38" t="s">
        <v>124</v>
      </c>
      <c r="I138" s="38" t="s">
        <v>124</v>
      </c>
      <c r="J138" s="38" t="s">
        <v>28</v>
      </c>
      <c r="K138" s="40">
        <v>2.0</v>
      </c>
      <c r="L138" s="51">
        <v>0.584</v>
      </c>
      <c r="M138" s="40">
        <v>0.584</v>
      </c>
      <c r="N138" s="38" t="s">
        <v>56</v>
      </c>
      <c r="O138" s="41" t="s">
        <v>75</v>
      </c>
      <c r="P138" s="42" t="s">
        <v>124</v>
      </c>
      <c r="Q138" s="38" t="s">
        <v>125</v>
      </c>
      <c r="R138" s="42" t="s">
        <v>641</v>
      </c>
      <c r="S138" s="42" t="s">
        <v>642</v>
      </c>
      <c r="T138" s="42" t="s">
        <v>124</v>
      </c>
      <c r="U138" s="42" t="s">
        <v>124</v>
      </c>
      <c r="V138" s="42" t="s">
        <v>124</v>
      </c>
      <c r="W138" s="42" t="s">
        <v>124</v>
      </c>
      <c r="X138" s="42" t="s">
        <v>124</v>
      </c>
      <c r="Y138" s="43" t="str">
        <f>IF(CCUS_Projects_Database!$R138&lt;&gt;"",HYPERLINK(CCUS_Projects_Database!$R138,"Link 1"),"")</f>
        <v>Link 1</v>
      </c>
      <c r="Z138" s="43" t="str">
        <f>IF(CCUS_Projects_Database!$S138&lt;&gt;"",HYPERLINK(CCUS_Projects_Database!$S138,"Link 2"),"")</f>
        <v>Link 2</v>
      </c>
      <c r="AA138" s="43" t="str">
        <f>IF(CCUS_Projects_Database!$T138&lt;&gt;"",HYPERLINK(CCUS_Projects_Database!$T138,"Link 3"),"")</f>
        <v/>
      </c>
      <c r="AB138" s="43" t="str">
        <f>IF(CCUS_Projects_Database!$U138&lt;&gt;"",HYPERLINK(CCUS_Projects_Database!$U138,"Link 4"),"")</f>
        <v/>
      </c>
      <c r="AC138" s="43" t="str">
        <f>IF(CCUS_Projects_Database!$V138&lt;&gt;"",HYPERLINK(CCUS_Projects_Database!$V138,"Link 5"),"")</f>
        <v/>
      </c>
      <c r="AD138" s="43" t="str">
        <f>IF(CCUS_Projects_Database!$W138&lt;&gt;"",HYPERLINK(CCUS_Projects_Database!$W138,"Link 6"),"")</f>
        <v/>
      </c>
      <c r="AE138" s="43" t="str">
        <f>IF(CCUS_Projects_Database!$X138&lt;&gt;"",HYPERLINK(CCUS_Projects_Database!$X138,"Link 7"),"")</f>
        <v/>
      </c>
    </row>
    <row r="139" ht="15.75" customHeight="1">
      <c r="A139" s="44" t="s">
        <v>645</v>
      </c>
      <c r="B139" s="45">
        <v>836.0</v>
      </c>
      <c r="C139" s="45" t="s">
        <v>141</v>
      </c>
      <c r="D139" s="46" t="s">
        <v>646</v>
      </c>
      <c r="E139" s="45" t="s">
        <v>6</v>
      </c>
      <c r="F139" s="45">
        <v>2023.0</v>
      </c>
      <c r="G139" s="45">
        <v>2024.0</v>
      </c>
      <c r="H139" s="45">
        <v>2027.0</v>
      </c>
      <c r="I139" s="45" t="s">
        <v>124</v>
      </c>
      <c r="J139" s="45" t="s">
        <v>28</v>
      </c>
      <c r="K139" s="47" t="s">
        <v>124</v>
      </c>
      <c r="L139" s="47"/>
      <c r="M139" s="47" t="s">
        <v>124</v>
      </c>
      <c r="N139" s="45" t="s">
        <v>136</v>
      </c>
      <c r="O139" s="48" t="s">
        <v>77</v>
      </c>
      <c r="P139" s="49" t="s">
        <v>124</v>
      </c>
      <c r="Q139" s="45" t="s">
        <v>143</v>
      </c>
      <c r="R139" s="49" t="s">
        <v>647</v>
      </c>
      <c r="S139" s="49" t="s">
        <v>648</v>
      </c>
      <c r="T139" s="49" t="s">
        <v>124</v>
      </c>
      <c r="U139" s="49" t="s">
        <v>124</v>
      </c>
      <c r="V139" s="49" t="s">
        <v>124</v>
      </c>
      <c r="W139" s="49" t="s">
        <v>124</v>
      </c>
      <c r="X139" s="49" t="s">
        <v>124</v>
      </c>
      <c r="Y139" s="50" t="str">
        <f>IF(CCUS_Projects_Database!$R139&lt;&gt;"",HYPERLINK(CCUS_Projects_Database!$R139,"Link 1"),"")</f>
        <v>Link 1</v>
      </c>
      <c r="Z139" s="50" t="str">
        <f>IF(CCUS_Projects_Database!$S139&lt;&gt;"",HYPERLINK(CCUS_Projects_Database!$S139,"Link 2"),"")</f>
        <v>Link 2</v>
      </c>
      <c r="AA139" s="50" t="str">
        <f>IF(CCUS_Projects_Database!$T139&lt;&gt;"",HYPERLINK(CCUS_Projects_Database!$T139,"Link 3"),"")</f>
        <v/>
      </c>
      <c r="AB139" s="50" t="str">
        <f>IF(CCUS_Projects_Database!$U139&lt;&gt;"",HYPERLINK(CCUS_Projects_Database!$U139,"Link 4"),"")</f>
        <v/>
      </c>
      <c r="AC139" s="50" t="str">
        <f>IF(CCUS_Projects_Database!$V139&lt;&gt;"",HYPERLINK(CCUS_Projects_Database!$V139,"Link 5"),"")</f>
        <v/>
      </c>
      <c r="AD139" s="50" t="str">
        <f>IF(CCUS_Projects_Database!$W139&lt;&gt;"",HYPERLINK(CCUS_Projects_Database!$W139,"Link 6"),"")</f>
        <v/>
      </c>
      <c r="AE139" s="50" t="str">
        <f>IF(CCUS_Projects_Database!$X139&lt;&gt;"",HYPERLINK(CCUS_Projects_Database!$X139,"Link 7"),"")</f>
        <v/>
      </c>
    </row>
    <row r="140" ht="15.75" customHeight="1">
      <c r="A140" s="37" t="s">
        <v>649</v>
      </c>
      <c r="B140" s="38">
        <v>714.0</v>
      </c>
      <c r="C140" s="38" t="s">
        <v>141</v>
      </c>
      <c r="D140" s="39" t="s">
        <v>650</v>
      </c>
      <c r="E140" s="38" t="s">
        <v>12</v>
      </c>
      <c r="F140" s="38">
        <v>2023.0</v>
      </c>
      <c r="G140" s="38" t="s">
        <v>124</v>
      </c>
      <c r="H140" s="38" t="s">
        <v>124</v>
      </c>
      <c r="I140" s="38" t="s">
        <v>124</v>
      </c>
      <c r="J140" s="38" t="s">
        <v>28</v>
      </c>
      <c r="K140" s="40" t="s">
        <v>124</v>
      </c>
      <c r="L140" s="40"/>
      <c r="M140" s="40">
        <v>2.1</v>
      </c>
      <c r="N140" s="38" t="s">
        <v>12</v>
      </c>
      <c r="O140" s="41" t="s">
        <v>71</v>
      </c>
      <c r="P140" s="42" t="s">
        <v>649</v>
      </c>
      <c r="Q140" s="38" t="s">
        <v>143</v>
      </c>
      <c r="R140" s="42" t="s">
        <v>613</v>
      </c>
      <c r="S140" s="42" t="s">
        <v>615</v>
      </c>
      <c r="T140" s="42" t="s">
        <v>124</v>
      </c>
      <c r="U140" s="42" t="s">
        <v>124</v>
      </c>
      <c r="V140" s="42" t="s">
        <v>124</v>
      </c>
      <c r="W140" s="42" t="s">
        <v>124</v>
      </c>
      <c r="X140" s="42" t="s">
        <v>124</v>
      </c>
      <c r="Y140" s="43" t="str">
        <f>IF(CCUS_Projects_Database!$R140&lt;&gt;"",HYPERLINK(CCUS_Projects_Database!$R140,"Link 1"),"")</f>
        <v>Link 1</v>
      </c>
      <c r="Z140" s="43" t="str">
        <f>IF(CCUS_Projects_Database!$S140&lt;&gt;"",HYPERLINK(CCUS_Projects_Database!$S140,"Link 2"),"")</f>
        <v>Link 2</v>
      </c>
      <c r="AA140" s="43" t="str">
        <f>IF(CCUS_Projects_Database!$T140&lt;&gt;"",HYPERLINK(CCUS_Projects_Database!$T140,"Link 3"),"")</f>
        <v/>
      </c>
      <c r="AB140" s="43" t="str">
        <f>IF(CCUS_Projects_Database!$U140&lt;&gt;"",HYPERLINK(CCUS_Projects_Database!$U140,"Link 4"),"")</f>
        <v/>
      </c>
      <c r="AC140" s="43" t="str">
        <f>IF(CCUS_Projects_Database!$V140&lt;&gt;"",HYPERLINK(CCUS_Projects_Database!$V140,"Link 5"),"")</f>
        <v/>
      </c>
      <c r="AD140" s="43" t="str">
        <f>IF(CCUS_Projects_Database!$W140&lt;&gt;"",HYPERLINK(CCUS_Projects_Database!$W140,"Link 6"),"")</f>
        <v/>
      </c>
      <c r="AE140" s="43" t="str">
        <f>IF(CCUS_Projects_Database!$X140&lt;&gt;"",HYPERLINK(CCUS_Projects_Database!$X140,"Link 7"),"")</f>
        <v/>
      </c>
    </row>
    <row r="141" ht="15.75" customHeight="1">
      <c r="A141" s="44" t="s">
        <v>651</v>
      </c>
      <c r="B141" s="45">
        <v>599.0</v>
      </c>
      <c r="C141" s="45" t="s">
        <v>141</v>
      </c>
      <c r="D141" s="46" t="s">
        <v>652</v>
      </c>
      <c r="E141" s="45" t="s">
        <v>8</v>
      </c>
      <c r="F141" s="45">
        <v>2022.0</v>
      </c>
      <c r="G141" s="45">
        <v>2024.0</v>
      </c>
      <c r="H141" s="45">
        <v>2025.0</v>
      </c>
      <c r="I141" s="45" t="s">
        <v>124</v>
      </c>
      <c r="J141" s="45" t="s">
        <v>28</v>
      </c>
      <c r="K141" s="47" t="s">
        <v>124</v>
      </c>
      <c r="L141" s="52">
        <v>0.1</v>
      </c>
      <c r="M141" s="47">
        <v>0.1</v>
      </c>
      <c r="N141" s="45" t="s">
        <v>136</v>
      </c>
      <c r="O141" s="48" t="s">
        <v>73</v>
      </c>
      <c r="P141" s="49" t="s">
        <v>582</v>
      </c>
      <c r="Q141" s="45" t="s">
        <v>143</v>
      </c>
      <c r="R141" s="49" t="s">
        <v>653</v>
      </c>
      <c r="S141" s="49" t="s">
        <v>124</v>
      </c>
      <c r="T141" s="49" t="s">
        <v>124</v>
      </c>
      <c r="U141" s="49" t="s">
        <v>124</v>
      </c>
      <c r="V141" s="49" t="s">
        <v>124</v>
      </c>
      <c r="W141" s="49" t="s">
        <v>124</v>
      </c>
      <c r="X141" s="49" t="s">
        <v>124</v>
      </c>
      <c r="Y141" s="50" t="str">
        <f>IF(CCUS_Projects_Database!$R141&lt;&gt;"",HYPERLINK(CCUS_Projects_Database!$R141,"Link 1"),"")</f>
        <v>Link 1</v>
      </c>
      <c r="Z141" s="50" t="str">
        <f>IF(CCUS_Projects_Database!$S141&lt;&gt;"",HYPERLINK(CCUS_Projects_Database!$S141,"Link 2"),"")</f>
        <v/>
      </c>
      <c r="AA141" s="50" t="str">
        <f>IF(CCUS_Projects_Database!$T141&lt;&gt;"",HYPERLINK(CCUS_Projects_Database!$T141,"Link 3"),"")</f>
        <v/>
      </c>
      <c r="AB141" s="50" t="str">
        <f>IF(CCUS_Projects_Database!$U141&lt;&gt;"",HYPERLINK(CCUS_Projects_Database!$U141,"Link 4"),"")</f>
        <v/>
      </c>
      <c r="AC141" s="50" t="str">
        <f>IF(CCUS_Projects_Database!$V141&lt;&gt;"",HYPERLINK(CCUS_Projects_Database!$V141,"Link 5"),"")</f>
        <v/>
      </c>
      <c r="AD141" s="50" t="str">
        <f>IF(CCUS_Projects_Database!$W141&lt;&gt;"",HYPERLINK(CCUS_Projects_Database!$W141,"Link 6"),"")</f>
        <v/>
      </c>
      <c r="AE141" s="50" t="str">
        <f>IF(CCUS_Projects_Database!$X141&lt;&gt;"",HYPERLINK(CCUS_Projects_Database!$X141,"Link 7"),"")</f>
        <v/>
      </c>
    </row>
    <row r="142" ht="15.75" customHeight="1">
      <c r="A142" s="37" t="s">
        <v>654</v>
      </c>
      <c r="B142" s="38">
        <v>892.0</v>
      </c>
      <c r="C142" s="38" t="s">
        <v>141</v>
      </c>
      <c r="D142" s="39" t="s">
        <v>655</v>
      </c>
      <c r="E142" s="38" t="s">
        <v>12</v>
      </c>
      <c r="F142" s="38">
        <v>2022.0</v>
      </c>
      <c r="G142" s="38">
        <v>2025.0</v>
      </c>
      <c r="H142" s="38" t="s">
        <v>124</v>
      </c>
      <c r="I142" s="38" t="s">
        <v>124</v>
      </c>
      <c r="J142" s="38" t="s">
        <v>28</v>
      </c>
      <c r="K142" s="40" t="s">
        <v>124</v>
      </c>
      <c r="L142" s="40"/>
      <c r="M142" s="40" t="s">
        <v>124</v>
      </c>
      <c r="N142" s="38" t="s">
        <v>12</v>
      </c>
      <c r="O142" s="41" t="s">
        <v>71</v>
      </c>
      <c r="P142" s="42" t="s">
        <v>656</v>
      </c>
      <c r="Q142" s="38" t="s">
        <v>143</v>
      </c>
      <c r="R142" s="42" t="s">
        <v>657</v>
      </c>
      <c r="S142" s="42" t="s">
        <v>124</v>
      </c>
      <c r="T142" s="42" t="s">
        <v>124</v>
      </c>
      <c r="U142" s="42" t="s">
        <v>124</v>
      </c>
      <c r="V142" s="42" t="s">
        <v>124</v>
      </c>
      <c r="W142" s="42" t="s">
        <v>124</v>
      </c>
      <c r="X142" s="42" t="s">
        <v>124</v>
      </c>
      <c r="Y142" s="43" t="str">
        <f>IF(CCUS_Projects_Database!$R142&lt;&gt;"",HYPERLINK(CCUS_Projects_Database!$R142,"Link 1"),"")</f>
        <v>Link 1</v>
      </c>
      <c r="Z142" s="43" t="str">
        <f>IF(CCUS_Projects_Database!$S142&lt;&gt;"",HYPERLINK(CCUS_Projects_Database!$S142,"Link 2"),"")</f>
        <v/>
      </c>
      <c r="AA142" s="43" t="str">
        <f>IF(CCUS_Projects_Database!$T142&lt;&gt;"",HYPERLINK(CCUS_Projects_Database!$T142,"Link 3"),"")</f>
        <v/>
      </c>
      <c r="AB142" s="43" t="str">
        <f>IF(CCUS_Projects_Database!$U142&lt;&gt;"",HYPERLINK(CCUS_Projects_Database!$U142,"Link 4"),"")</f>
        <v/>
      </c>
      <c r="AC142" s="43" t="str">
        <f>IF(CCUS_Projects_Database!$V142&lt;&gt;"",HYPERLINK(CCUS_Projects_Database!$V142,"Link 5"),"")</f>
        <v/>
      </c>
      <c r="AD142" s="43" t="str">
        <f>IF(CCUS_Projects_Database!$W142&lt;&gt;"",HYPERLINK(CCUS_Projects_Database!$W142,"Link 6"),"")</f>
        <v/>
      </c>
      <c r="AE142" s="43" t="str">
        <f>IF(CCUS_Projects_Database!$X142&lt;&gt;"",HYPERLINK(CCUS_Projects_Database!$X142,"Link 7"),"")</f>
        <v/>
      </c>
    </row>
    <row r="143" ht="15.75" customHeight="1">
      <c r="A143" s="44" t="s">
        <v>658</v>
      </c>
      <c r="B143" s="45">
        <v>893.0</v>
      </c>
      <c r="C143" s="45" t="s">
        <v>141</v>
      </c>
      <c r="D143" s="46" t="s">
        <v>659</v>
      </c>
      <c r="E143" s="45" t="s">
        <v>12</v>
      </c>
      <c r="F143" s="45">
        <v>2022.0</v>
      </c>
      <c r="G143" s="45">
        <v>2025.0</v>
      </c>
      <c r="H143" s="45" t="s">
        <v>124</v>
      </c>
      <c r="I143" s="45" t="s">
        <v>124</v>
      </c>
      <c r="J143" s="45" t="s">
        <v>28</v>
      </c>
      <c r="K143" s="47" t="s">
        <v>124</v>
      </c>
      <c r="L143" s="52">
        <v>0.37</v>
      </c>
      <c r="M143" s="47">
        <v>0.37</v>
      </c>
      <c r="N143" s="45" t="s">
        <v>12</v>
      </c>
      <c r="O143" s="48" t="s">
        <v>71</v>
      </c>
      <c r="P143" s="49" t="s">
        <v>660</v>
      </c>
      <c r="Q143" s="45" t="s">
        <v>143</v>
      </c>
      <c r="R143" s="49" t="s">
        <v>657</v>
      </c>
      <c r="S143" s="49" t="s">
        <v>124</v>
      </c>
      <c r="T143" s="49" t="s">
        <v>124</v>
      </c>
      <c r="U143" s="49" t="s">
        <v>124</v>
      </c>
      <c r="V143" s="49" t="s">
        <v>124</v>
      </c>
      <c r="W143" s="49" t="s">
        <v>124</v>
      </c>
      <c r="X143" s="49" t="s">
        <v>124</v>
      </c>
      <c r="Y143" s="50" t="str">
        <f>IF(CCUS_Projects_Database!$R143&lt;&gt;"",HYPERLINK(CCUS_Projects_Database!$R143,"Link 1"),"")</f>
        <v>Link 1</v>
      </c>
      <c r="Z143" s="50" t="str">
        <f>IF(CCUS_Projects_Database!$S143&lt;&gt;"",HYPERLINK(CCUS_Projects_Database!$S143,"Link 2"),"")</f>
        <v/>
      </c>
      <c r="AA143" s="50" t="str">
        <f>IF(CCUS_Projects_Database!$T143&lt;&gt;"",HYPERLINK(CCUS_Projects_Database!$T143,"Link 3"),"")</f>
        <v/>
      </c>
      <c r="AB143" s="50" t="str">
        <f>IF(CCUS_Projects_Database!$U143&lt;&gt;"",HYPERLINK(CCUS_Projects_Database!$U143,"Link 4"),"")</f>
        <v/>
      </c>
      <c r="AC143" s="50" t="str">
        <f>IF(CCUS_Projects_Database!$V143&lt;&gt;"",HYPERLINK(CCUS_Projects_Database!$V143,"Link 5"),"")</f>
        <v/>
      </c>
      <c r="AD143" s="50" t="str">
        <f>IF(CCUS_Projects_Database!$W143&lt;&gt;"",HYPERLINK(CCUS_Projects_Database!$W143,"Link 6"),"")</f>
        <v/>
      </c>
      <c r="AE143" s="50" t="str">
        <f>IF(CCUS_Projects_Database!$X143&lt;&gt;"",HYPERLINK(CCUS_Projects_Database!$X143,"Link 7"),"")</f>
        <v/>
      </c>
    </row>
    <row r="144" ht="15.75" customHeight="1">
      <c r="A144" s="37" t="s">
        <v>661</v>
      </c>
      <c r="B144" s="38">
        <v>894.0</v>
      </c>
      <c r="C144" s="38" t="s">
        <v>141</v>
      </c>
      <c r="D144" s="39" t="s">
        <v>655</v>
      </c>
      <c r="E144" s="38" t="s">
        <v>12</v>
      </c>
      <c r="F144" s="38">
        <v>2023.0</v>
      </c>
      <c r="G144" s="38">
        <v>2025.0</v>
      </c>
      <c r="H144" s="38" t="s">
        <v>124</v>
      </c>
      <c r="I144" s="38" t="s">
        <v>124</v>
      </c>
      <c r="J144" s="38" t="s">
        <v>28</v>
      </c>
      <c r="K144" s="40" t="s">
        <v>124</v>
      </c>
      <c r="L144" s="51">
        <v>0.04</v>
      </c>
      <c r="M144" s="40">
        <v>0.04</v>
      </c>
      <c r="N144" s="38" t="s">
        <v>12</v>
      </c>
      <c r="O144" s="41" t="s">
        <v>71</v>
      </c>
      <c r="P144" s="42" t="s">
        <v>662</v>
      </c>
      <c r="Q144" s="38" t="s">
        <v>143</v>
      </c>
      <c r="R144" s="42" t="s">
        <v>657</v>
      </c>
      <c r="S144" s="42" t="s">
        <v>663</v>
      </c>
      <c r="T144" s="42" t="s">
        <v>124</v>
      </c>
      <c r="U144" s="42" t="s">
        <v>124</v>
      </c>
      <c r="V144" s="42" t="s">
        <v>124</v>
      </c>
      <c r="W144" s="42" t="s">
        <v>124</v>
      </c>
      <c r="X144" s="42" t="s">
        <v>124</v>
      </c>
      <c r="Y144" s="43" t="str">
        <f>IF(CCUS_Projects_Database!$R144&lt;&gt;"",HYPERLINK(CCUS_Projects_Database!$R144,"Link 1"),"")</f>
        <v>Link 1</v>
      </c>
      <c r="Z144" s="43" t="str">
        <f>IF(CCUS_Projects_Database!$S144&lt;&gt;"",HYPERLINK(CCUS_Projects_Database!$S144,"Link 2"),"")</f>
        <v>Link 2</v>
      </c>
      <c r="AA144" s="43" t="str">
        <f>IF(CCUS_Projects_Database!$T144&lt;&gt;"",HYPERLINK(CCUS_Projects_Database!$T144,"Link 3"),"")</f>
        <v/>
      </c>
      <c r="AB144" s="43" t="str">
        <f>IF(CCUS_Projects_Database!$U144&lt;&gt;"",HYPERLINK(CCUS_Projects_Database!$U144,"Link 4"),"")</f>
        <v/>
      </c>
      <c r="AC144" s="43" t="str">
        <f>IF(CCUS_Projects_Database!$V144&lt;&gt;"",HYPERLINK(CCUS_Projects_Database!$V144,"Link 5"),"")</f>
        <v/>
      </c>
      <c r="AD144" s="43" t="str">
        <f>IF(CCUS_Projects_Database!$W144&lt;&gt;"",HYPERLINK(CCUS_Projects_Database!$W144,"Link 6"),"")</f>
        <v/>
      </c>
      <c r="AE144" s="43" t="str">
        <f>IF(CCUS_Projects_Database!$X144&lt;&gt;"",HYPERLINK(CCUS_Projects_Database!$X144,"Link 7"),"")</f>
        <v/>
      </c>
    </row>
    <row r="145" ht="15.75" customHeight="1">
      <c r="A145" s="44" t="s">
        <v>664</v>
      </c>
      <c r="B145" s="45">
        <v>895.0</v>
      </c>
      <c r="C145" s="45" t="s">
        <v>141</v>
      </c>
      <c r="D145" s="46" t="s">
        <v>655</v>
      </c>
      <c r="E145" s="45" t="s">
        <v>12</v>
      </c>
      <c r="F145" s="45">
        <v>2023.0</v>
      </c>
      <c r="G145" s="45">
        <v>2025.0</v>
      </c>
      <c r="H145" s="45" t="s">
        <v>124</v>
      </c>
      <c r="I145" s="45" t="s">
        <v>124</v>
      </c>
      <c r="J145" s="45" t="s">
        <v>28</v>
      </c>
      <c r="K145" s="47" t="s">
        <v>124</v>
      </c>
      <c r="L145" s="52">
        <v>1.0</v>
      </c>
      <c r="M145" s="47">
        <v>1.0</v>
      </c>
      <c r="N145" s="45" t="s">
        <v>12</v>
      </c>
      <c r="O145" s="48" t="s">
        <v>71</v>
      </c>
      <c r="P145" s="49" t="s">
        <v>665</v>
      </c>
      <c r="Q145" s="45" t="s">
        <v>143</v>
      </c>
      <c r="R145" s="49" t="s">
        <v>657</v>
      </c>
      <c r="S145" s="49" t="s">
        <v>124</v>
      </c>
      <c r="T145" s="49" t="s">
        <v>124</v>
      </c>
      <c r="U145" s="49" t="s">
        <v>124</v>
      </c>
      <c r="V145" s="49" t="s">
        <v>124</v>
      </c>
      <c r="W145" s="49" t="s">
        <v>124</v>
      </c>
      <c r="X145" s="49" t="s">
        <v>124</v>
      </c>
      <c r="Y145" s="50" t="str">
        <f>IF(CCUS_Projects_Database!$R145&lt;&gt;"",HYPERLINK(CCUS_Projects_Database!$R145,"Link 1"),"")</f>
        <v>Link 1</v>
      </c>
      <c r="Z145" s="50" t="str">
        <f>IF(CCUS_Projects_Database!$S145&lt;&gt;"",HYPERLINK(CCUS_Projects_Database!$S145,"Link 2"),"")</f>
        <v/>
      </c>
      <c r="AA145" s="50" t="str">
        <f>IF(CCUS_Projects_Database!$T145&lt;&gt;"",HYPERLINK(CCUS_Projects_Database!$T145,"Link 3"),"")</f>
        <v/>
      </c>
      <c r="AB145" s="50" t="str">
        <f>IF(CCUS_Projects_Database!$U145&lt;&gt;"",HYPERLINK(CCUS_Projects_Database!$U145,"Link 4"),"")</f>
        <v/>
      </c>
      <c r="AC145" s="50" t="str">
        <f>IF(CCUS_Projects_Database!$V145&lt;&gt;"",HYPERLINK(CCUS_Projects_Database!$V145,"Link 5"),"")</f>
        <v/>
      </c>
      <c r="AD145" s="50" t="str">
        <f>IF(CCUS_Projects_Database!$W145&lt;&gt;"",HYPERLINK(CCUS_Projects_Database!$W145,"Link 6"),"")</f>
        <v/>
      </c>
      <c r="AE145" s="50" t="str">
        <f>IF(CCUS_Projects_Database!$X145&lt;&gt;"",HYPERLINK(CCUS_Projects_Database!$X145,"Link 7"),"")</f>
        <v/>
      </c>
    </row>
    <row r="146" ht="15.75" customHeight="1">
      <c r="A146" s="37" t="s">
        <v>666</v>
      </c>
      <c r="B146" s="38">
        <v>903.0</v>
      </c>
      <c r="C146" s="38" t="s">
        <v>141</v>
      </c>
      <c r="D146" s="39" t="s">
        <v>667</v>
      </c>
      <c r="E146" s="38" t="s">
        <v>8</v>
      </c>
      <c r="F146" s="38">
        <v>2023.0</v>
      </c>
      <c r="G146" s="38">
        <v>2024.0</v>
      </c>
      <c r="H146" s="38" t="s">
        <v>124</v>
      </c>
      <c r="I146" s="38" t="s">
        <v>124</v>
      </c>
      <c r="J146" s="38" t="s">
        <v>28</v>
      </c>
      <c r="K146" s="40" t="s">
        <v>124</v>
      </c>
      <c r="L146" s="51">
        <v>0.1</v>
      </c>
      <c r="M146" s="40">
        <v>0.1</v>
      </c>
      <c r="N146" s="38" t="s">
        <v>60</v>
      </c>
      <c r="O146" s="41" t="s">
        <v>71</v>
      </c>
      <c r="P146" s="42" t="s">
        <v>582</v>
      </c>
      <c r="Q146" s="38" t="s">
        <v>143</v>
      </c>
      <c r="R146" s="42" t="s">
        <v>668</v>
      </c>
      <c r="S146" s="42" t="s">
        <v>124</v>
      </c>
      <c r="T146" s="42" t="s">
        <v>124</v>
      </c>
      <c r="U146" s="42" t="s">
        <v>124</v>
      </c>
      <c r="V146" s="42" t="s">
        <v>124</v>
      </c>
      <c r="W146" s="42" t="s">
        <v>124</v>
      </c>
      <c r="X146" s="42" t="s">
        <v>124</v>
      </c>
      <c r="Y146" s="43" t="str">
        <f>IF(CCUS_Projects_Database!$R146&lt;&gt;"",HYPERLINK(CCUS_Projects_Database!$R146,"Link 1"),"")</f>
        <v>Link 1</v>
      </c>
      <c r="Z146" s="43" t="str">
        <f>IF(CCUS_Projects_Database!$S146&lt;&gt;"",HYPERLINK(CCUS_Projects_Database!$S146,"Link 2"),"")</f>
        <v/>
      </c>
      <c r="AA146" s="43" t="str">
        <f>IF(CCUS_Projects_Database!$T146&lt;&gt;"",HYPERLINK(CCUS_Projects_Database!$T146,"Link 3"),"")</f>
        <v/>
      </c>
      <c r="AB146" s="43" t="str">
        <f>IF(CCUS_Projects_Database!$U146&lt;&gt;"",HYPERLINK(CCUS_Projects_Database!$U146,"Link 4"),"")</f>
        <v/>
      </c>
      <c r="AC146" s="43" t="str">
        <f>IF(CCUS_Projects_Database!$V146&lt;&gt;"",HYPERLINK(CCUS_Projects_Database!$V146,"Link 5"),"")</f>
        <v/>
      </c>
      <c r="AD146" s="43" t="str">
        <f>IF(CCUS_Projects_Database!$W146&lt;&gt;"",HYPERLINK(CCUS_Projects_Database!$W146,"Link 6"),"")</f>
        <v/>
      </c>
      <c r="AE146" s="43" t="str">
        <f>IF(CCUS_Projects_Database!$X146&lt;&gt;"",HYPERLINK(CCUS_Projects_Database!$X146,"Link 7"),"")</f>
        <v/>
      </c>
    </row>
    <row r="147" ht="15.75" customHeight="1">
      <c r="A147" s="44" t="s">
        <v>669</v>
      </c>
      <c r="B147" s="45">
        <v>902.0</v>
      </c>
      <c r="C147" s="45" t="s">
        <v>141</v>
      </c>
      <c r="D147" s="46" t="s">
        <v>670</v>
      </c>
      <c r="E147" s="45" t="s">
        <v>8</v>
      </c>
      <c r="F147" s="45">
        <v>2023.0</v>
      </c>
      <c r="G147" s="45">
        <v>2025.0</v>
      </c>
      <c r="H147" s="45" t="s">
        <v>124</v>
      </c>
      <c r="I147" s="45" t="s">
        <v>124</v>
      </c>
      <c r="J147" s="45" t="s">
        <v>28</v>
      </c>
      <c r="K147" s="47" t="s">
        <v>124</v>
      </c>
      <c r="L147" s="52">
        <v>0.1</v>
      </c>
      <c r="M147" s="47">
        <v>0.1</v>
      </c>
      <c r="N147" s="45" t="s">
        <v>50</v>
      </c>
      <c r="O147" s="48" t="s">
        <v>71</v>
      </c>
      <c r="P147" s="49" t="s">
        <v>582</v>
      </c>
      <c r="Q147" s="45" t="s">
        <v>143</v>
      </c>
      <c r="R147" s="49" t="s">
        <v>668</v>
      </c>
      <c r="S147" s="49" t="s">
        <v>124</v>
      </c>
      <c r="T147" s="49" t="s">
        <v>124</v>
      </c>
      <c r="U147" s="49" t="s">
        <v>124</v>
      </c>
      <c r="V147" s="49" t="s">
        <v>124</v>
      </c>
      <c r="W147" s="49" t="s">
        <v>124</v>
      </c>
      <c r="X147" s="49" t="s">
        <v>124</v>
      </c>
      <c r="Y147" s="50" t="str">
        <f>IF(CCUS_Projects_Database!$R147&lt;&gt;"",HYPERLINK(CCUS_Projects_Database!$R147,"Link 1"),"")</f>
        <v>Link 1</v>
      </c>
      <c r="Z147" s="50" t="str">
        <f>IF(CCUS_Projects_Database!$S147&lt;&gt;"",HYPERLINK(CCUS_Projects_Database!$S147,"Link 2"),"")</f>
        <v/>
      </c>
      <c r="AA147" s="50" t="str">
        <f>IF(CCUS_Projects_Database!$T147&lt;&gt;"",HYPERLINK(CCUS_Projects_Database!$T147,"Link 3"),"")</f>
        <v/>
      </c>
      <c r="AB147" s="50" t="str">
        <f>IF(CCUS_Projects_Database!$U147&lt;&gt;"",HYPERLINK(CCUS_Projects_Database!$U147,"Link 4"),"")</f>
        <v/>
      </c>
      <c r="AC147" s="50" t="str">
        <f>IF(CCUS_Projects_Database!$V147&lt;&gt;"",HYPERLINK(CCUS_Projects_Database!$V147,"Link 5"),"")</f>
        <v/>
      </c>
      <c r="AD147" s="50" t="str">
        <f>IF(CCUS_Projects_Database!$W147&lt;&gt;"",HYPERLINK(CCUS_Projects_Database!$W147,"Link 6"),"")</f>
        <v/>
      </c>
      <c r="AE147" s="50" t="str">
        <f>IF(CCUS_Projects_Database!$X147&lt;&gt;"",HYPERLINK(CCUS_Projects_Database!$X147,"Link 7"),"")</f>
        <v/>
      </c>
    </row>
    <row r="148" ht="15.75" customHeight="1">
      <c r="A148" s="37" t="s">
        <v>671</v>
      </c>
      <c r="B148" s="38">
        <v>207.0</v>
      </c>
      <c r="C148" s="38" t="s">
        <v>247</v>
      </c>
      <c r="D148" s="39" t="s">
        <v>672</v>
      </c>
      <c r="E148" s="38" t="s">
        <v>16</v>
      </c>
      <c r="F148" s="38">
        <v>2020.0</v>
      </c>
      <c r="G148" s="38" t="s">
        <v>124</v>
      </c>
      <c r="H148" s="38">
        <v>2027.0</v>
      </c>
      <c r="I148" s="38" t="s">
        <v>124</v>
      </c>
      <c r="J148" s="38" t="s">
        <v>28</v>
      </c>
      <c r="K148" s="40" t="s">
        <v>124</v>
      </c>
      <c r="L148" s="51">
        <v>1.0</v>
      </c>
      <c r="M148" s="40">
        <v>1.0</v>
      </c>
      <c r="N148" s="38" t="s">
        <v>56</v>
      </c>
      <c r="O148" s="41" t="s">
        <v>75</v>
      </c>
      <c r="P148" s="42" t="s">
        <v>124</v>
      </c>
      <c r="Q148" s="38" t="s">
        <v>125</v>
      </c>
      <c r="R148" s="42" t="s">
        <v>673</v>
      </c>
      <c r="S148" s="42" t="s">
        <v>674</v>
      </c>
      <c r="T148" s="42" t="s">
        <v>675</v>
      </c>
      <c r="U148" s="42" t="s">
        <v>675</v>
      </c>
      <c r="V148" s="42" t="s">
        <v>124</v>
      </c>
      <c r="W148" s="42" t="s">
        <v>124</v>
      </c>
      <c r="X148" s="42" t="s">
        <v>124</v>
      </c>
      <c r="Y148" s="43" t="str">
        <f>IF(CCUS_Projects_Database!$R148&lt;&gt;"",HYPERLINK(CCUS_Projects_Database!$R148,"Link 1"),"")</f>
        <v>Link 1</v>
      </c>
      <c r="Z148" s="43" t="str">
        <f>IF(CCUS_Projects_Database!$S148&lt;&gt;"",HYPERLINK(CCUS_Projects_Database!$S148,"Link 2"),"")</f>
        <v>Link 2</v>
      </c>
      <c r="AA148" s="43" t="str">
        <f>IF(CCUS_Projects_Database!$T148&lt;&gt;"",HYPERLINK(CCUS_Projects_Database!$T148,"Link 3"),"")</f>
        <v>Link 3</v>
      </c>
      <c r="AB148" s="43" t="str">
        <f>IF(CCUS_Projects_Database!$U148&lt;&gt;"",HYPERLINK(CCUS_Projects_Database!$U148,"Link 4"),"")</f>
        <v>Link 4</v>
      </c>
      <c r="AC148" s="43" t="str">
        <f>IF(CCUS_Projects_Database!$V148&lt;&gt;"",HYPERLINK(CCUS_Projects_Database!$V148,"Link 5"),"")</f>
        <v/>
      </c>
      <c r="AD148" s="43" t="str">
        <f>IF(CCUS_Projects_Database!$W148&lt;&gt;"",HYPERLINK(CCUS_Projects_Database!$W148,"Link 6"),"")</f>
        <v/>
      </c>
      <c r="AE148" s="43" t="str">
        <f>IF(CCUS_Projects_Database!$X148&lt;&gt;"",HYPERLINK(CCUS_Projects_Database!$X148,"Link 7"),"")</f>
        <v/>
      </c>
    </row>
    <row r="149" ht="15.75" customHeight="1">
      <c r="A149" s="44" t="s">
        <v>676</v>
      </c>
      <c r="B149" s="45">
        <v>72.0</v>
      </c>
      <c r="C149" s="45" t="s">
        <v>677</v>
      </c>
      <c r="D149" s="46" t="s">
        <v>678</v>
      </c>
      <c r="E149" s="45" t="s">
        <v>16</v>
      </c>
      <c r="F149" s="45">
        <v>2020.0</v>
      </c>
      <c r="G149" s="45" t="s">
        <v>124</v>
      </c>
      <c r="H149" s="45">
        <v>2030.0</v>
      </c>
      <c r="I149" s="45" t="s">
        <v>124</v>
      </c>
      <c r="J149" s="45" t="s">
        <v>28</v>
      </c>
      <c r="K149" s="47">
        <v>1.0</v>
      </c>
      <c r="L149" s="52">
        <v>0.7</v>
      </c>
      <c r="M149" s="47">
        <v>0.7</v>
      </c>
      <c r="N149" s="45" t="s">
        <v>56</v>
      </c>
      <c r="O149" s="48" t="s">
        <v>75</v>
      </c>
      <c r="P149" s="49" t="s">
        <v>124</v>
      </c>
      <c r="Q149" s="45" t="s">
        <v>125</v>
      </c>
      <c r="R149" s="49" t="s">
        <v>679</v>
      </c>
      <c r="S149" s="49" t="s">
        <v>680</v>
      </c>
      <c r="T149" s="49" t="s">
        <v>681</v>
      </c>
      <c r="U149" s="49" t="s">
        <v>124</v>
      </c>
      <c r="V149" s="49" t="s">
        <v>124</v>
      </c>
      <c r="W149" s="49" t="s">
        <v>124</v>
      </c>
      <c r="X149" s="49" t="s">
        <v>124</v>
      </c>
      <c r="Y149" s="50" t="str">
        <f>IF(CCUS_Projects_Database!$R149&lt;&gt;"",HYPERLINK(CCUS_Projects_Database!$R149,"Link 1"),"")</f>
        <v>Link 1</v>
      </c>
      <c r="Z149" s="50" t="str">
        <f>IF(CCUS_Projects_Database!$S149&lt;&gt;"",HYPERLINK(CCUS_Projects_Database!$S149,"Link 2"),"")</f>
        <v>Link 2</v>
      </c>
      <c r="AA149" s="50" t="str">
        <f>IF(CCUS_Projects_Database!$T149&lt;&gt;"",HYPERLINK(CCUS_Projects_Database!$T149,"Link 3"),"")</f>
        <v>Link 3</v>
      </c>
      <c r="AB149" s="50" t="str">
        <f>IF(CCUS_Projects_Database!$U149&lt;&gt;"",HYPERLINK(CCUS_Projects_Database!$U149,"Link 4"),"")</f>
        <v/>
      </c>
      <c r="AC149" s="50" t="str">
        <f>IF(CCUS_Projects_Database!$V149&lt;&gt;"",HYPERLINK(CCUS_Projects_Database!$V149,"Link 5"),"")</f>
        <v/>
      </c>
      <c r="AD149" s="50" t="str">
        <f>IF(CCUS_Projects_Database!$W149&lt;&gt;"",HYPERLINK(CCUS_Projects_Database!$W149,"Link 6"),"")</f>
        <v/>
      </c>
      <c r="AE149" s="50" t="str">
        <f>IF(CCUS_Projects_Database!$X149&lt;&gt;"",HYPERLINK(CCUS_Projects_Database!$X149,"Link 7"),"")</f>
        <v/>
      </c>
    </row>
    <row r="150" ht="15.75" customHeight="1">
      <c r="A150" s="37" t="s">
        <v>682</v>
      </c>
      <c r="B150" s="38">
        <v>73.0</v>
      </c>
      <c r="C150" s="38" t="s">
        <v>141</v>
      </c>
      <c r="D150" s="39" t="s">
        <v>683</v>
      </c>
      <c r="E150" s="38" t="s">
        <v>16</v>
      </c>
      <c r="F150" s="38">
        <v>2022.0</v>
      </c>
      <c r="G150" s="38" t="s">
        <v>124</v>
      </c>
      <c r="H150" s="38" t="s">
        <v>124</v>
      </c>
      <c r="I150" s="38" t="s">
        <v>124</v>
      </c>
      <c r="J150" s="38" t="s">
        <v>28</v>
      </c>
      <c r="K150" s="40" t="s">
        <v>124</v>
      </c>
      <c r="L150" s="51">
        <v>0.005</v>
      </c>
      <c r="M150" s="40">
        <v>0.005</v>
      </c>
      <c r="N150" s="38" t="s">
        <v>64</v>
      </c>
      <c r="O150" s="41" t="s">
        <v>75</v>
      </c>
      <c r="P150" s="42" t="s">
        <v>124</v>
      </c>
      <c r="Q150" s="38" t="s">
        <v>143</v>
      </c>
      <c r="R150" s="42" t="s">
        <v>234</v>
      </c>
      <c r="S150" s="42" t="s">
        <v>684</v>
      </c>
      <c r="T150" s="42" t="s">
        <v>124</v>
      </c>
      <c r="U150" s="42" t="s">
        <v>124</v>
      </c>
      <c r="V150" s="42" t="s">
        <v>124</v>
      </c>
      <c r="W150" s="42" t="s">
        <v>124</v>
      </c>
      <c r="X150" s="42" t="s">
        <v>124</v>
      </c>
      <c r="Y150" s="43" t="str">
        <f>IF(CCUS_Projects_Database!$R150&lt;&gt;"",HYPERLINK(CCUS_Projects_Database!$R150,"Link 1"),"")</f>
        <v>Link 1</v>
      </c>
      <c r="Z150" s="43" t="str">
        <f>IF(CCUS_Projects_Database!$S150&lt;&gt;"",HYPERLINK(CCUS_Projects_Database!$S150,"Link 2"),"")</f>
        <v>Link 2</v>
      </c>
      <c r="AA150" s="43" t="str">
        <f>IF(CCUS_Projects_Database!$T150&lt;&gt;"",HYPERLINK(CCUS_Projects_Database!$T150,"Link 3"),"")</f>
        <v/>
      </c>
      <c r="AB150" s="43" t="str">
        <f>IF(CCUS_Projects_Database!$U150&lt;&gt;"",HYPERLINK(CCUS_Projects_Database!$U150,"Link 4"),"")</f>
        <v/>
      </c>
      <c r="AC150" s="43" t="str">
        <f>IF(CCUS_Projects_Database!$V150&lt;&gt;"",HYPERLINK(CCUS_Projects_Database!$V150,"Link 5"),"")</f>
        <v/>
      </c>
      <c r="AD150" s="43" t="str">
        <f>IF(CCUS_Projects_Database!$W150&lt;&gt;"",HYPERLINK(CCUS_Projects_Database!$W150,"Link 6"),"")</f>
        <v/>
      </c>
      <c r="AE150" s="43" t="str">
        <f>IF(CCUS_Projects_Database!$X150&lt;&gt;"",HYPERLINK(CCUS_Projects_Database!$X150,"Link 7"),"")</f>
        <v/>
      </c>
    </row>
    <row r="151" ht="15.75" customHeight="1">
      <c r="A151" s="44" t="s">
        <v>685</v>
      </c>
      <c r="B151" s="45">
        <v>896.0</v>
      </c>
      <c r="C151" s="45" t="s">
        <v>141</v>
      </c>
      <c r="D151" s="46" t="s">
        <v>686</v>
      </c>
      <c r="E151" s="45" t="s">
        <v>135</v>
      </c>
      <c r="F151" s="45">
        <v>2023.0</v>
      </c>
      <c r="G151" s="45" t="s">
        <v>124</v>
      </c>
      <c r="H151" s="45" t="s">
        <v>124</v>
      </c>
      <c r="I151" s="45" t="s">
        <v>124</v>
      </c>
      <c r="J151" s="45" t="s">
        <v>28</v>
      </c>
      <c r="K151" s="47" t="s">
        <v>124</v>
      </c>
      <c r="L151" s="52">
        <v>1.6</v>
      </c>
      <c r="M151" s="47">
        <v>1.6</v>
      </c>
      <c r="N151" s="45" t="s">
        <v>54</v>
      </c>
      <c r="O151" s="48" t="s">
        <v>71</v>
      </c>
      <c r="P151" s="49" t="s">
        <v>124</v>
      </c>
      <c r="Q151" s="45" t="s">
        <v>143</v>
      </c>
      <c r="R151" s="49" t="s">
        <v>687</v>
      </c>
      <c r="S151" s="49" t="s">
        <v>124</v>
      </c>
      <c r="T151" s="49" t="s">
        <v>124</v>
      </c>
      <c r="U151" s="49" t="s">
        <v>124</v>
      </c>
      <c r="V151" s="49" t="s">
        <v>124</v>
      </c>
      <c r="W151" s="49" t="s">
        <v>124</v>
      </c>
      <c r="X151" s="49" t="s">
        <v>124</v>
      </c>
      <c r="Y151" s="50" t="str">
        <f>IF(CCUS_Projects_Database!$R151&lt;&gt;"",HYPERLINK(CCUS_Projects_Database!$R151,"Link 1"),"")</f>
        <v>Link 1</v>
      </c>
      <c r="Z151" s="50" t="str">
        <f>IF(CCUS_Projects_Database!$S151&lt;&gt;"",HYPERLINK(CCUS_Projects_Database!$S151,"Link 2"),"")</f>
        <v/>
      </c>
      <c r="AA151" s="50" t="str">
        <f>IF(CCUS_Projects_Database!$T151&lt;&gt;"",HYPERLINK(CCUS_Projects_Database!$T151,"Link 3"),"")</f>
        <v/>
      </c>
      <c r="AB151" s="50" t="str">
        <f>IF(CCUS_Projects_Database!$U151&lt;&gt;"",HYPERLINK(CCUS_Projects_Database!$U151,"Link 4"),"")</f>
        <v/>
      </c>
      <c r="AC151" s="50" t="str">
        <f>IF(CCUS_Projects_Database!$V151&lt;&gt;"",HYPERLINK(CCUS_Projects_Database!$V151,"Link 5"),"")</f>
        <v/>
      </c>
      <c r="AD151" s="50" t="str">
        <f>IF(CCUS_Projects_Database!$W151&lt;&gt;"",HYPERLINK(CCUS_Projects_Database!$W151,"Link 6"),"")</f>
        <v/>
      </c>
      <c r="AE151" s="50" t="str">
        <f>IF(CCUS_Projects_Database!$X151&lt;&gt;"",HYPERLINK(CCUS_Projects_Database!$X151,"Link 7"),"")</f>
        <v/>
      </c>
    </row>
    <row r="152" ht="15.75" customHeight="1">
      <c r="A152" s="37" t="s">
        <v>688</v>
      </c>
      <c r="B152" s="38">
        <v>75.0</v>
      </c>
      <c r="C152" s="38" t="s">
        <v>181</v>
      </c>
      <c r="D152" s="39" t="s">
        <v>689</v>
      </c>
      <c r="E152" s="38" t="s">
        <v>14</v>
      </c>
      <c r="F152" s="38">
        <v>2010.0</v>
      </c>
      <c r="G152" s="38">
        <v>2024.0</v>
      </c>
      <c r="H152" s="38">
        <v>2030.0</v>
      </c>
      <c r="I152" s="38" t="s">
        <v>124</v>
      </c>
      <c r="J152" s="38" t="s">
        <v>28</v>
      </c>
      <c r="K152" s="40" t="s">
        <v>124</v>
      </c>
      <c r="L152" s="51">
        <v>6.0</v>
      </c>
      <c r="M152" s="40">
        <v>6.0</v>
      </c>
      <c r="N152" s="38" t="s">
        <v>14</v>
      </c>
      <c r="O152" s="41" t="s">
        <v>71</v>
      </c>
      <c r="P152" s="42" t="s">
        <v>690</v>
      </c>
      <c r="Q152" s="38" t="s">
        <v>184</v>
      </c>
      <c r="R152" s="42" t="s">
        <v>691</v>
      </c>
      <c r="S152" s="42" t="s">
        <v>692</v>
      </c>
      <c r="T152" s="42" t="s">
        <v>693</v>
      </c>
      <c r="U152" s="42" t="s">
        <v>694</v>
      </c>
      <c r="V152" s="42" t="s">
        <v>124</v>
      </c>
      <c r="W152" s="42" t="s">
        <v>124</v>
      </c>
      <c r="X152" s="42" t="s">
        <v>124</v>
      </c>
      <c r="Y152" s="43" t="str">
        <f>IF(CCUS_Projects_Database!$R152&lt;&gt;"",HYPERLINK(CCUS_Projects_Database!$R152,"Link 1"),"")</f>
        <v>Link 1</v>
      </c>
      <c r="Z152" s="43" t="str">
        <f>IF(CCUS_Projects_Database!$S152&lt;&gt;"",HYPERLINK(CCUS_Projects_Database!$S152,"Link 2"),"")</f>
        <v>Link 2</v>
      </c>
      <c r="AA152" s="43" t="str">
        <f>IF(CCUS_Projects_Database!$T152&lt;&gt;"",HYPERLINK(CCUS_Projects_Database!$T152,"Link 3"),"")</f>
        <v>Link 3</v>
      </c>
      <c r="AB152" s="43" t="str">
        <f>IF(CCUS_Projects_Database!$U152&lt;&gt;"",HYPERLINK(CCUS_Projects_Database!$U152,"Link 4"),"")</f>
        <v>Link 4</v>
      </c>
      <c r="AC152" s="43" t="str">
        <f>IF(CCUS_Projects_Database!$V152&lt;&gt;"",HYPERLINK(CCUS_Projects_Database!$V152,"Link 5"),"")</f>
        <v/>
      </c>
      <c r="AD152" s="43" t="str">
        <f>IF(CCUS_Projects_Database!$W152&lt;&gt;"",HYPERLINK(CCUS_Projects_Database!$W152,"Link 6"),"")</f>
        <v/>
      </c>
      <c r="AE152" s="43" t="str">
        <f>IF(CCUS_Projects_Database!$X152&lt;&gt;"",HYPERLINK(CCUS_Projects_Database!$X152,"Link 7"),"")</f>
        <v/>
      </c>
    </row>
    <row r="153" ht="15.75" customHeight="1">
      <c r="A153" s="44" t="s">
        <v>695</v>
      </c>
      <c r="B153" s="45">
        <v>792.0</v>
      </c>
      <c r="C153" s="45" t="s">
        <v>141</v>
      </c>
      <c r="D153" s="46" t="s">
        <v>696</v>
      </c>
      <c r="E153" s="45" t="s">
        <v>12</v>
      </c>
      <c r="F153" s="45">
        <v>2023.0</v>
      </c>
      <c r="G153" s="45" t="s">
        <v>124</v>
      </c>
      <c r="H153" s="45" t="s">
        <v>124</v>
      </c>
      <c r="I153" s="45" t="s">
        <v>124</v>
      </c>
      <c r="J153" s="45" t="s">
        <v>28</v>
      </c>
      <c r="K153" s="47" t="s">
        <v>124</v>
      </c>
      <c r="L153" s="47"/>
      <c r="M153" s="47" t="s">
        <v>124</v>
      </c>
      <c r="N153" s="45" t="s">
        <v>12</v>
      </c>
      <c r="O153" s="48" t="s">
        <v>71</v>
      </c>
      <c r="P153" s="49" t="s">
        <v>695</v>
      </c>
      <c r="Q153" s="45" t="s">
        <v>143</v>
      </c>
      <c r="R153" s="49" t="s">
        <v>697</v>
      </c>
      <c r="S153" s="49" t="s">
        <v>124</v>
      </c>
      <c r="T153" s="49" t="s">
        <v>124</v>
      </c>
      <c r="U153" s="49" t="s">
        <v>124</v>
      </c>
      <c r="V153" s="49" t="s">
        <v>124</v>
      </c>
      <c r="W153" s="49" t="s">
        <v>124</v>
      </c>
      <c r="X153" s="49" t="s">
        <v>124</v>
      </c>
      <c r="Y153" s="50" t="str">
        <f>IF(CCUS_Projects_Database!$R153&lt;&gt;"",HYPERLINK(CCUS_Projects_Database!$R153,"Link 1"),"")</f>
        <v>Link 1</v>
      </c>
      <c r="Z153" s="50" t="str">
        <f>IF(CCUS_Projects_Database!$S153&lt;&gt;"",HYPERLINK(CCUS_Projects_Database!$S153,"Link 2"),"")</f>
        <v/>
      </c>
      <c r="AA153" s="50" t="str">
        <f>IF(CCUS_Projects_Database!$T153&lt;&gt;"",HYPERLINK(CCUS_Projects_Database!$T153,"Link 3"),"")</f>
        <v/>
      </c>
      <c r="AB153" s="50" t="str">
        <f>IF(CCUS_Projects_Database!$U153&lt;&gt;"",HYPERLINK(CCUS_Projects_Database!$U153,"Link 4"),"")</f>
        <v/>
      </c>
      <c r="AC153" s="50" t="str">
        <f>IF(CCUS_Projects_Database!$V153&lt;&gt;"",HYPERLINK(CCUS_Projects_Database!$V153,"Link 5"),"")</f>
        <v/>
      </c>
      <c r="AD153" s="50" t="str">
        <f>IF(CCUS_Projects_Database!$W153&lt;&gt;"",HYPERLINK(CCUS_Projects_Database!$W153,"Link 6"),"")</f>
        <v/>
      </c>
      <c r="AE153" s="50" t="str">
        <f>IF(CCUS_Projects_Database!$X153&lt;&gt;"",HYPERLINK(CCUS_Projects_Database!$X153,"Link 7"),"")</f>
        <v/>
      </c>
    </row>
    <row r="154" ht="15.75" customHeight="1">
      <c r="A154" s="37" t="s">
        <v>698</v>
      </c>
      <c r="B154" s="38">
        <v>962.0</v>
      </c>
      <c r="C154" s="38" t="s">
        <v>141</v>
      </c>
      <c r="D154" s="39" t="s">
        <v>699</v>
      </c>
      <c r="E154" s="38" t="s">
        <v>12</v>
      </c>
      <c r="F154" s="38">
        <v>2019.0</v>
      </c>
      <c r="G154" s="38" t="s">
        <v>124</v>
      </c>
      <c r="H154" s="38">
        <v>2025.0</v>
      </c>
      <c r="I154" s="38" t="s">
        <v>124</v>
      </c>
      <c r="J154" s="38" t="s">
        <v>28</v>
      </c>
      <c r="K154" s="40" t="s">
        <v>124</v>
      </c>
      <c r="L154" s="40"/>
      <c r="M154" s="40">
        <v>2.0</v>
      </c>
      <c r="N154" s="38" t="s">
        <v>12</v>
      </c>
      <c r="O154" s="41" t="s">
        <v>71</v>
      </c>
      <c r="P154" s="42" t="s">
        <v>698</v>
      </c>
      <c r="Q154" s="38" t="s">
        <v>143</v>
      </c>
      <c r="R154" s="42" t="s">
        <v>700</v>
      </c>
      <c r="S154" s="42" t="s">
        <v>615</v>
      </c>
      <c r="T154" s="42" t="s">
        <v>124</v>
      </c>
      <c r="U154" s="42" t="s">
        <v>124</v>
      </c>
      <c r="V154" s="42" t="s">
        <v>124</v>
      </c>
      <c r="W154" s="42" t="s">
        <v>124</v>
      </c>
      <c r="X154" s="42" t="s">
        <v>124</v>
      </c>
      <c r="Y154" s="43" t="str">
        <f>IF(CCUS_Projects_Database!$R154&lt;&gt;"",HYPERLINK(CCUS_Projects_Database!$R154,"Link 1"),"")</f>
        <v>Link 1</v>
      </c>
      <c r="Z154" s="43" t="str">
        <f>IF(CCUS_Projects_Database!$S154&lt;&gt;"",HYPERLINK(CCUS_Projects_Database!$S154,"Link 2"),"")</f>
        <v>Link 2</v>
      </c>
      <c r="AA154" s="43" t="str">
        <f>IF(CCUS_Projects_Database!$T154&lt;&gt;"",HYPERLINK(CCUS_Projects_Database!$T154,"Link 3"),"")</f>
        <v/>
      </c>
      <c r="AB154" s="43" t="str">
        <f>IF(CCUS_Projects_Database!$U154&lt;&gt;"",HYPERLINK(CCUS_Projects_Database!$U154,"Link 4"),"")</f>
        <v/>
      </c>
      <c r="AC154" s="43" t="str">
        <f>IF(CCUS_Projects_Database!$V154&lt;&gt;"",HYPERLINK(CCUS_Projects_Database!$V154,"Link 5"),"")</f>
        <v/>
      </c>
      <c r="AD154" s="43" t="str">
        <f>IF(CCUS_Projects_Database!$W154&lt;&gt;"",HYPERLINK(CCUS_Projects_Database!$W154,"Link 6"),"")</f>
        <v/>
      </c>
      <c r="AE154" s="43" t="str">
        <f>IF(CCUS_Projects_Database!$X154&lt;&gt;"",HYPERLINK(CCUS_Projects_Database!$X154,"Link 7"),"")</f>
        <v/>
      </c>
    </row>
    <row r="155" ht="15.75" customHeight="1">
      <c r="A155" s="44" t="s">
        <v>701</v>
      </c>
      <c r="B155" s="45">
        <v>1065.0</v>
      </c>
      <c r="C155" s="45" t="s">
        <v>157</v>
      </c>
      <c r="D155" s="46" t="s">
        <v>702</v>
      </c>
      <c r="E155" s="45" t="s">
        <v>8</v>
      </c>
      <c r="F155" s="45">
        <v>2024.0</v>
      </c>
      <c r="G155" s="45" t="s">
        <v>124</v>
      </c>
      <c r="H155" s="45">
        <v>2030.0</v>
      </c>
      <c r="I155" s="45" t="s">
        <v>124</v>
      </c>
      <c r="J155" s="45" t="s">
        <v>28</v>
      </c>
      <c r="K155" s="47" t="s">
        <v>124</v>
      </c>
      <c r="L155" s="47"/>
      <c r="M155" s="47">
        <v>0.54</v>
      </c>
      <c r="N155" s="45" t="s">
        <v>56</v>
      </c>
      <c r="O155" s="48" t="s">
        <v>71</v>
      </c>
      <c r="P155" s="49" t="s">
        <v>703</v>
      </c>
      <c r="Q155" s="45" t="s">
        <v>125</v>
      </c>
      <c r="R155" s="49" t="s">
        <v>124</v>
      </c>
      <c r="S155" s="49" t="s">
        <v>124</v>
      </c>
      <c r="T155" s="49" t="s">
        <v>124</v>
      </c>
      <c r="U155" s="49" t="s">
        <v>124</v>
      </c>
      <c r="V155" s="49" t="s">
        <v>124</v>
      </c>
      <c r="W155" s="49" t="s">
        <v>124</v>
      </c>
      <c r="X155" s="49" t="s">
        <v>124</v>
      </c>
      <c r="Y155" s="50" t="str">
        <f>IF(CCUS_Projects_Database!$R155&lt;&gt;"",HYPERLINK(CCUS_Projects_Database!$R155,"Link 1"),"")</f>
        <v/>
      </c>
      <c r="Z155" s="50" t="str">
        <f>IF(CCUS_Projects_Database!$S155&lt;&gt;"",HYPERLINK(CCUS_Projects_Database!$S155,"Link 2"),"")</f>
        <v/>
      </c>
      <c r="AA155" s="50" t="str">
        <f>IF(CCUS_Projects_Database!$T155&lt;&gt;"",HYPERLINK(CCUS_Projects_Database!$T155,"Link 3"),"")</f>
        <v/>
      </c>
      <c r="AB155" s="50" t="str">
        <f>IF(CCUS_Projects_Database!$U155&lt;&gt;"",HYPERLINK(CCUS_Projects_Database!$U155,"Link 4"),"")</f>
        <v/>
      </c>
      <c r="AC155" s="50" t="str">
        <f>IF(CCUS_Projects_Database!$V155&lt;&gt;"",HYPERLINK(CCUS_Projects_Database!$V155,"Link 5"),"")</f>
        <v/>
      </c>
      <c r="AD155" s="50" t="str">
        <f>IF(CCUS_Projects_Database!$W155&lt;&gt;"",HYPERLINK(CCUS_Projects_Database!$W155,"Link 6"),"")</f>
        <v/>
      </c>
      <c r="AE155" s="50" t="str">
        <f>IF(CCUS_Projects_Database!$X155&lt;&gt;"",HYPERLINK(CCUS_Projects_Database!$X155,"Link 7"),"")</f>
        <v/>
      </c>
    </row>
    <row r="156" ht="15.75" customHeight="1">
      <c r="A156" s="37" t="s">
        <v>559</v>
      </c>
      <c r="B156" s="38">
        <v>683.0</v>
      </c>
      <c r="C156" s="38" t="s">
        <v>704</v>
      </c>
      <c r="D156" s="39" t="s">
        <v>705</v>
      </c>
      <c r="E156" s="38" t="s">
        <v>10</v>
      </c>
      <c r="F156" s="38">
        <v>2022.0</v>
      </c>
      <c r="G156" s="38">
        <v>2027.0</v>
      </c>
      <c r="H156" s="38">
        <v>2031.0</v>
      </c>
      <c r="I156" s="38" t="s">
        <v>124</v>
      </c>
      <c r="J156" s="38" t="s">
        <v>28</v>
      </c>
      <c r="K156" s="40" t="s">
        <v>124</v>
      </c>
      <c r="L156" s="51">
        <v>4.0</v>
      </c>
      <c r="M156" s="40">
        <v>4.0</v>
      </c>
      <c r="N156" s="38" t="s">
        <v>10</v>
      </c>
      <c r="O156" s="41" t="s">
        <v>71</v>
      </c>
      <c r="P156" s="42" t="s">
        <v>706</v>
      </c>
      <c r="Q156" s="38" t="s">
        <v>125</v>
      </c>
      <c r="R156" s="42" t="s">
        <v>407</v>
      </c>
      <c r="S156" s="42" t="s">
        <v>707</v>
      </c>
      <c r="T156" s="42" t="s">
        <v>124</v>
      </c>
      <c r="U156" s="42" t="s">
        <v>124</v>
      </c>
      <c r="V156" s="42" t="s">
        <v>124</v>
      </c>
      <c r="W156" s="42" t="s">
        <v>124</v>
      </c>
      <c r="X156" s="42" t="s">
        <v>124</v>
      </c>
      <c r="Y156" s="43" t="str">
        <f>IF(CCUS_Projects_Database!$R156&lt;&gt;"",HYPERLINK(CCUS_Projects_Database!$R156,"Link 1"),"")</f>
        <v>Link 1</v>
      </c>
      <c r="Z156" s="43" t="str">
        <f>IF(CCUS_Projects_Database!$S156&lt;&gt;"",HYPERLINK(CCUS_Projects_Database!$S156,"Link 2"),"")</f>
        <v>Link 2</v>
      </c>
      <c r="AA156" s="43" t="str">
        <f>IF(CCUS_Projects_Database!$T156&lt;&gt;"",HYPERLINK(CCUS_Projects_Database!$T156,"Link 3"),"")</f>
        <v/>
      </c>
      <c r="AB156" s="43" t="str">
        <f>IF(CCUS_Projects_Database!$U156&lt;&gt;"",HYPERLINK(CCUS_Projects_Database!$U156,"Link 4"),"")</f>
        <v/>
      </c>
      <c r="AC156" s="43" t="str">
        <f>IF(CCUS_Projects_Database!$V156&lt;&gt;"",HYPERLINK(CCUS_Projects_Database!$V156,"Link 5"),"")</f>
        <v/>
      </c>
      <c r="AD156" s="43" t="str">
        <f>IF(CCUS_Projects_Database!$W156&lt;&gt;"",HYPERLINK(CCUS_Projects_Database!$W156,"Link 6"),"")</f>
        <v/>
      </c>
      <c r="AE156" s="43" t="str">
        <f>IF(CCUS_Projects_Database!$X156&lt;&gt;"",HYPERLINK(CCUS_Projects_Database!$X156,"Link 7"),"")</f>
        <v/>
      </c>
    </row>
    <row r="157" ht="15.75" customHeight="1">
      <c r="A157" s="44" t="s">
        <v>708</v>
      </c>
      <c r="B157" s="45">
        <v>353.0</v>
      </c>
      <c r="C157" s="45" t="s">
        <v>146</v>
      </c>
      <c r="D157" s="46" t="s">
        <v>709</v>
      </c>
      <c r="E157" s="45" t="s">
        <v>6</v>
      </c>
      <c r="F157" s="45">
        <v>2021.0</v>
      </c>
      <c r="G157" s="45">
        <v>2024.0</v>
      </c>
      <c r="H157" s="45">
        <v>2028.0</v>
      </c>
      <c r="I157" s="45" t="s">
        <v>124</v>
      </c>
      <c r="J157" s="45" t="s">
        <v>28</v>
      </c>
      <c r="K157" s="47" t="s">
        <v>124</v>
      </c>
      <c r="L157" s="52">
        <v>0.5</v>
      </c>
      <c r="M157" s="47">
        <v>0.5</v>
      </c>
      <c r="N157" s="45" t="s">
        <v>48</v>
      </c>
      <c r="O157" s="48" t="s">
        <v>71</v>
      </c>
      <c r="P157" s="49" t="s">
        <v>124</v>
      </c>
      <c r="Q157" s="45" t="s">
        <v>148</v>
      </c>
      <c r="R157" s="49" t="s">
        <v>710</v>
      </c>
      <c r="S157" s="49" t="s">
        <v>711</v>
      </c>
      <c r="T157" s="49" t="s">
        <v>712</v>
      </c>
      <c r="U157" s="49" t="s">
        <v>713</v>
      </c>
      <c r="V157" s="49" t="s">
        <v>365</v>
      </c>
      <c r="W157" s="49" t="s">
        <v>124</v>
      </c>
      <c r="X157" s="49" t="s">
        <v>124</v>
      </c>
      <c r="Y157" s="50" t="str">
        <f>IF(CCUS_Projects_Database!$R157&lt;&gt;"",HYPERLINK(CCUS_Projects_Database!$R157,"Link 1"),"")</f>
        <v>Link 1</v>
      </c>
      <c r="Z157" s="50" t="str">
        <f>IF(CCUS_Projects_Database!$S157&lt;&gt;"",HYPERLINK(CCUS_Projects_Database!$S157,"Link 2"),"")</f>
        <v>Link 2</v>
      </c>
      <c r="AA157" s="50" t="str">
        <f>IF(CCUS_Projects_Database!$T157&lt;&gt;"",HYPERLINK(CCUS_Projects_Database!$T157,"Link 3"),"")</f>
        <v>Link 3</v>
      </c>
      <c r="AB157" s="50" t="str">
        <f>IF(CCUS_Projects_Database!$U157&lt;&gt;"",HYPERLINK(CCUS_Projects_Database!$U157,"Link 4"),"")</f>
        <v>Link 4</v>
      </c>
      <c r="AC157" s="50" t="str">
        <f>IF(CCUS_Projects_Database!$V157&lt;&gt;"",HYPERLINK(CCUS_Projects_Database!$V157,"Link 5"),"")</f>
        <v>Link 5</v>
      </c>
      <c r="AD157" s="50" t="str">
        <f>IF(CCUS_Projects_Database!$W157&lt;&gt;"",HYPERLINK(CCUS_Projects_Database!$W157,"Link 6"),"")</f>
        <v/>
      </c>
      <c r="AE157" s="50" t="str">
        <f>IF(CCUS_Projects_Database!$X157&lt;&gt;"",HYPERLINK(CCUS_Projects_Database!$X157,"Link 7"),"")</f>
        <v/>
      </c>
    </row>
    <row r="158" ht="15.75" customHeight="1">
      <c r="A158" s="37" t="s">
        <v>714</v>
      </c>
      <c r="B158" s="38">
        <v>77.0</v>
      </c>
      <c r="C158" s="38" t="s">
        <v>141</v>
      </c>
      <c r="D158" s="39" t="s">
        <v>715</v>
      </c>
      <c r="E158" s="38" t="s">
        <v>6</v>
      </c>
      <c r="F158" s="38">
        <v>2022.0</v>
      </c>
      <c r="G158" s="38">
        <v>2022.0</v>
      </c>
      <c r="H158" s="38">
        <v>2024.0</v>
      </c>
      <c r="I158" s="38" t="s">
        <v>124</v>
      </c>
      <c r="J158" s="38" t="s">
        <v>30</v>
      </c>
      <c r="K158" s="40">
        <v>1.0</v>
      </c>
      <c r="L158" s="51">
        <v>0.36</v>
      </c>
      <c r="M158" s="40">
        <v>0.36</v>
      </c>
      <c r="N158" s="38" t="s">
        <v>48</v>
      </c>
      <c r="O158" s="41" t="s">
        <v>73</v>
      </c>
      <c r="P158" s="42" t="s">
        <v>124</v>
      </c>
      <c r="Q158" s="38" t="s">
        <v>143</v>
      </c>
      <c r="R158" s="42" t="s">
        <v>716</v>
      </c>
      <c r="S158" s="42" t="s">
        <v>717</v>
      </c>
      <c r="T158" s="42" t="s">
        <v>718</v>
      </c>
      <c r="U158" s="42" t="s">
        <v>124</v>
      </c>
      <c r="V158" s="42" t="s">
        <v>124</v>
      </c>
      <c r="W158" s="42" t="s">
        <v>124</v>
      </c>
      <c r="X158" s="42" t="s">
        <v>124</v>
      </c>
      <c r="Y158" s="43" t="str">
        <f>IF(CCUS_Projects_Database!$R158&lt;&gt;"",HYPERLINK(CCUS_Projects_Database!$R158,"Link 1"),"")</f>
        <v>Link 1</v>
      </c>
      <c r="Z158" s="43" t="str">
        <f>IF(CCUS_Projects_Database!$S158&lt;&gt;"",HYPERLINK(CCUS_Projects_Database!$S158,"Link 2"),"")</f>
        <v>Link 2</v>
      </c>
      <c r="AA158" s="43" t="str">
        <f>IF(CCUS_Projects_Database!$T158&lt;&gt;"",HYPERLINK(CCUS_Projects_Database!$T158,"Link 3"),"")</f>
        <v>Link 3</v>
      </c>
      <c r="AB158" s="43" t="str">
        <f>IF(CCUS_Projects_Database!$U158&lt;&gt;"",HYPERLINK(CCUS_Projects_Database!$U158,"Link 4"),"")</f>
        <v/>
      </c>
      <c r="AC158" s="43" t="str">
        <f>IF(CCUS_Projects_Database!$V158&lt;&gt;"",HYPERLINK(CCUS_Projects_Database!$V158,"Link 5"),"")</f>
        <v/>
      </c>
      <c r="AD158" s="43" t="str">
        <f>IF(CCUS_Projects_Database!$W158&lt;&gt;"",HYPERLINK(CCUS_Projects_Database!$W158,"Link 6"),"")</f>
        <v/>
      </c>
      <c r="AE158" s="43" t="str">
        <f>IF(CCUS_Projects_Database!$X158&lt;&gt;"",HYPERLINK(CCUS_Projects_Database!$X158,"Link 7"),"")</f>
        <v/>
      </c>
    </row>
    <row r="159" ht="15.75" customHeight="1">
      <c r="A159" s="44" t="s">
        <v>719</v>
      </c>
      <c r="B159" s="45">
        <v>78.0</v>
      </c>
      <c r="C159" s="45" t="s">
        <v>141</v>
      </c>
      <c r="D159" s="46" t="s">
        <v>715</v>
      </c>
      <c r="E159" s="45" t="s">
        <v>6</v>
      </c>
      <c r="F159" s="45">
        <v>2022.0</v>
      </c>
      <c r="G159" s="45" t="s">
        <v>124</v>
      </c>
      <c r="H159" s="45">
        <v>2024.0</v>
      </c>
      <c r="I159" s="45" t="s">
        <v>124</v>
      </c>
      <c r="J159" s="45" t="s">
        <v>28</v>
      </c>
      <c r="K159" s="47">
        <v>2.0</v>
      </c>
      <c r="L159" s="52">
        <v>0.26</v>
      </c>
      <c r="M159" s="47">
        <v>0.26</v>
      </c>
      <c r="N159" s="45" t="s">
        <v>48</v>
      </c>
      <c r="O159" s="48" t="s">
        <v>73</v>
      </c>
      <c r="P159" s="49" t="s">
        <v>124</v>
      </c>
      <c r="Q159" s="45" t="s">
        <v>143</v>
      </c>
      <c r="R159" s="49" t="s">
        <v>716</v>
      </c>
      <c r="S159" s="49" t="s">
        <v>717</v>
      </c>
      <c r="T159" s="49" t="s">
        <v>718</v>
      </c>
      <c r="U159" s="49" t="s">
        <v>124</v>
      </c>
      <c r="V159" s="49" t="s">
        <v>124</v>
      </c>
      <c r="W159" s="49" t="s">
        <v>124</v>
      </c>
      <c r="X159" s="49" t="s">
        <v>124</v>
      </c>
      <c r="Y159" s="50" t="str">
        <f>IF(CCUS_Projects_Database!$R159&lt;&gt;"",HYPERLINK(CCUS_Projects_Database!$R159,"Link 1"),"")</f>
        <v>Link 1</v>
      </c>
      <c r="Z159" s="50" t="str">
        <f>IF(CCUS_Projects_Database!$S159&lt;&gt;"",HYPERLINK(CCUS_Projects_Database!$S159,"Link 2"),"")</f>
        <v>Link 2</v>
      </c>
      <c r="AA159" s="50" t="str">
        <f>IF(CCUS_Projects_Database!$T159&lt;&gt;"",HYPERLINK(CCUS_Projects_Database!$T159,"Link 3"),"")</f>
        <v>Link 3</v>
      </c>
      <c r="AB159" s="50" t="str">
        <f>IF(CCUS_Projects_Database!$U159&lt;&gt;"",HYPERLINK(CCUS_Projects_Database!$U159,"Link 4"),"")</f>
        <v/>
      </c>
      <c r="AC159" s="50" t="str">
        <f>IF(CCUS_Projects_Database!$V159&lt;&gt;"",HYPERLINK(CCUS_Projects_Database!$V159,"Link 5"),"")</f>
        <v/>
      </c>
      <c r="AD159" s="50" t="str">
        <f>IF(CCUS_Projects_Database!$W159&lt;&gt;"",HYPERLINK(CCUS_Projects_Database!$W159,"Link 6"),"")</f>
        <v/>
      </c>
      <c r="AE159" s="50" t="str">
        <f>IF(CCUS_Projects_Database!$X159&lt;&gt;"",HYPERLINK(CCUS_Projects_Database!$X159,"Link 7"),"")</f>
        <v/>
      </c>
    </row>
    <row r="160" ht="15.75" customHeight="1">
      <c r="A160" s="37" t="s">
        <v>720</v>
      </c>
      <c r="B160" s="38">
        <v>606.0</v>
      </c>
      <c r="C160" s="38" t="s">
        <v>239</v>
      </c>
      <c r="D160" s="39" t="s">
        <v>721</v>
      </c>
      <c r="E160" s="38" t="s">
        <v>8</v>
      </c>
      <c r="F160" s="38">
        <v>2022.0</v>
      </c>
      <c r="G160" s="38" t="s">
        <v>124</v>
      </c>
      <c r="H160" s="38" t="s">
        <v>124</v>
      </c>
      <c r="I160" s="38" t="s">
        <v>124</v>
      </c>
      <c r="J160" s="38" t="s">
        <v>28</v>
      </c>
      <c r="K160" s="40" t="s">
        <v>124</v>
      </c>
      <c r="L160" s="40"/>
      <c r="M160" s="40" t="s">
        <v>124</v>
      </c>
      <c r="N160" s="38" t="s">
        <v>54</v>
      </c>
      <c r="O160" s="41" t="s">
        <v>71</v>
      </c>
      <c r="P160" s="42" t="s">
        <v>124</v>
      </c>
      <c r="Q160" s="38" t="s">
        <v>143</v>
      </c>
      <c r="R160" s="42" t="s">
        <v>722</v>
      </c>
      <c r="S160" s="42" t="s">
        <v>124</v>
      </c>
      <c r="T160" s="42" t="s">
        <v>124</v>
      </c>
      <c r="U160" s="42" t="s">
        <v>124</v>
      </c>
      <c r="V160" s="42" t="s">
        <v>124</v>
      </c>
      <c r="W160" s="42" t="s">
        <v>124</v>
      </c>
      <c r="X160" s="42" t="s">
        <v>124</v>
      </c>
      <c r="Y160" s="43" t="str">
        <f>IF(CCUS_Projects_Database!$R160&lt;&gt;"",HYPERLINK(CCUS_Projects_Database!$R160,"Link 1"),"")</f>
        <v>Link 1</v>
      </c>
      <c r="Z160" s="43" t="str">
        <f>IF(CCUS_Projects_Database!$S160&lt;&gt;"",HYPERLINK(CCUS_Projects_Database!$S160,"Link 2"),"")</f>
        <v/>
      </c>
      <c r="AA160" s="43" t="str">
        <f>IF(CCUS_Projects_Database!$T160&lt;&gt;"",HYPERLINK(CCUS_Projects_Database!$T160,"Link 3"),"")</f>
        <v/>
      </c>
      <c r="AB160" s="43" t="str">
        <f>IF(CCUS_Projects_Database!$U160&lt;&gt;"",HYPERLINK(CCUS_Projects_Database!$U160,"Link 4"),"")</f>
        <v/>
      </c>
      <c r="AC160" s="43" t="str">
        <f>IF(CCUS_Projects_Database!$V160&lt;&gt;"",HYPERLINK(CCUS_Projects_Database!$V160,"Link 5"),"")</f>
        <v/>
      </c>
      <c r="AD160" s="43" t="str">
        <f>IF(CCUS_Projects_Database!$W160&lt;&gt;"",HYPERLINK(CCUS_Projects_Database!$W160,"Link 6"),"")</f>
        <v/>
      </c>
      <c r="AE160" s="43" t="str">
        <f>IF(CCUS_Projects_Database!$X160&lt;&gt;"",HYPERLINK(CCUS_Projects_Database!$X160,"Link 7"),"")</f>
        <v/>
      </c>
    </row>
    <row r="161" ht="15.75" customHeight="1">
      <c r="A161" s="44" t="s">
        <v>723</v>
      </c>
      <c r="B161" s="45">
        <v>813.0</v>
      </c>
      <c r="C161" s="45" t="s">
        <v>224</v>
      </c>
      <c r="D161" s="46" t="s">
        <v>724</v>
      </c>
      <c r="E161" s="45" t="s">
        <v>6</v>
      </c>
      <c r="F161" s="45">
        <v>2023.0</v>
      </c>
      <c r="G161" s="45">
        <v>2023.0</v>
      </c>
      <c r="H161" s="45">
        <v>2024.0</v>
      </c>
      <c r="I161" s="45" t="s">
        <v>124</v>
      </c>
      <c r="J161" s="45" t="s">
        <v>30</v>
      </c>
      <c r="K161" s="47">
        <v>1.0</v>
      </c>
      <c r="L161" s="52">
        <v>0.4</v>
      </c>
      <c r="M161" s="47">
        <v>0.4</v>
      </c>
      <c r="N161" s="45" t="s">
        <v>54</v>
      </c>
      <c r="O161" s="48" t="s">
        <v>73</v>
      </c>
      <c r="P161" s="49" t="s">
        <v>124</v>
      </c>
      <c r="Q161" s="45" t="s">
        <v>148</v>
      </c>
      <c r="R161" s="49" t="s">
        <v>725</v>
      </c>
      <c r="S161" s="49" t="s">
        <v>726</v>
      </c>
      <c r="T161" s="49" t="s">
        <v>124</v>
      </c>
      <c r="U161" s="49" t="s">
        <v>124</v>
      </c>
      <c r="V161" s="49" t="s">
        <v>124</v>
      </c>
      <c r="W161" s="49" t="s">
        <v>124</v>
      </c>
      <c r="X161" s="49" t="s">
        <v>124</v>
      </c>
      <c r="Y161" s="50" t="str">
        <f>IF(CCUS_Projects_Database!$R161&lt;&gt;"",HYPERLINK(CCUS_Projects_Database!$R161,"Link 1"),"")</f>
        <v>Link 1</v>
      </c>
      <c r="Z161" s="50" t="str">
        <f>IF(CCUS_Projects_Database!$S161&lt;&gt;"",HYPERLINK(CCUS_Projects_Database!$S161,"Link 2"),"")</f>
        <v>Link 2</v>
      </c>
      <c r="AA161" s="50" t="str">
        <f>IF(CCUS_Projects_Database!$T161&lt;&gt;"",HYPERLINK(CCUS_Projects_Database!$T161,"Link 3"),"")</f>
        <v/>
      </c>
      <c r="AB161" s="50" t="str">
        <f>IF(CCUS_Projects_Database!$U161&lt;&gt;"",HYPERLINK(CCUS_Projects_Database!$U161,"Link 4"),"")</f>
        <v/>
      </c>
      <c r="AC161" s="50" t="str">
        <f>IF(CCUS_Projects_Database!$V161&lt;&gt;"",HYPERLINK(CCUS_Projects_Database!$V161,"Link 5"),"")</f>
        <v/>
      </c>
      <c r="AD161" s="50" t="str">
        <f>IF(CCUS_Projects_Database!$W161&lt;&gt;"",HYPERLINK(CCUS_Projects_Database!$W161,"Link 6"),"")</f>
        <v/>
      </c>
      <c r="AE161" s="50" t="str">
        <f>IF(CCUS_Projects_Database!$X161&lt;&gt;"",HYPERLINK(CCUS_Projects_Database!$X161,"Link 7"),"")</f>
        <v/>
      </c>
    </row>
    <row r="162" ht="15.75" customHeight="1">
      <c r="A162" s="37" t="s">
        <v>727</v>
      </c>
      <c r="B162" s="38">
        <v>924.0</v>
      </c>
      <c r="C162" s="38" t="s">
        <v>224</v>
      </c>
      <c r="D162" s="39" t="s">
        <v>724</v>
      </c>
      <c r="E162" s="38" t="s">
        <v>6</v>
      </c>
      <c r="F162" s="38">
        <v>2023.0</v>
      </c>
      <c r="G162" s="38">
        <v>2023.0</v>
      </c>
      <c r="H162" s="38">
        <v>2025.0</v>
      </c>
      <c r="I162" s="38" t="s">
        <v>124</v>
      </c>
      <c r="J162" s="38" t="s">
        <v>30</v>
      </c>
      <c r="K162" s="40">
        <v>2.0</v>
      </c>
      <c r="L162" s="51">
        <v>0.5</v>
      </c>
      <c r="M162" s="40">
        <v>0.5</v>
      </c>
      <c r="N162" s="38" t="s">
        <v>60</v>
      </c>
      <c r="O162" s="41" t="s">
        <v>73</v>
      </c>
      <c r="P162" s="42" t="s">
        <v>124</v>
      </c>
      <c r="Q162" s="38" t="s">
        <v>148</v>
      </c>
      <c r="R162" s="42" t="s">
        <v>726</v>
      </c>
      <c r="S162" s="42" t="s">
        <v>124</v>
      </c>
      <c r="T162" s="42" t="s">
        <v>124</v>
      </c>
      <c r="U162" s="42" t="s">
        <v>124</v>
      </c>
      <c r="V162" s="42" t="s">
        <v>124</v>
      </c>
      <c r="W162" s="42" t="s">
        <v>124</v>
      </c>
      <c r="X162" s="42" t="s">
        <v>124</v>
      </c>
      <c r="Y162" s="43" t="str">
        <f>IF(CCUS_Projects_Database!$R162&lt;&gt;"",HYPERLINK(CCUS_Projects_Database!$R162,"Link 1"),"")</f>
        <v>Link 1</v>
      </c>
      <c r="Z162" s="43" t="str">
        <f>IF(CCUS_Projects_Database!$S162&lt;&gt;"",HYPERLINK(CCUS_Projects_Database!$S162,"Link 2"),"")</f>
        <v/>
      </c>
      <c r="AA162" s="43" t="str">
        <f>IF(CCUS_Projects_Database!$T162&lt;&gt;"",HYPERLINK(CCUS_Projects_Database!$T162,"Link 3"),"")</f>
        <v/>
      </c>
      <c r="AB162" s="43" t="str">
        <f>IF(CCUS_Projects_Database!$U162&lt;&gt;"",HYPERLINK(CCUS_Projects_Database!$U162,"Link 4"),"")</f>
        <v/>
      </c>
      <c r="AC162" s="43" t="str">
        <f>IF(CCUS_Projects_Database!$V162&lt;&gt;"",HYPERLINK(CCUS_Projects_Database!$V162,"Link 5"),"")</f>
        <v/>
      </c>
      <c r="AD162" s="43" t="str">
        <f>IF(CCUS_Projects_Database!$W162&lt;&gt;"",HYPERLINK(CCUS_Projects_Database!$W162,"Link 6"),"")</f>
        <v/>
      </c>
      <c r="AE162" s="43" t="str">
        <f>IF(CCUS_Projects_Database!$X162&lt;&gt;"",HYPERLINK(CCUS_Projects_Database!$X162,"Link 7"),"")</f>
        <v/>
      </c>
    </row>
    <row r="163" ht="15.75" customHeight="1">
      <c r="A163" s="44" t="s">
        <v>728</v>
      </c>
      <c r="B163" s="45">
        <v>925.0</v>
      </c>
      <c r="C163" s="45" t="s">
        <v>224</v>
      </c>
      <c r="D163" s="46" t="s">
        <v>724</v>
      </c>
      <c r="E163" s="45" t="s">
        <v>6</v>
      </c>
      <c r="F163" s="45">
        <v>2023.0</v>
      </c>
      <c r="G163" s="45">
        <v>2026.0</v>
      </c>
      <c r="H163" s="45">
        <v>2027.0</v>
      </c>
      <c r="I163" s="45" t="s">
        <v>124</v>
      </c>
      <c r="J163" s="45" t="s">
        <v>28</v>
      </c>
      <c r="K163" s="47">
        <v>3.0</v>
      </c>
      <c r="L163" s="52">
        <v>1.5</v>
      </c>
      <c r="M163" s="47">
        <v>1.5</v>
      </c>
      <c r="N163" s="45" t="s">
        <v>60</v>
      </c>
      <c r="O163" s="48" t="s">
        <v>73</v>
      </c>
      <c r="P163" s="49" t="s">
        <v>124</v>
      </c>
      <c r="Q163" s="45" t="s">
        <v>148</v>
      </c>
      <c r="R163" s="49" t="s">
        <v>726</v>
      </c>
      <c r="S163" s="49" t="s">
        <v>124</v>
      </c>
      <c r="T163" s="49" t="s">
        <v>124</v>
      </c>
      <c r="U163" s="49" t="s">
        <v>124</v>
      </c>
      <c r="V163" s="49" t="s">
        <v>124</v>
      </c>
      <c r="W163" s="49" t="s">
        <v>124</v>
      </c>
      <c r="X163" s="49" t="s">
        <v>124</v>
      </c>
      <c r="Y163" s="50" t="str">
        <f>IF(CCUS_Projects_Database!$R163&lt;&gt;"",HYPERLINK(CCUS_Projects_Database!$R163,"Link 1"),"")</f>
        <v>Link 1</v>
      </c>
      <c r="Z163" s="50" t="str">
        <f>IF(CCUS_Projects_Database!$S163&lt;&gt;"",HYPERLINK(CCUS_Projects_Database!$S163,"Link 2"),"")</f>
        <v/>
      </c>
      <c r="AA163" s="50" t="str">
        <f>IF(CCUS_Projects_Database!$T163&lt;&gt;"",HYPERLINK(CCUS_Projects_Database!$T163,"Link 3"),"")</f>
        <v/>
      </c>
      <c r="AB163" s="50" t="str">
        <f>IF(CCUS_Projects_Database!$U163&lt;&gt;"",HYPERLINK(CCUS_Projects_Database!$U163,"Link 4"),"")</f>
        <v/>
      </c>
      <c r="AC163" s="50" t="str">
        <f>IF(CCUS_Projects_Database!$V163&lt;&gt;"",HYPERLINK(CCUS_Projects_Database!$V163,"Link 5"),"")</f>
        <v/>
      </c>
      <c r="AD163" s="50" t="str">
        <f>IF(CCUS_Projects_Database!$W163&lt;&gt;"",HYPERLINK(CCUS_Projects_Database!$W163,"Link 6"),"")</f>
        <v/>
      </c>
      <c r="AE163" s="50" t="str">
        <f>IF(CCUS_Projects_Database!$X163&lt;&gt;"",HYPERLINK(CCUS_Projects_Database!$X163,"Link 7"),"")</f>
        <v/>
      </c>
    </row>
    <row r="164" ht="15.75" customHeight="1">
      <c r="A164" s="37" t="s">
        <v>729</v>
      </c>
      <c r="B164" s="38">
        <v>926.0</v>
      </c>
      <c r="C164" s="38" t="s">
        <v>224</v>
      </c>
      <c r="D164" s="39" t="s">
        <v>724</v>
      </c>
      <c r="E164" s="38" t="s">
        <v>6</v>
      </c>
      <c r="F164" s="38">
        <v>2023.0</v>
      </c>
      <c r="G164" s="38">
        <v>2026.0</v>
      </c>
      <c r="H164" s="38">
        <v>2027.0</v>
      </c>
      <c r="I164" s="38" t="s">
        <v>124</v>
      </c>
      <c r="J164" s="38" t="s">
        <v>28</v>
      </c>
      <c r="K164" s="40">
        <v>3.0</v>
      </c>
      <c r="L164" s="51">
        <v>0.5</v>
      </c>
      <c r="M164" s="40">
        <v>0.5</v>
      </c>
      <c r="N164" s="38" t="s">
        <v>60</v>
      </c>
      <c r="O164" s="41" t="s">
        <v>71</v>
      </c>
      <c r="P164" s="42" t="s">
        <v>124</v>
      </c>
      <c r="Q164" s="38" t="s">
        <v>148</v>
      </c>
      <c r="R164" s="42" t="s">
        <v>726</v>
      </c>
      <c r="S164" s="42" t="s">
        <v>124</v>
      </c>
      <c r="T164" s="42" t="s">
        <v>124</v>
      </c>
      <c r="U164" s="42" t="s">
        <v>124</v>
      </c>
      <c r="V164" s="42" t="s">
        <v>124</v>
      </c>
      <c r="W164" s="42" t="s">
        <v>124</v>
      </c>
      <c r="X164" s="42" t="s">
        <v>124</v>
      </c>
      <c r="Y164" s="43" t="str">
        <f>IF(CCUS_Projects_Database!$R164&lt;&gt;"",HYPERLINK(CCUS_Projects_Database!$R164,"Link 1"),"")</f>
        <v>Link 1</v>
      </c>
      <c r="Z164" s="43" t="str">
        <f>IF(CCUS_Projects_Database!$S164&lt;&gt;"",HYPERLINK(CCUS_Projects_Database!$S164,"Link 2"),"")</f>
        <v/>
      </c>
      <c r="AA164" s="43" t="str">
        <f>IF(CCUS_Projects_Database!$T164&lt;&gt;"",HYPERLINK(CCUS_Projects_Database!$T164,"Link 3"),"")</f>
        <v/>
      </c>
      <c r="AB164" s="43" t="str">
        <f>IF(CCUS_Projects_Database!$U164&lt;&gt;"",HYPERLINK(CCUS_Projects_Database!$U164,"Link 4"),"")</f>
        <v/>
      </c>
      <c r="AC164" s="43" t="str">
        <f>IF(CCUS_Projects_Database!$V164&lt;&gt;"",HYPERLINK(CCUS_Projects_Database!$V164,"Link 5"),"")</f>
        <v/>
      </c>
      <c r="AD164" s="43" t="str">
        <f>IF(CCUS_Projects_Database!$W164&lt;&gt;"",HYPERLINK(CCUS_Projects_Database!$W164,"Link 6"),"")</f>
        <v/>
      </c>
      <c r="AE164" s="43" t="str">
        <f>IF(CCUS_Projects_Database!$X164&lt;&gt;"",HYPERLINK(CCUS_Projects_Database!$X164,"Link 7"),"")</f>
        <v/>
      </c>
    </row>
    <row r="165" ht="15.75" customHeight="1">
      <c r="A165" s="44" t="s">
        <v>730</v>
      </c>
      <c r="B165" s="45">
        <v>1088.0</v>
      </c>
      <c r="C165" s="45" t="s">
        <v>284</v>
      </c>
      <c r="D165" s="46" t="s">
        <v>731</v>
      </c>
      <c r="E165" s="45" t="s">
        <v>10</v>
      </c>
      <c r="F165" s="45">
        <v>2016.0</v>
      </c>
      <c r="G165" s="45" t="s">
        <v>124</v>
      </c>
      <c r="H165" s="45">
        <v>2025.0</v>
      </c>
      <c r="I165" s="45" t="s">
        <v>124</v>
      </c>
      <c r="J165" s="45" t="s">
        <v>28</v>
      </c>
      <c r="K165" s="47" t="s">
        <v>124</v>
      </c>
      <c r="L165" s="52">
        <v>0.4</v>
      </c>
      <c r="M165" s="47">
        <v>0.4</v>
      </c>
      <c r="N165" s="45" t="s">
        <v>10</v>
      </c>
      <c r="O165" s="48" t="s">
        <v>71</v>
      </c>
      <c r="P165" s="49" t="s">
        <v>375</v>
      </c>
      <c r="Q165" s="45" t="s">
        <v>125</v>
      </c>
      <c r="R165" s="49" t="s">
        <v>732</v>
      </c>
      <c r="S165" s="49" t="s">
        <v>124</v>
      </c>
      <c r="T165" s="49" t="s">
        <v>124</v>
      </c>
      <c r="U165" s="49" t="s">
        <v>124</v>
      </c>
      <c r="V165" s="49" t="s">
        <v>124</v>
      </c>
      <c r="W165" s="49" t="s">
        <v>124</v>
      </c>
      <c r="X165" s="49" t="s">
        <v>124</v>
      </c>
      <c r="Y165" s="50" t="str">
        <f>IF(CCUS_Projects_Database!$R165&lt;&gt;"",HYPERLINK(CCUS_Projects_Database!$R165,"Link 1"),"")</f>
        <v>Link 1</v>
      </c>
      <c r="Z165" s="50" t="str">
        <f>IF(CCUS_Projects_Database!$S165&lt;&gt;"",HYPERLINK(CCUS_Projects_Database!$S165,"Link 2"),"")</f>
        <v/>
      </c>
      <c r="AA165" s="50" t="str">
        <f>IF(CCUS_Projects_Database!$T165&lt;&gt;"",HYPERLINK(CCUS_Projects_Database!$T165,"Link 3"),"")</f>
        <v/>
      </c>
      <c r="AB165" s="50" t="str">
        <f>IF(CCUS_Projects_Database!$U165&lt;&gt;"",HYPERLINK(CCUS_Projects_Database!$U165,"Link 4"),"")</f>
        <v/>
      </c>
      <c r="AC165" s="50" t="str">
        <f>IF(CCUS_Projects_Database!$V165&lt;&gt;"",HYPERLINK(CCUS_Projects_Database!$V165,"Link 5"),"")</f>
        <v/>
      </c>
      <c r="AD165" s="50" t="str">
        <f>IF(CCUS_Projects_Database!$W165&lt;&gt;"",HYPERLINK(CCUS_Projects_Database!$W165,"Link 6"),"")</f>
        <v/>
      </c>
      <c r="AE165" s="50" t="str">
        <f>IF(CCUS_Projects_Database!$X165&lt;&gt;"",HYPERLINK(CCUS_Projects_Database!$X165,"Link 7"),"")</f>
        <v/>
      </c>
    </row>
    <row r="166" ht="15.75" customHeight="1">
      <c r="A166" s="37" t="s">
        <v>733</v>
      </c>
      <c r="B166" s="38">
        <v>79.0</v>
      </c>
      <c r="C166" s="38" t="s">
        <v>257</v>
      </c>
      <c r="D166" s="39" t="s">
        <v>734</v>
      </c>
      <c r="E166" s="38" t="s">
        <v>8</v>
      </c>
      <c r="F166" s="38">
        <v>2021.0</v>
      </c>
      <c r="G166" s="38">
        <v>2026.0</v>
      </c>
      <c r="H166" s="38">
        <v>2029.0</v>
      </c>
      <c r="I166" s="38" t="s">
        <v>124</v>
      </c>
      <c r="J166" s="38" t="s">
        <v>28</v>
      </c>
      <c r="K166" s="40" t="s">
        <v>124</v>
      </c>
      <c r="L166" s="51">
        <v>1.8</v>
      </c>
      <c r="M166" s="40">
        <v>1.8</v>
      </c>
      <c r="N166" s="38" t="s">
        <v>56</v>
      </c>
      <c r="O166" s="41" t="s">
        <v>71</v>
      </c>
      <c r="P166" s="42" t="s">
        <v>124</v>
      </c>
      <c r="Q166" s="38" t="s">
        <v>125</v>
      </c>
      <c r="R166" s="42" t="s">
        <v>735</v>
      </c>
      <c r="S166" s="42" t="s">
        <v>736</v>
      </c>
      <c r="T166" s="42" t="s">
        <v>737</v>
      </c>
      <c r="U166" s="42" t="s">
        <v>124</v>
      </c>
      <c r="V166" s="42" t="s">
        <v>124</v>
      </c>
      <c r="W166" s="42" t="s">
        <v>124</v>
      </c>
      <c r="X166" s="42" t="s">
        <v>124</v>
      </c>
      <c r="Y166" s="43" t="str">
        <f>IF(CCUS_Projects_Database!$R166&lt;&gt;"",HYPERLINK(CCUS_Projects_Database!$R166,"Link 1"),"")</f>
        <v>Link 1</v>
      </c>
      <c r="Z166" s="43" t="str">
        <f>IF(CCUS_Projects_Database!$S166&lt;&gt;"",HYPERLINK(CCUS_Projects_Database!$S166,"Link 2"),"")</f>
        <v>Link 2</v>
      </c>
      <c r="AA166" s="43" t="str">
        <f>IF(CCUS_Projects_Database!$T166&lt;&gt;"",HYPERLINK(CCUS_Projects_Database!$T166,"Link 3"),"")</f>
        <v>Link 3</v>
      </c>
      <c r="AB166" s="43" t="str">
        <f>IF(CCUS_Projects_Database!$U166&lt;&gt;"",HYPERLINK(CCUS_Projects_Database!$U166,"Link 4"),"")</f>
        <v/>
      </c>
      <c r="AC166" s="43" t="str">
        <f>IF(CCUS_Projects_Database!$V166&lt;&gt;"",HYPERLINK(CCUS_Projects_Database!$V166,"Link 5"),"")</f>
        <v/>
      </c>
      <c r="AD166" s="43" t="str">
        <f>IF(CCUS_Projects_Database!$W166&lt;&gt;"",HYPERLINK(CCUS_Projects_Database!$W166,"Link 6"),"")</f>
        <v/>
      </c>
      <c r="AE166" s="43" t="str">
        <f>IF(CCUS_Projects_Database!$X166&lt;&gt;"",HYPERLINK(CCUS_Projects_Database!$X166,"Link 7"),"")</f>
        <v/>
      </c>
    </row>
    <row r="167" ht="15.75" customHeight="1">
      <c r="A167" s="44" t="s">
        <v>738</v>
      </c>
      <c r="B167" s="45">
        <v>553.0</v>
      </c>
      <c r="C167" s="45" t="s">
        <v>141</v>
      </c>
      <c r="D167" s="46" t="s">
        <v>739</v>
      </c>
      <c r="E167" s="45" t="s">
        <v>8</v>
      </c>
      <c r="F167" s="45">
        <v>2020.0</v>
      </c>
      <c r="G167" s="45" t="s">
        <v>124</v>
      </c>
      <c r="H167" s="45" t="s">
        <v>124</v>
      </c>
      <c r="I167" s="45" t="s">
        <v>124</v>
      </c>
      <c r="J167" s="45" t="s">
        <v>28</v>
      </c>
      <c r="K167" s="47" t="s">
        <v>124</v>
      </c>
      <c r="L167" s="52">
        <v>0.5</v>
      </c>
      <c r="M167" s="47">
        <v>0.5</v>
      </c>
      <c r="N167" s="45" t="s">
        <v>56</v>
      </c>
      <c r="O167" s="48" t="s">
        <v>77</v>
      </c>
      <c r="P167" s="49" t="s">
        <v>124</v>
      </c>
      <c r="Q167" s="45" t="s">
        <v>143</v>
      </c>
      <c r="R167" s="49" t="s">
        <v>740</v>
      </c>
      <c r="S167" s="49" t="s">
        <v>741</v>
      </c>
      <c r="T167" s="49" t="s">
        <v>124</v>
      </c>
      <c r="U167" s="49" t="s">
        <v>124</v>
      </c>
      <c r="V167" s="49" t="s">
        <v>124</v>
      </c>
      <c r="W167" s="49" t="s">
        <v>124</v>
      </c>
      <c r="X167" s="49" t="s">
        <v>124</v>
      </c>
      <c r="Y167" s="50" t="str">
        <f>IF(CCUS_Projects_Database!$R167&lt;&gt;"",HYPERLINK(CCUS_Projects_Database!$R167,"Link 1"),"")</f>
        <v>Link 1</v>
      </c>
      <c r="Z167" s="50" t="str">
        <f>IF(CCUS_Projects_Database!$S167&lt;&gt;"",HYPERLINK(CCUS_Projects_Database!$S167,"Link 2"),"")</f>
        <v>Link 2</v>
      </c>
      <c r="AA167" s="50" t="str">
        <f>IF(CCUS_Projects_Database!$T167&lt;&gt;"",HYPERLINK(CCUS_Projects_Database!$T167,"Link 3"),"")</f>
        <v/>
      </c>
      <c r="AB167" s="50" t="str">
        <f>IF(CCUS_Projects_Database!$U167&lt;&gt;"",HYPERLINK(CCUS_Projects_Database!$U167,"Link 4"),"")</f>
        <v/>
      </c>
      <c r="AC167" s="50" t="str">
        <f>IF(CCUS_Projects_Database!$V167&lt;&gt;"",HYPERLINK(CCUS_Projects_Database!$V167,"Link 5"),"")</f>
        <v/>
      </c>
      <c r="AD167" s="50" t="str">
        <f>IF(CCUS_Projects_Database!$W167&lt;&gt;"",HYPERLINK(CCUS_Projects_Database!$W167,"Link 6"),"")</f>
        <v/>
      </c>
      <c r="AE167" s="50" t="str">
        <f>IF(CCUS_Projects_Database!$X167&lt;&gt;"",HYPERLINK(CCUS_Projects_Database!$X167,"Link 7"),"")</f>
        <v/>
      </c>
    </row>
    <row r="168" ht="15.75" customHeight="1">
      <c r="A168" s="37" t="s">
        <v>742</v>
      </c>
      <c r="B168" s="38">
        <v>500.0</v>
      </c>
      <c r="C168" s="38" t="s">
        <v>239</v>
      </c>
      <c r="D168" s="39" t="s">
        <v>743</v>
      </c>
      <c r="E168" s="38" t="s">
        <v>12</v>
      </c>
      <c r="F168" s="38">
        <v>2022.0</v>
      </c>
      <c r="G168" s="38" t="s">
        <v>124</v>
      </c>
      <c r="H168" s="38">
        <v>2027.0</v>
      </c>
      <c r="I168" s="38" t="s">
        <v>124</v>
      </c>
      <c r="J168" s="38" t="s">
        <v>28</v>
      </c>
      <c r="K168" s="40" t="s">
        <v>124</v>
      </c>
      <c r="L168" s="40"/>
      <c r="M168" s="40" t="s">
        <v>124</v>
      </c>
      <c r="N168" s="38" t="s">
        <v>12</v>
      </c>
      <c r="O168" s="41" t="s">
        <v>71</v>
      </c>
      <c r="P168" s="42" t="s">
        <v>744</v>
      </c>
      <c r="Q168" s="38" t="s">
        <v>143</v>
      </c>
      <c r="R168" s="42" t="s">
        <v>464</v>
      </c>
      <c r="S168" s="42" t="s">
        <v>124</v>
      </c>
      <c r="T168" s="42" t="s">
        <v>124</v>
      </c>
      <c r="U168" s="42" t="s">
        <v>124</v>
      </c>
      <c r="V168" s="42" t="s">
        <v>124</v>
      </c>
      <c r="W168" s="42" t="s">
        <v>124</v>
      </c>
      <c r="X168" s="42" t="s">
        <v>124</v>
      </c>
      <c r="Y168" s="43" t="str">
        <f>IF(CCUS_Projects_Database!$R168&lt;&gt;"",HYPERLINK(CCUS_Projects_Database!$R168,"Link 1"),"")</f>
        <v>Link 1</v>
      </c>
      <c r="Z168" s="43" t="str">
        <f>IF(CCUS_Projects_Database!$S168&lt;&gt;"",HYPERLINK(CCUS_Projects_Database!$S168,"Link 2"),"")</f>
        <v/>
      </c>
      <c r="AA168" s="43" t="str">
        <f>IF(CCUS_Projects_Database!$T168&lt;&gt;"",HYPERLINK(CCUS_Projects_Database!$T168,"Link 3"),"")</f>
        <v/>
      </c>
      <c r="AB168" s="43" t="str">
        <f>IF(CCUS_Projects_Database!$U168&lt;&gt;"",HYPERLINK(CCUS_Projects_Database!$U168,"Link 4"),"")</f>
        <v/>
      </c>
      <c r="AC168" s="43" t="str">
        <f>IF(CCUS_Projects_Database!$V168&lt;&gt;"",HYPERLINK(CCUS_Projects_Database!$V168,"Link 5"),"")</f>
        <v/>
      </c>
      <c r="AD168" s="43" t="str">
        <f>IF(CCUS_Projects_Database!$W168&lt;&gt;"",HYPERLINK(CCUS_Projects_Database!$W168,"Link 6"),"")</f>
        <v/>
      </c>
      <c r="AE168" s="43" t="str">
        <f>IF(CCUS_Projects_Database!$X168&lt;&gt;"",HYPERLINK(CCUS_Projects_Database!$X168,"Link 7"),"")</f>
        <v/>
      </c>
    </row>
    <row r="169" ht="15.75" customHeight="1">
      <c r="A169" s="44" t="s">
        <v>745</v>
      </c>
      <c r="B169" s="45">
        <v>1064.0</v>
      </c>
      <c r="C169" s="45" t="s">
        <v>239</v>
      </c>
      <c r="D169" s="46" t="s">
        <v>746</v>
      </c>
      <c r="E169" s="45" t="s">
        <v>12</v>
      </c>
      <c r="F169" s="45">
        <v>2024.0</v>
      </c>
      <c r="G169" s="45" t="s">
        <v>124</v>
      </c>
      <c r="H169" s="45" t="s">
        <v>124</v>
      </c>
      <c r="I169" s="45" t="s">
        <v>124</v>
      </c>
      <c r="J169" s="45" t="s">
        <v>28</v>
      </c>
      <c r="K169" s="47" t="s">
        <v>124</v>
      </c>
      <c r="L169" s="47"/>
      <c r="M169" s="47" t="s">
        <v>124</v>
      </c>
      <c r="N169" s="45" t="s">
        <v>12</v>
      </c>
      <c r="O169" s="48" t="s">
        <v>71</v>
      </c>
      <c r="P169" s="49" t="s">
        <v>124</v>
      </c>
      <c r="Q169" s="45" t="s">
        <v>143</v>
      </c>
      <c r="R169" s="49" t="s">
        <v>747</v>
      </c>
      <c r="S169" s="49" t="s">
        <v>748</v>
      </c>
      <c r="T169" s="49" t="s">
        <v>124</v>
      </c>
      <c r="U169" s="49" t="s">
        <v>124</v>
      </c>
      <c r="V169" s="49" t="s">
        <v>124</v>
      </c>
      <c r="W169" s="49" t="s">
        <v>124</v>
      </c>
      <c r="X169" s="49" t="s">
        <v>124</v>
      </c>
      <c r="Y169" s="50" t="str">
        <f>IF(CCUS_Projects_Database!$R169&lt;&gt;"",HYPERLINK(CCUS_Projects_Database!$R169,"Link 1"),"")</f>
        <v>Link 1</v>
      </c>
      <c r="Z169" s="50" t="str">
        <f>IF(CCUS_Projects_Database!$S169&lt;&gt;"",HYPERLINK(CCUS_Projects_Database!$S169,"Link 2"),"")</f>
        <v>Link 2</v>
      </c>
      <c r="AA169" s="50" t="str">
        <f>IF(CCUS_Projects_Database!$T169&lt;&gt;"",HYPERLINK(CCUS_Projects_Database!$T169,"Link 3"),"")</f>
        <v/>
      </c>
      <c r="AB169" s="50" t="str">
        <f>IF(CCUS_Projects_Database!$U169&lt;&gt;"",HYPERLINK(CCUS_Projects_Database!$U169,"Link 4"),"")</f>
        <v/>
      </c>
      <c r="AC169" s="50" t="str">
        <f>IF(CCUS_Projects_Database!$V169&lt;&gt;"",HYPERLINK(CCUS_Projects_Database!$V169,"Link 5"),"")</f>
        <v/>
      </c>
      <c r="AD169" s="50" t="str">
        <f>IF(CCUS_Projects_Database!$W169&lt;&gt;"",HYPERLINK(CCUS_Projects_Database!$W169,"Link 6"),"")</f>
        <v/>
      </c>
      <c r="AE169" s="50" t="str">
        <f>IF(CCUS_Projects_Database!$X169&lt;&gt;"",HYPERLINK(CCUS_Projects_Database!$X169,"Link 7"),"")</f>
        <v/>
      </c>
    </row>
    <row r="170" ht="15.75" customHeight="1">
      <c r="A170" s="37" t="s">
        <v>749</v>
      </c>
      <c r="B170" s="38">
        <v>708.0</v>
      </c>
      <c r="C170" s="38" t="s">
        <v>141</v>
      </c>
      <c r="D170" s="39" t="s">
        <v>750</v>
      </c>
      <c r="E170" s="38" t="s">
        <v>14</v>
      </c>
      <c r="F170" s="38">
        <v>2022.0</v>
      </c>
      <c r="G170" s="38">
        <v>2023.0</v>
      </c>
      <c r="H170" s="38">
        <v>2024.0</v>
      </c>
      <c r="I170" s="38" t="s">
        <v>124</v>
      </c>
      <c r="J170" s="38" t="s">
        <v>30</v>
      </c>
      <c r="K170" s="40">
        <v>1.0</v>
      </c>
      <c r="L170" s="51">
        <v>2.0</v>
      </c>
      <c r="M170" s="40">
        <v>2.0</v>
      </c>
      <c r="N170" s="38" t="s">
        <v>14</v>
      </c>
      <c r="O170" s="41" t="s">
        <v>71</v>
      </c>
      <c r="P170" s="42" t="s">
        <v>751</v>
      </c>
      <c r="Q170" s="38" t="s">
        <v>143</v>
      </c>
      <c r="R170" s="42" t="s">
        <v>752</v>
      </c>
      <c r="S170" s="42" t="s">
        <v>124</v>
      </c>
      <c r="T170" s="42" t="s">
        <v>124</v>
      </c>
      <c r="U170" s="42" t="s">
        <v>124</v>
      </c>
      <c r="V170" s="42" t="s">
        <v>124</v>
      </c>
      <c r="W170" s="42" t="s">
        <v>124</v>
      </c>
      <c r="X170" s="42" t="s">
        <v>124</v>
      </c>
      <c r="Y170" s="43" t="str">
        <f>IF(CCUS_Projects_Database!$R170&lt;&gt;"",HYPERLINK(CCUS_Projects_Database!$R170,"Link 1"),"")</f>
        <v>Link 1</v>
      </c>
      <c r="Z170" s="43" t="str">
        <f>IF(CCUS_Projects_Database!$S170&lt;&gt;"",HYPERLINK(CCUS_Projects_Database!$S170,"Link 2"),"")</f>
        <v/>
      </c>
      <c r="AA170" s="43" t="str">
        <f>IF(CCUS_Projects_Database!$T170&lt;&gt;"",HYPERLINK(CCUS_Projects_Database!$T170,"Link 3"),"")</f>
        <v/>
      </c>
      <c r="AB170" s="43" t="str">
        <f>IF(CCUS_Projects_Database!$U170&lt;&gt;"",HYPERLINK(CCUS_Projects_Database!$U170,"Link 4"),"")</f>
        <v/>
      </c>
      <c r="AC170" s="43" t="str">
        <f>IF(CCUS_Projects_Database!$V170&lt;&gt;"",HYPERLINK(CCUS_Projects_Database!$V170,"Link 5"),"")</f>
        <v/>
      </c>
      <c r="AD170" s="43" t="str">
        <f>IF(CCUS_Projects_Database!$W170&lt;&gt;"",HYPERLINK(CCUS_Projects_Database!$W170,"Link 6"),"")</f>
        <v/>
      </c>
      <c r="AE170" s="43" t="str">
        <f>IF(CCUS_Projects_Database!$X170&lt;&gt;"",HYPERLINK(CCUS_Projects_Database!$X170,"Link 7"),"")</f>
        <v/>
      </c>
    </row>
    <row r="171" ht="15.75" customHeight="1">
      <c r="A171" s="44" t="s">
        <v>753</v>
      </c>
      <c r="B171" s="45">
        <v>1059.0</v>
      </c>
      <c r="C171" s="45" t="s">
        <v>141</v>
      </c>
      <c r="D171" s="46" t="s">
        <v>750</v>
      </c>
      <c r="E171" s="45" t="s">
        <v>14</v>
      </c>
      <c r="F171" s="45">
        <v>2022.0</v>
      </c>
      <c r="G171" s="45" t="s">
        <v>124</v>
      </c>
      <c r="H171" s="45">
        <v>2027.0</v>
      </c>
      <c r="I171" s="45" t="s">
        <v>124</v>
      </c>
      <c r="J171" s="45" t="s">
        <v>28</v>
      </c>
      <c r="K171" s="47">
        <v>2.0</v>
      </c>
      <c r="L171" s="52">
        <v>3.0</v>
      </c>
      <c r="M171" s="47">
        <v>3.0</v>
      </c>
      <c r="N171" s="45" t="s">
        <v>14</v>
      </c>
      <c r="O171" s="48" t="s">
        <v>71</v>
      </c>
      <c r="P171" s="49" t="s">
        <v>751</v>
      </c>
      <c r="Q171" s="45" t="s">
        <v>143</v>
      </c>
      <c r="R171" s="49" t="s">
        <v>754</v>
      </c>
      <c r="S171" s="49" t="s">
        <v>124</v>
      </c>
      <c r="T171" s="49" t="s">
        <v>124</v>
      </c>
      <c r="U171" s="49" t="s">
        <v>124</v>
      </c>
      <c r="V171" s="49" t="s">
        <v>124</v>
      </c>
      <c r="W171" s="49" t="s">
        <v>124</v>
      </c>
      <c r="X171" s="49" t="s">
        <v>124</v>
      </c>
      <c r="Y171" s="50" t="str">
        <f>IF(CCUS_Projects_Database!$R171&lt;&gt;"",HYPERLINK(CCUS_Projects_Database!$R171,"Link 1"),"")</f>
        <v>Link 1</v>
      </c>
      <c r="Z171" s="50" t="str">
        <f>IF(CCUS_Projects_Database!$S171&lt;&gt;"",HYPERLINK(CCUS_Projects_Database!$S171,"Link 2"),"")</f>
        <v/>
      </c>
      <c r="AA171" s="50" t="str">
        <f>IF(CCUS_Projects_Database!$T171&lt;&gt;"",HYPERLINK(CCUS_Projects_Database!$T171,"Link 3"),"")</f>
        <v/>
      </c>
      <c r="AB171" s="50" t="str">
        <f>IF(CCUS_Projects_Database!$U171&lt;&gt;"",HYPERLINK(CCUS_Projects_Database!$U171,"Link 4"),"")</f>
        <v/>
      </c>
      <c r="AC171" s="50" t="str">
        <f>IF(CCUS_Projects_Database!$V171&lt;&gt;"",HYPERLINK(CCUS_Projects_Database!$V171,"Link 5"),"")</f>
        <v/>
      </c>
      <c r="AD171" s="50" t="str">
        <f>IF(CCUS_Projects_Database!$W171&lt;&gt;"",HYPERLINK(CCUS_Projects_Database!$W171,"Link 6"),"")</f>
        <v/>
      </c>
      <c r="AE171" s="50" t="str">
        <f>IF(CCUS_Projects_Database!$X171&lt;&gt;"",HYPERLINK(CCUS_Projects_Database!$X171,"Link 7"),"")</f>
        <v/>
      </c>
    </row>
    <row r="172" ht="15.75" customHeight="1">
      <c r="A172" s="37" t="s">
        <v>755</v>
      </c>
      <c r="B172" s="38">
        <v>1060.0</v>
      </c>
      <c r="C172" s="38" t="s">
        <v>141</v>
      </c>
      <c r="D172" s="39" t="s">
        <v>750</v>
      </c>
      <c r="E172" s="38" t="s">
        <v>14</v>
      </c>
      <c r="F172" s="38">
        <v>2022.0</v>
      </c>
      <c r="G172" s="38" t="s">
        <v>124</v>
      </c>
      <c r="H172" s="38">
        <v>2029.0</v>
      </c>
      <c r="I172" s="38" t="s">
        <v>124</v>
      </c>
      <c r="J172" s="38" t="s">
        <v>28</v>
      </c>
      <c r="K172" s="40">
        <v>3.0</v>
      </c>
      <c r="L172" s="51">
        <v>4.5</v>
      </c>
      <c r="M172" s="40">
        <v>2.0</v>
      </c>
      <c r="N172" s="38" t="s">
        <v>14</v>
      </c>
      <c r="O172" s="41" t="s">
        <v>71</v>
      </c>
      <c r="P172" s="42" t="s">
        <v>751</v>
      </c>
      <c r="Q172" s="38" t="s">
        <v>143</v>
      </c>
      <c r="R172" s="42" t="s">
        <v>754</v>
      </c>
      <c r="S172" s="42" t="s">
        <v>124</v>
      </c>
      <c r="T172" s="42" t="s">
        <v>124</v>
      </c>
      <c r="U172" s="42" t="s">
        <v>124</v>
      </c>
      <c r="V172" s="42" t="s">
        <v>124</v>
      </c>
      <c r="W172" s="42" t="s">
        <v>124</v>
      </c>
      <c r="X172" s="42" t="s">
        <v>124</v>
      </c>
      <c r="Y172" s="43" t="str">
        <f>IF(CCUS_Projects_Database!$R172&lt;&gt;"",HYPERLINK(CCUS_Projects_Database!$R172,"Link 1"),"")</f>
        <v>Link 1</v>
      </c>
      <c r="Z172" s="43" t="str">
        <f>IF(CCUS_Projects_Database!$S172&lt;&gt;"",HYPERLINK(CCUS_Projects_Database!$S172,"Link 2"),"")</f>
        <v/>
      </c>
      <c r="AA172" s="43" t="str">
        <f>IF(CCUS_Projects_Database!$T172&lt;&gt;"",HYPERLINK(CCUS_Projects_Database!$T172,"Link 3"),"")</f>
        <v/>
      </c>
      <c r="AB172" s="43" t="str">
        <f>IF(CCUS_Projects_Database!$U172&lt;&gt;"",HYPERLINK(CCUS_Projects_Database!$U172,"Link 4"),"")</f>
        <v/>
      </c>
      <c r="AC172" s="43" t="str">
        <f>IF(CCUS_Projects_Database!$V172&lt;&gt;"",HYPERLINK(CCUS_Projects_Database!$V172,"Link 5"),"")</f>
        <v/>
      </c>
      <c r="AD172" s="43" t="str">
        <f>IF(CCUS_Projects_Database!$W172&lt;&gt;"",HYPERLINK(CCUS_Projects_Database!$W172,"Link 6"),"")</f>
        <v/>
      </c>
      <c r="AE172" s="43" t="str">
        <f>IF(CCUS_Projects_Database!$X172&lt;&gt;"",HYPERLINK(CCUS_Projects_Database!$X172,"Link 7"),"")</f>
        <v/>
      </c>
    </row>
    <row r="173" ht="15.75" customHeight="1">
      <c r="A173" s="44" t="s">
        <v>756</v>
      </c>
      <c r="B173" s="45">
        <v>761.0</v>
      </c>
      <c r="C173" s="45" t="s">
        <v>146</v>
      </c>
      <c r="D173" s="46" t="s">
        <v>757</v>
      </c>
      <c r="E173" s="45" t="s">
        <v>12</v>
      </c>
      <c r="F173" s="45">
        <v>2022.0</v>
      </c>
      <c r="G173" s="45" t="s">
        <v>124</v>
      </c>
      <c r="H173" s="45">
        <v>2030.0</v>
      </c>
      <c r="I173" s="45" t="s">
        <v>124</v>
      </c>
      <c r="J173" s="45" t="s">
        <v>28</v>
      </c>
      <c r="K173" s="47" t="s">
        <v>124</v>
      </c>
      <c r="L173" s="47"/>
      <c r="M173" s="47" t="s">
        <v>124</v>
      </c>
      <c r="N173" s="45" t="s">
        <v>12</v>
      </c>
      <c r="O173" s="48" t="s">
        <v>71</v>
      </c>
      <c r="P173" s="49" t="s">
        <v>756</v>
      </c>
      <c r="Q173" s="45" t="s">
        <v>148</v>
      </c>
      <c r="R173" s="49" t="s">
        <v>365</v>
      </c>
      <c r="S173" s="49" t="s">
        <v>758</v>
      </c>
      <c r="T173" s="49" t="s">
        <v>759</v>
      </c>
      <c r="U173" s="49" t="s">
        <v>760</v>
      </c>
      <c r="V173" s="49" t="s">
        <v>124</v>
      </c>
      <c r="W173" s="49" t="s">
        <v>124</v>
      </c>
      <c r="X173" s="49" t="s">
        <v>124</v>
      </c>
      <c r="Y173" s="50" t="str">
        <f>IF(CCUS_Projects_Database!$R173&lt;&gt;"",HYPERLINK(CCUS_Projects_Database!$R173,"Link 1"),"")</f>
        <v>Link 1</v>
      </c>
      <c r="Z173" s="50" t="str">
        <f>IF(CCUS_Projects_Database!$S173&lt;&gt;"",HYPERLINK(CCUS_Projects_Database!$S173,"Link 2"),"")</f>
        <v>Link 2</v>
      </c>
      <c r="AA173" s="50" t="str">
        <f>IF(CCUS_Projects_Database!$T173&lt;&gt;"",HYPERLINK(CCUS_Projects_Database!$T173,"Link 3"),"")</f>
        <v>Link 3</v>
      </c>
      <c r="AB173" s="50" t="str">
        <f>IF(CCUS_Projects_Database!$U173&lt;&gt;"",HYPERLINK(CCUS_Projects_Database!$U173,"Link 4"),"")</f>
        <v>Link 4</v>
      </c>
      <c r="AC173" s="50" t="str">
        <f>IF(CCUS_Projects_Database!$V173&lt;&gt;"",HYPERLINK(CCUS_Projects_Database!$V173,"Link 5"),"")</f>
        <v/>
      </c>
      <c r="AD173" s="50" t="str">
        <f>IF(CCUS_Projects_Database!$W173&lt;&gt;"",HYPERLINK(CCUS_Projects_Database!$W173,"Link 6"),"")</f>
        <v/>
      </c>
      <c r="AE173" s="50" t="str">
        <f>IF(CCUS_Projects_Database!$X173&lt;&gt;"",HYPERLINK(CCUS_Projects_Database!$X173,"Link 7"),"")</f>
        <v/>
      </c>
    </row>
    <row r="174" ht="15.75" customHeight="1">
      <c r="A174" s="37" t="s">
        <v>761</v>
      </c>
      <c r="B174" s="38">
        <v>486.0</v>
      </c>
      <c r="C174" s="38" t="s">
        <v>157</v>
      </c>
      <c r="D174" s="39" t="s">
        <v>762</v>
      </c>
      <c r="E174" s="38" t="s">
        <v>6</v>
      </c>
      <c r="F174" s="38">
        <v>2022.0</v>
      </c>
      <c r="G174" s="38" t="s">
        <v>124</v>
      </c>
      <c r="H174" s="38" t="s">
        <v>124</v>
      </c>
      <c r="I174" s="38" t="s">
        <v>124</v>
      </c>
      <c r="J174" s="38" t="s">
        <v>28</v>
      </c>
      <c r="K174" s="40" t="s">
        <v>124</v>
      </c>
      <c r="L174" s="40"/>
      <c r="M174" s="40" t="s">
        <v>124</v>
      </c>
      <c r="N174" s="38" t="s">
        <v>136</v>
      </c>
      <c r="O174" s="41" t="s">
        <v>71</v>
      </c>
      <c r="P174" s="42" t="s">
        <v>124</v>
      </c>
      <c r="Q174" s="38" t="s">
        <v>125</v>
      </c>
      <c r="R174" s="42" t="s">
        <v>763</v>
      </c>
      <c r="S174" s="42" t="s">
        <v>124</v>
      </c>
      <c r="T174" s="42" t="s">
        <v>124</v>
      </c>
      <c r="U174" s="42" t="s">
        <v>124</v>
      </c>
      <c r="V174" s="42" t="s">
        <v>124</v>
      </c>
      <c r="W174" s="42" t="s">
        <v>124</v>
      </c>
      <c r="X174" s="42" t="s">
        <v>124</v>
      </c>
      <c r="Y174" s="43" t="str">
        <f>IF(CCUS_Projects_Database!$R174&lt;&gt;"",HYPERLINK(CCUS_Projects_Database!$R174,"Link 1"),"")</f>
        <v>Link 1</v>
      </c>
      <c r="Z174" s="43" t="str">
        <f>IF(CCUS_Projects_Database!$S174&lt;&gt;"",HYPERLINK(CCUS_Projects_Database!$S174,"Link 2"),"")</f>
        <v/>
      </c>
      <c r="AA174" s="43" t="str">
        <f>IF(CCUS_Projects_Database!$T174&lt;&gt;"",HYPERLINK(CCUS_Projects_Database!$T174,"Link 3"),"")</f>
        <v/>
      </c>
      <c r="AB174" s="43" t="str">
        <f>IF(CCUS_Projects_Database!$U174&lt;&gt;"",HYPERLINK(CCUS_Projects_Database!$U174,"Link 4"),"")</f>
        <v/>
      </c>
      <c r="AC174" s="43" t="str">
        <f>IF(CCUS_Projects_Database!$V174&lt;&gt;"",HYPERLINK(CCUS_Projects_Database!$V174,"Link 5"),"")</f>
        <v/>
      </c>
      <c r="AD174" s="43" t="str">
        <f>IF(CCUS_Projects_Database!$W174&lt;&gt;"",HYPERLINK(CCUS_Projects_Database!$W174,"Link 6"),"")</f>
        <v/>
      </c>
      <c r="AE174" s="43" t="str">
        <f>IF(CCUS_Projects_Database!$X174&lt;&gt;"",HYPERLINK(CCUS_Projects_Database!$X174,"Link 7"),"")</f>
        <v/>
      </c>
    </row>
    <row r="175" ht="15.75" customHeight="1">
      <c r="A175" s="44" t="s">
        <v>764</v>
      </c>
      <c r="B175" s="45">
        <v>80.0</v>
      </c>
      <c r="C175" s="45" t="s">
        <v>141</v>
      </c>
      <c r="D175" s="46" t="s">
        <v>765</v>
      </c>
      <c r="E175" s="45" t="s">
        <v>6</v>
      </c>
      <c r="F175" s="45">
        <v>2008.0</v>
      </c>
      <c r="G175" s="45">
        <v>2008.0</v>
      </c>
      <c r="H175" s="45">
        <v>2010.0</v>
      </c>
      <c r="I175" s="45" t="s">
        <v>124</v>
      </c>
      <c r="J175" s="45" t="s">
        <v>32</v>
      </c>
      <c r="K175" s="47" t="s">
        <v>124</v>
      </c>
      <c r="L175" s="52">
        <v>4.66</v>
      </c>
      <c r="M175" s="47">
        <v>4.32</v>
      </c>
      <c r="N175" s="45" t="s">
        <v>48</v>
      </c>
      <c r="O175" s="48" t="s">
        <v>73</v>
      </c>
      <c r="P175" s="49" t="s">
        <v>124</v>
      </c>
      <c r="Q175" s="45" t="s">
        <v>143</v>
      </c>
      <c r="R175" s="49" t="s">
        <v>766</v>
      </c>
      <c r="S175" s="49" t="s">
        <v>767</v>
      </c>
      <c r="T175" s="49" t="s">
        <v>768</v>
      </c>
      <c r="U175" s="49" t="s">
        <v>769</v>
      </c>
      <c r="V175" s="49" t="s">
        <v>124</v>
      </c>
      <c r="W175" s="49" t="s">
        <v>124</v>
      </c>
      <c r="X175" s="49" t="s">
        <v>124</v>
      </c>
      <c r="Y175" s="50" t="str">
        <f>IF(CCUS_Projects_Database!$R175&lt;&gt;"",HYPERLINK(CCUS_Projects_Database!$R175,"Link 1"),"")</f>
        <v>Link 1</v>
      </c>
      <c r="Z175" s="50" t="str">
        <f>IF(CCUS_Projects_Database!$S175&lt;&gt;"",HYPERLINK(CCUS_Projects_Database!$S175,"Link 2"),"")</f>
        <v>Link 2</v>
      </c>
      <c r="AA175" s="50" t="str">
        <f>IF(CCUS_Projects_Database!$T175&lt;&gt;"",HYPERLINK(CCUS_Projects_Database!$T175,"Link 3"),"")</f>
        <v>Link 3</v>
      </c>
      <c r="AB175" s="50" t="str">
        <f>IF(CCUS_Projects_Database!$U175&lt;&gt;"",HYPERLINK(CCUS_Projects_Database!$U175,"Link 4"),"")</f>
        <v>Link 4</v>
      </c>
      <c r="AC175" s="50" t="str">
        <f>IF(CCUS_Projects_Database!$V175&lt;&gt;"",HYPERLINK(CCUS_Projects_Database!$V175,"Link 5"),"")</f>
        <v/>
      </c>
      <c r="AD175" s="50" t="str">
        <f>IF(CCUS_Projects_Database!$W175&lt;&gt;"",HYPERLINK(CCUS_Projects_Database!$W175,"Link 6"),"")</f>
        <v/>
      </c>
      <c r="AE175" s="50" t="str">
        <f>IF(CCUS_Projects_Database!$X175&lt;&gt;"",HYPERLINK(CCUS_Projects_Database!$X175,"Link 7"),"")</f>
        <v/>
      </c>
    </row>
    <row r="176" ht="15.75" customHeight="1">
      <c r="A176" s="37" t="s">
        <v>770</v>
      </c>
      <c r="B176" s="38">
        <v>81.0</v>
      </c>
      <c r="C176" s="38" t="s">
        <v>141</v>
      </c>
      <c r="D176" s="39" t="s">
        <v>771</v>
      </c>
      <c r="E176" s="38" t="s">
        <v>6</v>
      </c>
      <c r="F176" s="38">
        <v>2021.0</v>
      </c>
      <c r="G176" s="38" t="s">
        <v>124</v>
      </c>
      <c r="H176" s="38" t="s">
        <v>124</v>
      </c>
      <c r="I176" s="38" t="s">
        <v>124</v>
      </c>
      <c r="J176" s="38" t="s">
        <v>28</v>
      </c>
      <c r="K176" s="40">
        <v>1.0</v>
      </c>
      <c r="L176" s="51">
        <v>2.0</v>
      </c>
      <c r="M176" s="40">
        <v>2.0</v>
      </c>
      <c r="N176" s="38" t="s">
        <v>54</v>
      </c>
      <c r="O176" s="41" t="s">
        <v>71</v>
      </c>
      <c r="P176" s="42" t="s">
        <v>124</v>
      </c>
      <c r="Q176" s="38" t="s">
        <v>143</v>
      </c>
      <c r="R176" s="42" t="s">
        <v>772</v>
      </c>
      <c r="S176" s="42" t="s">
        <v>124</v>
      </c>
      <c r="T176" s="42" t="s">
        <v>773</v>
      </c>
      <c r="U176" s="42" t="s">
        <v>124</v>
      </c>
      <c r="V176" s="42" t="s">
        <v>124</v>
      </c>
      <c r="W176" s="42" t="s">
        <v>124</v>
      </c>
      <c r="X176" s="42" t="s">
        <v>124</v>
      </c>
      <c r="Y176" s="43" t="str">
        <f>IF(CCUS_Projects_Database!$R176&lt;&gt;"",HYPERLINK(CCUS_Projects_Database!$R176,"Link 1"),"")</f>
        <v>Link 1</v>
      </c>
      <c r="Z176" s="43" t="str">
        <f>IF(CCUS_Projects_Database!$S176&lt;&gt;"",HYPERLINK(CCUS_Projects_Database!$S176,"Link 2"),"")</f>
        <v/>
      </c>
      <c r="AA176" s="43" t="str">
        <f>IF(CCUS_Projects_Database!$T176&lt;&gt;"",HYPERLINK(CCUS_Projects_Database!$T176,"Link 3"),"")</f>
        <v>Link 3</v>
      </c>
      <c r="AB176" s="43" t="str">
        <f>IF(CCUS_Projects_Database!$U176&lt;&gt;"",HYPERLINK(CCUS_Projects_Database!$U176,"Link 4"),"")</f>
        <v/>
      </c>
      <c r="AC176" s="43" t="str">
        <f>IF(CCUS_Projects_Database!$V176&lt;&gt;"",HYPERLINK(CCUS_Projects_Database!$V176,"Link 5"),"")</f>
        <v/>
      </c>
      <c r="AD176" s="43" t="str">
        <f>IF(CCUS_Projects_Database!$W176&lt;&gt;"",HYPERLINK(CCUS_Projects_Database!$W176,"Link 6"),"")</f>
        <v/>
      </c>
      <c r="AE176" s="43" t="str">
        <f>IF(CCUS_Projects_Database!$X176&lt;&gt;"",HYPERLINK(CCUS_Projects_Database!$X176,"Link 7"),"")</f>
        <v/>
      </c>
    </row>
    <row r="177" ht="15.75" customHeight="1">
      <c r="A177" s="44" t="s">
        <v>774</v>
      </c>
      <c r="B177" s="45">
        <v>637.0</v>
      </c>
      <c r="C177" s="45" t="s">
        <v>157</v>
      </c>
      <c r="D177" s="46" t="s">
        <v>775</v>
      </c>
      <c r="E177" s="45" t="s">
        <v>8</v>
      </c>
      <c r="F177" s="45">
        <v>2022.0</v>
      </c>
      <c r="G177" s="45" t="s">
        <v>124</v>
      </c>
      <c r="H177" s="45" t="s">
        <v>124</v>
      </c>
      <c r="I177" s="45" t="s">
        <v>124</v>
      </c>
      <c r="J177" s="45" t="s">
        <v>28</v>
      </c>
      <c r="K177" s="47" t="s">
        <v>124</v>
      </c>
      <c r="L177" s="52">
        <v>0.38</v>
      </c>
      <c r="M177" s="47">
        <v>0.38</v>
      </c>
      <c r="N177" s="45" t="s">
        <v>46</v>
      </c>
      <c r="O177" s="48" t="s">
        <v>71</v>
      </c>
      <c r="P177" s="49" t="s">
        <v>571</v>
      </c>
      <c r="Q177" s="45" t="s">
        <v>125</v>
      </c>
      <c r="R177" s="49" t="s">
        <v>776</v>
      </c>
      <c r="S177" s="49" t="s">
        <v>572</v>
      </c>
      <c r="T177" s="49" t="s">
        <v>124</v>
      </c>
      <c r="U177" s="49" t="s">
        <v>124</v>
      </c>
      <c r="V177" s="49" t="s">
        <v>124</v>
      </c>
      <c r="W177" s="49" t="s">
        <v>124</v>
      </c>
      <c r="X177" s="49" t="s">
        <v>124</v>
      </c>
      <c r="Y177" s="50" t="str">
        <f>IF(CCUS_Projects_Database!$R177&lt;&gt;"",HYPERLINK(CCUS_Projects_Database!$R177,"Link 1"),"")</f>
        <v>Link 1</v>
      </c>
      <c r="Z177" s="50" t="str">
        <f>IF(CCUS_Projects_Database!$S177&lt;&gt;"",HYPERLINK(CCUS_Projects_Database!$S177,"Link 2"),"")</f>
        <v>Link 2</v>
      </c>
      <c r="AA177" s="50" t="str">
        <f>IF(CCUS_Projects_Database!$T177&lt;&gt;"",HYPERLINK(CCUS_Projects_Database!$T177,"Link 3"),"")</f>
        <v/>
      </c>
      <c r="AB177" s="50" t="str">
        <f>IF(CCUS_Projects_Database!$U177&lt;&gt;"",HYPERLINK(CCUS_Projects_Database!$U177,"Link 4"),"")</f>
        <v/>
      </c>
      <c r="AC177" s="50" t="str">
        <f>IF(CCUS_Projects_Database!$V177&lt;&gt;"",HYPERLINK(CCUS_Projects_Database!$V177,"Link 5"),"")</f>
        <v/>
      </c>
      <c r="AD177" s="50" t="str">
        <f>IF(CCUS_Projects_Database!$W177&lt;&gt;"",HYPERLINK(CCUS_Projects_Database!$W177,"Link 6"),"")</f>
        <v/>
      </c>
      <c r="AE177" s="50" t="str">
        <f>IF(CCUS_Projects_Database!$X177&lt;&gt;"",HYPERLINK(CCUS_Projects_Database!$X177,"Link 7"),"")</f>
        <v/>
      </c>
    </row>
    <row r="178" ht="15.75" customHeight="1">
      <c r="A178" s="37" t="s">
        <v>777</v>
      </c>
      <c r="B178" s="38">
        <v>82.0</v>
      </c>
      <c r="C178" s="38" t="s">
        <v>141</v>
      </c>
      <c r="D178" s="39" t="s">
        <v>778</v>
      </c>
      <c r="E178" s="38" t="s">
        <v>6</v>
      </c>
      <c r="F178" s="38">
        <v>2022.0</v>
      </c>
      <c r="G178" s="38">
        <v>2024.0</v>
      </c>
      <c r="H178" s="38">
        <v>2027.0</v>
      </c>
      <c r="I178" s="38" t="s">
        <v>124</v>
      </c>
      <c r="J178" s="38" t="s">
        <v>28</v>
      </c>
      <c r="K178" s="40" t="s">
        <v>124</v>
      </c>
      <c r="L178" s="40"/>
      <c r="M178" s="40" t="s">
        <v>124</v>
      </c>
      <c r="N178" s="38" t="s">
        <v>136</v>
      </c>
      <c r="O178" s="41" t="s">
        <v>77</v>
      </c>
      <c r="P178" s="42" t="s">
        <v>124</v>
      </c>
      <c r="Q178" s="38" t="s">
        <v>143</v>
      </c>
      <c r="R178" s="42" t="s">
        <v>779</v>
      </c>
      <c r="S178" s="42" t="s">
        <v>780</v>
      </c>
      <c r="T178" s="42" t="s">
        <v>124</v>
      </c>
      <c r="U178" s="42" t="s">
        <v>124</v>
      </c>
      <c r="V178" s="42" t="s">
        <v>124</v>
      </c>
      <c r="W178" s="42" t="s">
        <v>124</v>
      </c>
      <c r="X178" s="42" t="s">
        <v>124</v>
      </c>
      <c r="Y178" s="43" t="str">
        <f>IF(CCUS_Projects_Database!$R178&lt;&gt;"",HYPERLINK(CCUS_Projects_Database!$R178,"Link 1"),"")</f>
        <v>Link 1</v>
      </c>
      <c r="Z178" s="43" t="str">
        <f>IF(CCUS_Projects_Database!$S178&lt;&gt;"",HYPERLINK(CCUS_Projects_Database!$S178,"Link 2"),"")</f>
        <v>Link 2</v>
      </c>
      <c r="AA178" s="43" t="str">
        <f>IF(CCUS_Projects_Database!$T178&lt;&gt;"",HYPERLINK(CCUS_Projects_Database!$T178,"Link 3"),"")</f>
        <v/>
      </c>
      <c r="AB178" s="43" t="str">
        <f>IF(CCUS_Projects_Database!$U178&lt;&gt;"",HYPERLINK(CCUS_Projects_Database!$U178,"Link 4"),"")</f>
        <v/>
      </c>
      <c r="AC178" s="43" t="str">
        <f>IF(CCUS_Projects_Database!$V178&lt;&gt;"",HYPERLINK(CCUS_Projects_Database!$V178,"Link 5"),"")</f>
        <v/>
      </c>
      <c r="AD178" s="43" t="str">
        <f>IF(CCUS_Projects_Database!$W178&lt;&gt;"",HYPERLINK(CCUS_Projects_Database!$W178,"Link 6"),"")</f>
        <v/>
      </c>
      <c r="AE178" s="43" t="str">
        <f>IF(CCUS_Projects_Database!$X178&lt;&gt;"",HYPERLINK(CCUS_Projects_Database!$X178,"Link 7"),"")</f>
        <v/>
      </c>
    </row>
    <row r="179" ht="15.75" customHeight="1">
      <c r="A179" s="44" t="s">
        <v>781</v>
      </c>
      <c r="B179" s="45">
        <v>458.0</v>
      </c>
      <c r="C179" s="45" t="s">
        <v>141</v>
      </c>
      <c r="D179" s="46" t="s">
        <v>782</v>
      </c>
      <c r="E179" s="45" t="s">
        <v>8</v>
      </c>
      <c r="F179" s="45">
        <v>2020.0</v>
      </c>
      <c r="G179" s="45">
        <v>2021.0</v>
      </c>
      <c r="H179" s="45">
        <v>2025.0</v>
      </c>
      <c r="I179" s="45" t="s">
        <v>124</v>
      </c>
      <c r="J179" s="45" t="s">
        <v>30</v>
      </c>
      <c r="K179" s="47" t="s">
        <v>124</v>
      </c>
      <c r="L179" s="52">
        <v>2.0</v>
      </c>
      <c r="M179" s="47">
        <v>2.0</v>
      </c>
      <c r="N179" s="45" t="s">
        <v>136</v>
      </c>
      <c r="O179" s="48" t="s">
        <v>71</v>
      </c>
      <c r="P179" s="49" t="s">
        <v>783</v>
      </c>
      <c r="Q179" s="45" t="s">
        <v>143</v>
      </c>
      <c r="R179" s="49" t="s">
        <v>784</v>
      </c>
      <c r="S179" s="49" t="s">
        <v>785</v>
      </c>
      <c r="T179" s="49" t="s">
        <v>786</v>
      </c>
      <c r="U179" s="49" t="s">
        <v>787</v>
      </c>
      <c r="V179" s="49" t="s">
        <v>788</v>
      </c>
      <c r="W179" s="49" t="s">
        <v>124</v>
      </c>
      <c r="X179" s="49" t="s">
        <v>124</v>
      </c>
      <c r="Y179" s="50" t="str">
        <f>IF(CCUS_Projects_Database!$R179&lt;&gt;"",HYPERLINK(CCUS_Projects_Database!$R179,"Link 1"),"")</f>
        <v>Link 1</v>
      </c>
      <c r="Z179" s="50" t="str">
        <f>IF(CCUS_Projects_Database!$S179&lt;&gt;"",HYPERLINK(CCUS_Projects_Database!$S179,"Link 2"),"")</f>
        <v>Link 2</v>
      </c>
      <c r="AA179" s="50" t="str">
        <f>IF(CCUS_Projects_Database!$T179&lt;&gt;"",HYPERLINK(CCUS_Projects_Database!$T179,"Link 3"),"")</f>
        <v>Link 3</v>
      </c>
      <c r="AB179" s="50" t="str">
        <f>IF(CCUS_Projects_Database!$U179&lt;&gt;"",HYPERLINK(CCUS_Projects_Database!$U179,"Link 4"),"")</f>
        <v>Link 4</v>
      </c>
      <c r="AC179" s="50" t="str">
        <f>IF(CCUS_Projects_Database!$V179&lt;&gt;"",HYPERLINK(CCUS_Projects_Database!$V179,"Link 5"),"")</f>
        <v>Link 5</v>
      </c>
      <c r="AD179" s="50" t="str">
        <f>IF(CCUS_Projects_Database!$W179&lt;&gt;"",HYPERLINK(CCUS_Projects_Database!$W179,"Link 6"),"")</f>
        <v/>
      </c>
      <c r="AE179" s="50" t="str">
        <f>IF(CCUS_Projects_Database!$X179&lt;&gt;"",HYPERLINK(CCUS_Projects_Database!$X179,"Link 7"),"")</f>
        <v/>
      </c>
    </row>
    <row r="180" ht="15.75" customHeight="1">
      <c r="A180" s="37" t="s">
        <v>789</v>
      </c>
      <c r="B180" s="38">
        <v>459.0</v>
      </c>
      <c r="C180" s="38" t="s">
        <v>141</v>
      </c>
      <c r="D180" s="39" t="s">
        <v>790</v>
      </c>
      <c r="E180" s="38" t="s">
        <v>8</v>
      </c>
      <c r="F180" s="38">
        <v>2020.0</v>
      </c>
      <c r="G180" s="38" t="s">
        <v>124</v>
      </c>
      <c r="H180" s="38" t="s">
        <v>124</v>
      </c>
      <c r="I180" s="38" t="s">
        <v>124</v>
      </c>
      <c r="J180" s="38" t="s">
        <v>28</v>
      </c>
      <c r="K180" s="40" t="s">
        <v>124</v>
      </c>
      <c r="L180" s="51">
        <v>0.5</v>
      </c>
      <c r="M180" s="40">
        <v>0.5</v>
      </c>
      <c r="N180" s="38" t="s">
        <v>136</v>
      </c>
      <c r="O180" s="41" t="s">
        <v>71</v>
      </c>
      <c r="P180" s="42" t="s">
        <v>124</v>
      </c>
      <c r="Q180" s="38" t="s">
        <v>143</v>
      </c>
      <c r="R180" s="42" t="s">
        <v>784</v>
      </c>
      <c r="S180" s="42" t="s">
        <v>785</v>
      </c>
      <c r="T180" s="42" t="s">
        <v>786</v>
      </c>
      <c r="U180" s="42" t="s">
        <v>124</v>
      </c>
      <c r="V180" s="42" t="s">
        <v>124</v>
      </c>
      <c r="W180" s="42" t="s">
        <v>124</v>
      </c>
      <c r="X180" s="42" t="s">
        <v>124</v>
      </c>
      <c r="Y180" s="43" t="str">
        <f>IF(CCUS_Projects_Database!$R180&lt;&gt;"",HYPERLINK(CCUS_Projects_Database!$R180,"Link 1"),"")</f>
        <v>Link 1</v>
      </c>
      <c r="Z180" s="43" t="str">
        <f>IF(CCUS_Projects_Database!$S180&lt;&gt;"",HYPERLINK(CCUS_Projects_Database!$S180,"Link 2"),"")</f>
        <v>Link 2</v>
      </c>
      <c r="AA180" s="43" t="str">
        <f>IF(CCUS_Projects_Database!$T180&lt;&gt;"",HYPERLINK(CCUS_Projects_Database!$T180,"Link 3"),"")</f>
        <v>Link 3</v>
      </c>
      <c r="AB180" s="43" t="str">
        <f>IF(CCUS_Projects_Database!$U180&lt;&gt;"",HYPERLINK(CCUS_Projects_Database!$U180,"Link 4"),"")</f>
        <v/>
      </c>
      <c r="AC180" s="43" t="str">
        <f>IF(CCUS_Projects_Database!$V180&lt;&gt;"",HYPERLINK(CCUS_Projects_Database!$V180,"Link 5"),"")</f>
        <v/>
      </c>
      <c r="AD180" s="43" t="str">
        <f>IF(CCUS_Projects_Database!$W180&lt;&gt;"",HYPERLINK(CCUS_Projects_Database!$W180,"Link 6"),"")</f>
        <v/>
      </c>
      <c r="AE180" s="43" t="str">
        <f>IF(CCUS_Projects_Database!$X180&lt;&gt;"",HYPERLINK(CCUS_Projects_Database!$X180,"Link 7"),"")</f>
        <v/>
      </c>
    </row>
    <row r="181" ht="15.75" customHeight="1">
      <c r="A181" s="44" t="s">
        <v>791</v>
      </c>
      <c r="B181" s="45">
        <v>83.0</v>
      </c>
      <c r="C181" s="45" t="s">
        <v>224</v>
      </c>
      <c r="D181" s="46" t="s">
        <v>792</v>
      </c>
      <c r="E181" s="45" t="s">
        <v>6</v>
      </c>
      <c r="F181" s="45">
        <v>2006.0</v>
      </c>
      <c r="G181" s="45">
        <v>2015.0</v>
      </c>
      <c r="H181" s="45">
        <v>2018.0</v>
      </c>
      <c r="I181" s="45" t="s">
        <v>124</v>
      </c>
      <c r="J181" s="45" t="s">
        <v>32</v>
      </c>
      <c r="K181" s="47" t="s">
        <v>124</v>
      </c>
      <c r="L181" s="52">
        <v>0.515</v>
      </c>
      <c r="M181" s="47">
        <v>0.6</v>
      </c>
      <c r="N181" s="45" t="s">
        <v>48</v>
      </c>
      <c r="O181" s="48" t="s">
        <v>73</v>
      </c>
      <c r="P181" s="49" t="s">
        <v>124</v>
      </c>
      <c r="Q181" s="45" t="s">
        <v>148</v>
      </c>
      <c r="R181" s="49" t="s">
        <v>793</v>
      </c>
      <c r="S181" s="49" t="s">
        <v>794</v>
      </c>
      <c r="T181" s="49" t="s">
        <v>795</v>
      </c>
      <c r="U181" s="49" t="s">
        <v>124</v>
      </c>
      <c r="V181" s="49" t="s">
        <v>124</v>
      </c>
      <c r="W181" s="49" t="s">
        <v>124</v>
      </c>
      <c r="X181" s="49" t="s">
        <v>124</v>
      </c>
      <c r="Y181" s="50" t="str">
        <f>IF(CCUS_Projects_Database!$R181&lt;&gt;"",HYPERLINK(CCUS_Projects_Database!$R181,"Link 1"),"")</f>
        <v>Link 1</v>
      </c>
      <c r="Z181" s="50" t="str">
        <f>IF(CCUS_Projects_Database!$S181&lt;&gt;"",HYPERLINK(CCUS_Projects_Database!$S181,"Link 2"),"")</f>
        <v>Link 2</v>
      </c>
      <c r="AA181" s="50" t="str">
        <f>IF(CCUS_Projects_Database!$T181&lt;&gt;"",HYPERLINK(CCUS_Projects_Database!$T181,"Link 3"),"")</f>
        <v>Link 3</v>
      </c>
      <c r="AB181" s="50" t="str">
        <f>IF(CCUS_Projects_Database!$U181&lt;&gt;"",HYPERLINK(CCUS_Projects_Database!$U181,"Link 4"),"")</f>
        <v/>
      </c>
      <c r="AC181" s="50" t="str">
        <f>IF(CCUS_Projects_Database!$V181&lt;&gt;"",HYPERLINK(CCUS_Projects_Database!$V181,"Link 5"),"")</f>
        <v/>
      </c>
      <c r="AD181" s="50" t="str">
        <f>IF(CCUS_Projects_Database!$W181&lt;&gt;"",HYPERLINK(CCUS_Projects_Database!$W181,"Link 6"),"")</f>
        <v/>
      </c>
      <c r="AE181" s="50" t="str">
        <f>IF(CCUS_Projects_Database!$X181&lt;&gt;"",HYPERLINK(CCUS_Projects_Database!$X181,"Link 7"),"")</f>
        <v/>
      </c>
    </row>
    <row r="182" ht="15.75" customHeight="1">
      <c r="A182" s="37" t="s">
        <v>796</v>
      </c>
      <c r="B182" s="38">
        <v>586.0</v>
      </c>
      <c r="C182" s="38" t="s">
        <v>797</v>
      </c>
      <c r="D182" s="39" t="s">
        <v>798</v>
      </c>
      <c r="E182" s="38" t="s">
        <v>10</v>
      </c>
      <c r="F182" s="38">
        <v>2022.0</v>
      </c>
      <c r="G182" s="38" t="s">
        <v>124</v>
      </c>
      <c r="H182" s="38" t="s">
        <v>124</v>
      </c>
      <c r="I182" s="38" t="s">
        <v>124</v>
      </c>
      <c r="J182" s="38" t="s">
        <v>28</v>
      </c>
      <c r="K182" s="40" t="s">
        <v>124</v>
      </c>
      <c r="L182" s="51">
        <v>2.5</v>
      </c>
      <c r="M182" s="40">
        <v>2.5</v>
      </c>
      <c r="N182" s="38" t="s">
        <v>10</v>
      </c>
      <c r="O182" s="41" t="s">
        <v>71</v>
      </c>
      <c r="P182" s="42" t="s">
        <v>796</v>
      </c>
      <c r="Q182" s="38" t="s">
        <v>148</v>
      </c>
      <c r="R182" s="42" t="s">
        <v>799</v>
      </c>
      <c r="S182" s="42" t="s">
        <v>124</v>
      </c>
      <c r="T182" s="42" t="s">
        <v>124</v>
      </c>
      <c r="U182" s="42" t="s">
        <v>124</v>
      </c>
      <c r="V182" s="42" t="s">
        <v>124</v>
      </c>
      <c r="W182" s="42" t="s">
        <v>124</v>
      </c>
      <c r="X182" s="42" t="s">
        <v>124</v>
      </c>
      <c r="Y182" s="43" t="str">
        <f>IF(CCUS_Projects_Database!$R182&lt;&gt;"",HYPERLINK(CCUS_Projects_Database!$R182,"Link 1"),"")</f>
        <v>Link 1</v>
      </c>
      <c r="Z182" s="43" t="str">
        <f>IF(CCUS_Projects_Database!$S182&lt;&gt;"",HYPERLINK(CCUS_Projects_Database!$S182,"Link 2"),"")</f>
        <v/>
      </c>
      <c r="AA182" s="43" t="str">
        <f>IF(CCUS_Projects_Database!$T182&lt;&gt;"",HYPERLINK(CCUS_Projects_Database!$T182,"Link 3"),"")</f>
        <v/>
      </c>
      <c r="AB182" s="43" t="str">
        <f>IF(CCUS_Projects_Database!$U182&lt;&gt;"",HYPERLINK(CCUS_Projects_Database!$U182,"Link 4"),"")</f>
        <v/>
      </c>
      <c r="AC182" s="43" t="str">
        <f>IF(CCUS_Projects_Database!$V182&lt;&gt;"",HYPERLINK(CCUS_Projects_Database!$V182,"Link 5"),"")</f>
        <v/>
      </c>
      <c r="AD182" s="43" t="str">
        <f>IF(CCUS_Projects_Database!$W182&lt;&gt;"",HYPERLINK(CCUS_Projects_Database!$W182,"Link 6"),"")</f>
        <v/>
      </c>
      <c r="AE182" s="43" t="str">
        <f>IF(CCUS_Projects_Database!$X182&lt;&gt;"",HYPERLINK(CCUS_Projects_Database!$X182,"Link 7"),"")</f>
        <v/>
      </c>
    </row>
    <row r="183" ht="15.75" customHeight="1">
      <c r="A183" s="44" t="s">
        <v>800</v>
      </c>
      <c r="B183" s="45">
        <v>86.0</v>
      </c>
      <c r="C183" s="45" t="s">
        <v>224</v>
      </c>
      <c r="D183" s="46" t="s">
        <v>801</v>
      </c>
      <c r="E183" s="45" t="s">
        <v>6</v>
      </c>
      <c r="F183" s="45">
        <v>2018.0</v>
      </c>
      <c r="G183" s="45">
        <v>2019.0</v>
      </c>
      <c r="H183" s="45">
        <v>2021.0</v>
      </c>
      <c r="I183" s="45" t="s">
        <v>124</v>
      </c>
      <c r="J183" s="45" t="s">
        <v>32</v>
      </c>
      <c r="K183" s="47" t="s">
        <v>124</v>
      </c>
      <c r="L183" s="52">
        <v>0.15</v>
      </c>
      <c r="M183" s="47">
        <v>0.15</v>
      </c>
      <c r="N183" s="45" t="s">
        <v>46</v>
      </c>
      <c r="O183" s="48" t="s">
        <v>432</v>
      </c>
      <c r="P183" s="49" t="s">
        <v>124</v>
      </c>
      <c r="Q183" s="45" t="s">
        <v>148</v>
      </c>
      <c r="R183" s="49" t="s">
        <v>802</v>
      </c>
      <c r="S183" s="49" t="s">
        <v>803</v>
      </c>
      <c r="T183" s="49" t="s">
        <v>804</v>
      </c>
      <c r="U183" s="49" t="s">
        <v>805</v>
      </c>
      <c r="V183" s="49" t="s">
        <v>124</v>
      </c>
      <c r="W183" s="49" t="s">
        <v>124</v>
      </c>
      <c r="X183" s="49" t="s">
        <v>124</v>
      </c>
      <c r="Y183" s="50" t="str">
        <f>IF(CCUS_Projects_Database!$R183&lt;&gt;"",HYPERLINK(CCUS_Projects_Database!$R183,"Link 1"),"")</f>
        <v>Link 1</v>
      </c>
      <c r="Z183" s="50" t="str">
        <f>IF(CCUS_Projects_Database!$S183&lt;&gt;"",HYPERLINK(CCUS_Projects_Database!$S183,"Link 2"),"")</f>
        <v>Link 2</v>
      </c>
      <c r="AA183" s="50" t="str">
        <f>IF(CCUS_Projects_Database!$T183&lt;&gt;"",HYPERLINK(CCUS_Projects_Database!$T183,"Link 3"),"")</f>
        <v>Link 3</v>
      </c>
      <c r="AB183" s="50" t="str">
        <f>IF(CCUS_Projects_Database!$U183&lt;&gt;"",HYPERLINK(CCUS_Projects_Database!$U183,"Link 4"),"")</f>
        <v>Link 4</v>
      </c>
      <c r="AC183" s="50" t="str">
        <f>IF(CCUS_Projects_Database!$V183&lt;&gt;"",HYPERLINK(CCUS_Projects_Database!$V183,"Link 5"),"")</f>
        <v/>
      </c>
      <c r="AD183" s="50" t="str">
        <f>IF(CCUS_Projects_Database!$W183&lt;&gt;"",HYPERLINK(CCUS_Projects_Database!$W183,"Link 6"),"")</f>
        <v/>
      </c>
      <c r="AE183" s="50" t="str">
        <f>IF(CCUS_Projects_Database!$X183&lt;&gt;"",HYPERLINK(CCUS_Projects_Database!$X183,"Link 7"),"")</f>
        <v/>
      </c>
    </row>
    <row r="184" ht="15.75" customHeight="1">
      <c r="A184" s="37" t="s">
        <v>806</v>
      </c>
      <c r="B184" s="38">
        <v>85.0</v>
      </c>
      <c r="C184" s="38" t="s">
        <v>224</v>
      </c>
      <c r="D184" s="39" t="s">
        <v>801</v>
      </c>
      <c r="E184" s="38" t="s">
        <v>6</v>
      </c>
      <c r="F184" s="38">
        <v>2021.0</v>
      </c>
      <c r="G184" s="38">
        <v>2021.0</v>
      </c>
      <c r="H184" s="38">
        <v>2023.0</v>
      </c>
      <c r="I184" s="38" t="s">
        <v>124</v>
      </c>
      <c r="J184" s="38" t="s">
        <v>32</v>
      </c>
      <c r="K184" s="40" t="s">
        <v>124</v>
      </c>
      <c r="L184" s="51">
        <v>0.5</v>
      </c>
      <c r="M184" s="40">
        <v>0.5</v>
      </c>
      <c r="N184" s="38" t="s">
        <v>46</v>
      </c>
      <c r="O184" s="41" t="s">
        <v>432</v>
      </c>
      <c r="P184" s="42" t="s">
        <v>124</v>
      </c>
      <c r="Q184" s="38" t="s">
        <v>148</v>
      </c>
      <c r="R184" s="42" t="s">
        <v>802</v>
      </c>
      <c r="S184" s="42" t="s">
        <v>803</v>
      </c>
      <c r="T184" s="42" t="s">
        <v>807</v>
      </c>
      <c r="U184" s="42" t="s">
        <v>808</v>
      </c>
      <c r="V184" s="42" t="s">
        <v>809</v>
      </c>
      <c r="W184" s="42" t="s">
        <v>124</v>
      </c>
      <c r="X184" s="42" t="s">
        <v>124</v>
      </c>
      <c r="Y184" s="43" t="str">
        <f>IF(CCUS_Projects_Database!$R184&lt;&gt;"",HYPERLINK(CCUS_Projects_Database!$R184,"Link 1"),"")</f>
        <v>Link 1</v>
      </c>
      <c r="Z184" s="43" t="str">
        <f>IF(CCUS_Projects_Database!$S184&lt;&gt;"",HYPERLINK(CCUS_Projects_Database!$S184,"Link 2"),"")</f>
        <v>Link 2</v>
      </c>
      <c r="AA184" s="43" t="str">
        <f>IF(CCUS_Projects_Database!$T184&lt;&gt;"",HYPERLINK(CCUS_Projects_Database!$T184,"Link 3"),"")</f>
        <v>Link 3</v>
      </c>
      <c r="AB184" s="43" t="str">
        <f>IF(CCUS_Projects_Database!$U184&lt;&gt;"",HYPERLINK(CCUS_Projects_Database!$U184,"Link 4"),"")</f>
        <v>Link 4</v>
      </c>
      <c r="AC184" s="43" t="str">
        <f>IF(CCUS_Projects_Database!$V184&lt;&gt;"",HYPERLINK(CCUS_Projects_Database!$V184,"Link 5"),"")</f>
        <v>Link 5</v>
      </c>
      <c r="AD184" s="43" t="str">
        <f>IF(CCUS_Projects_Database!$W184&lt;&gt;"",HYPERLINK(CCUS_Projects_Database!$W184,"Link 6"),"")</f>
        <v/>
      </c>
      <c r="AE184" s="43" t="str">
        <f>IF(CCUS_Projects_Database!$X184&lt;&gt;"",HYPERLINK(CCUS_Projects_Database!$X184,"Link 7"),"")</f>
        <v/>
      </c>
    </row>
    <row r="185" ht="15.75" customHeight="1">
      <c r="A185" s="44" t="s">
        <v>810</v>
      </c>
      <c r="B185" s="45">
        <v>87.0</v>
      </c>
      <c r="C185" s="45" t="s">
        <v>257</v>
      </c>
      <c r="D185" s="46" t="s">
        <v>811</v>
      </c>
      <c r="E185" s="45" t="s">
        <v>10</v>
      </c>
      <c r="F185" s="45">
        <v>2020.0</v>
      </c>
      <c r="G185" s="45" t="s">
        <v>124</v>
      </c>
      <c r="H185" s="45" t="s">
        <v>124</v>
      </c>
      <c r="I185" s="45" t="s">
        <v>124</v>
      </c>
      <c r="J185" s="45" t="s">
        <v>28</v>
      </c>
      <c r="K185" s="47" t="s">
        <v>124</v>
      </c>
      <c r="L185" s="52">
        <v>1.5</v>
      </c>
      <c r="M185" s="47">
        <v>1.5</v>
      </c>
      <c r="N185" s="45" t="s">
        <v>10</v>
      </c>
      <c r="O185" s="48" t="s">
        <v>71</v>
      </c>
      <c r="P185" s="49" t="s">
        <v>812</v>
      </c>
      <c r="Q185" s="45" t="s">
        <v>125</v>
      </c>
      <c r="R185" s="49" t="s">
        <v>813</v>
      </c>
      <c r="S185" s="49" t="s">
        <v>814</v>
      </c>
      <c r="T185" s="49" t="s">
        <v>124</v>
      </c>
      <c r="U185" s="49" t="s">
        <v>124</v>
      </c>
      <c r="V185" s="49" t="s">
        <v>124</v>
      </c>
      <c r="W185" s="49" t="s">
        <v>124</v>
      </c>
      <c r="X185" s="49" t="s">
        <v>124</v>
      </c>
      <c r="Y185" s="50" t="str">
        <f>IF(CCUS_Projects_Database!$R185&lt;&gt;"",HYPERLINK(CCUS_Projects_Database!$R185,"Link 1"),"")</f>
        <v>Link 1</v>
      </c>
      <c r="Z185" s="50" t="str">
        <f>IF(CCUS_Projects_Database!$S185&lt;&gt;"",HYPERLINK(CCUS_Projects_Database!$S185,"Link 2"),"")</f>
        <v>Link 2</v>
      </c>
      <c r="AA185" s="50" t="str">
        <f>IF(CCUS_Projects_Database!$T185&lt;&gt;"",HYPERLINK(CCUS_Projects_Database!$T185,"Link 3"),"")</f>
        <v/>
      </c>
      <c r="AB185" s="50" t="str">
        <f>IF(CCUS_Projects_Database!$U185&lt;&gt;"",HYPERLINK(CCUS_Projects_Database!$U185,"Link 4"),"")</f>
        <v/>
      </c>
      <c r="AC185" s="50" t="str">
        <f>IF(CCUS_Projects_Database!$V185&lt;&gt;"",HYPERLINK(CCUS_Projects_Database!$V185,"Link 5"),"")</f>
        <v/>
      </c>
      <c r="AD185" s="50" t="str">
        <f>IF(CCUS_Projects_Database!$W185&lt;&gt;"",HYPERLINK(CCUS_Projects_Database!$W185,"Link 6"),"")</f>
        <v/>
      </c>
      <c r="AE185" s="50" t="str">
        <f>IF(CCUS_Projects_Database!$X185&lt;&gt;"",HYPERLINK(CCUS_Projects_Database!$X185,"Link 7"),"")</f>
        <v/>
      </c>
    </row>
    <row r="186" ht="15.75" customHeight="1">
      <c r="A186" s="37" t="s">
        <v>815</v>
      </c>
      <c r="B186" s="38">
        <v>1118.0</v>
      </c>
      <c r="C186" s="38" t="s">
        <v>239</v>
      </c>
      <c r="D186" s="39" t="s">
        <v>816</v>
      </c>
      <c r="E186" s="38" t="s">
        <v>8</v>
      </c>
      <c r="F186" s="38">
        <v>2021.0</v>
      </c>
      <c r="G186" s="38" t="s">
        <v>124</v>
      </c>
      <c r="H186" s="38" t="s">
        <v>124</v>
      </c>
      <c r="I186" s="38" t="s">
        <v>124</v>
      </c>
      <c r="J186" s="38" t="s">
        <v>28</v>
      </c>
      <c r="K186" s="40" t="s">
        <v>124</v>
      </c>
      <c r="L186" s="40"/>
      <c r="M186" s="40" t="s">
        <v>124</v>
      </c>
      <c r="N186" s="38" t="s">
        <v>46</v>
      </c>
      <c r="O186" s="41" t="s">
        <v>77</v>
      </c>
      <c r="P186" s="42" t="s">
        <v>124</v>
      </c>
      <c r="Q186" s="38" t="s">
        <v>143</v>
      </c>
      <c r="R186" s="42" t="s">
        <v>817</v>
      </c>
      <c r="S186" s="42" t="s">
        <v>124</v>
      </c>
      <c r="T186" s="42" t="s">
        <v>124</v>
      </c>
      <c r="U186" s="42" t="s">
        <v>124</v>
      </c>
      <c r="V186" s="42" t="s">
        <v>124</v>
      </c>
      <c r="W186" s="42" t="s">
        <v>124</v>
      </c>
      <c r="X186" s="42" t="s">
        <v>124</v>
      </c>
      <c r="Y186" s="43" t="str">
        <f>IF(CCUS_Projects_Database!$R186&lt;&gt;"",HYPERLINK(CCUS_Projects_Database!$R186,"Link 1"),"")</f>
        <v>Link 1</v>
      </c>
      <c r="Z186" s="43" t="str">
        <f>IF(CCUS_Projects_Database!$S186&lt;&gt;"",HYPERLINK(CCUS_Projects_Database!$S186,"Link 2"),"")</f>
        <v/>
      </c>
      <c r="AA186" s="43" t="str">
        <f>IF(CCUS_Projects_Database!$T186&lt;&gt;"",HYPERLINK(CCUS_Projects_Database!$T186,"Link 3"),"")</f>
        <v/>
      </c>
      <c r="AB186" s="43" t="str">
        <f>IF(CCUS_Projects_Database!$U186&lt;&gt;"",HYPERLINK(CCUS_Projects_Database!$U186,"Link 4"),"")</f>
        <v/>
      </c>
      <c r="AC186" s="43" t="str">
        <f>IF(CCUS_Projects_Database!$V186&lt;&gt;"",HYPERLINK(CCUS_Projects_Database!$V186,"Link 5"),"")</f>
        <v/>
      </c>
      <c r="AD186" s="43" t="str">
        <f>IF(CCUS_Projects_Database!$W186&lt;&gt;"",HYPERLINK(CCUS_Projects_Database!$W186,"Link 6"),"")</f>
        <v/>
      </c>
      <c r="AE186" s="43" t="str">
        <f>IF(CCUS_Projects_Database!$X186&lt;&gt;"",HYPERLINK(CCUS_Projects_Database!$X186,"Link 7"),"")</f>
        <v/>
      </c>
    </row>
    <row r="187" ht="15.75" customHeight="1">
      <c r="A187" s="44" t="s">
        <v>818</v>
      </c>
      <c r="B187" s="45">
        <v>1103.0</v>
      </c>
      <c r="C187" s="45" t="s">
        <v>181</v>
      </c>
      <c r="D187" s="46" t="s">
        <v>819</v>
      </c>
      <c r="E187" s="45" t="s">
        <v>14</v>
      </c>
      <c r="F187" s="45">
        <v>2021.0</v>
      </c>
      <c r="G187" s="45" t="s">
        <v>124</v>
      </c>
      <c r="H187" s="45">
        <v>2026.0</v>
      </c>
      <c r="I187" s="45" t="s">
        <v>124</v>
      </c>
      <c r="J187" s="45" t="s">
        <v>28</v>
      </c>
      <c r="K187" s="47" t="s">
        <v>124</v>
      </c>
      <c r="L187" s="52">
        <v>1.0</v>
      </c>
      <c r="M187" s="47">
        <v>1.0</v>
      </c>
      <c r="N187" s="45" t="s">
        <v>14</v>
      </c>
      <c r="O187" s="48" t="s">
        <v>71</v>
      </c>
      <c r="P187" s="49" t="s">
        <v>818</v>
      </c>
      <c r="Q187" s="45" t="s">
        <v>184</v>
      </c>
      <c r="R187" s="49" t="s">
        <v>124</v>
      </c>
      <c r="S187" s="49" t="s">
        <v>124</v>
      </c>
      <c r="T187" s="49" t="s">
        <v>124</v>
      </c>
      <c r="U187" s="49" t="s">
        <v>124</v>
      </c>
      <c r="V187" s="49" t="s">
        <v>124</v>
      </c>
      <c r="W187" s="49" t="s">
        <v>124</v>
      </c>
      <c r="X187" s="49" t="s">
        <v>124</v>
      </c>
      <c r="Y187" s="50" t="str">
        <f>IF(CCUS_Projects_Database!$R187&lt;&gt;"",HYPERLINK(CCUS_Projects_Database!$R187,"Link 1"),"")</f>
        <v/>
      </c>
      <c r="Z187" s="50" t="str">
        <f>IF(CCUS_Projects_Database!$S187&lt;&gt;"",HYPERLINK(CCUS_Projects_Database!$S187,"Link 2"),"")</f>
        <v/>
      </c>
      <c r="AA187" s="50" t="str">
        <f>IF(CCUS_Projects_Database!$T187&lt;&gt;"",HYPERLINK(CCUS_Projects_Database!$T187,"Link 3"),"")</f>
        <v/>
      </c>
      <c r="AB187" s="50" t="str">
        <f>IF(CCUS_Projects_Database!$U187&lt;&gt;"",HYPERLINK(CCUS_Projects_Database!$U187,"Link 4"),"")</f>
        <v/>
      </c>
      <c r="AC187" s="50" t="str">
        <f>IF(CCUS_Projects_Database!$V187&lt;&gt;"",HYPERLINK(CCUS_Projects_Database!$V187,"Link 5"),"")</f>
        <v/>
      </c>
      <c r="AD187" s="50" t="str">
        <f>IF(CCUS_Projects_Database!$W187&lt;&gt;"",HYPERLINK(CCUS_Projects_Database!$W187,"Link 6"),"")</f>
        <v/>
      </c>
      <c r="AE187" s="50" t="str">
        <f>IF(CCUS_Projects_Database!$X187&lt;&gt;"",HYPERLINK(CCUS_Projects_Database!$X187,"Link 7"),"")</f>
        <v/>
      </c>
    </row>
    <row r="188" ht="15.75" customHeight="1">
      <c r="A188" s="37" t="s">
        <v>820</v>
      </c>
      <c r="B188" s="38">
        <v>90.0</v>
      </c>
      <c r="C188" s="38" t="s">
        <v>141</v>
      </c>
      <c r="D188" s="39" t="s">
        <v>821</v>
      </c>
      <c r="E188" s="38" t="s">
        <v>6</v>
      </c>
      <c r="F188" s="38">
        <v>2022.0</v>
      </c>
      <c r="G188" s="38" t="s">
        <v>124</v>
      </c>
      <c r="H188" s="38" t="s">
        <v>124</v>
      </c>
      <c r="I188" s="38" t="s">
        <v>124</v>
      </c>
      <c r="J188" s="38" t="s">
        <v>28</v>
      </c>
      <c r="K188" s="40" t="s">
        <v>124</v>
      </c>
      <c r="L188" s="51">
        <v>0.005</v>
      </c>
      <c r="M188" s="40">
        <v>0.005</v>
      </c>
      <c r="N188" s="38" t="s">
        <v>64</v>
      </c>
      <c r="O188" s="41" t="s">
        <v>71</v>
      </c>
      <c r="P188" s="42" t="s">
        <v>124</v>
      </c>
      <c r="Q188" s="38" t="s">
        <v>143</v>
      </c>
      <c r="R188" s="42" t="s">
        <v>234</v>
      </c>
      <c r="S188" s="42" t="s">
        <v>822</v>
      </c>
      <c r="T188" s="42" t="s">
        <v>124</v>
      </c>
      <c r="U188" s="42" t="s">
        <v>124</v>
      </c>
      <c r="V188" s="42" t="s">
        <v>124</v>
      </c>
      <c r="W188" s="42" t="s">
        <v>124</v>
      </c>
      <c r="X188" s="42" t="s">
        <v>124</v>
      </c>
      <c r="Y188" s="43" t="str">
        <f>IF(CCUS_Projects_Database!$R188&lt;&gt;"",HYPERLINK(CCUS_Projects_Database!$R188,"Link 1"),"")</f>
        <v>Link 1</v>
      </c>
      <c r="Z188" s="43" t="str">
        <f>IF(CCUS_Projects_Database!$S188&lt;&gt;"",HYPERLINK(CCUS_Projects_Database!$S188,"Link 2"),"")</f>
        <v>Link 2</v>
      </c>
      <c r="AA188" s="43" t="str">
        <f>IF(CCUS_Projects_Database!$T188&lt;&gt;"",HYPERLINK(CCUS_Projects_Database!$T188,"Link 3"),"")</f>
        <v/>
      </c>
      <c r="AB188" s="43" t="str">
        <f>IF(CCUS_Projects_Database!$U188&lt;&gt;"",HYPERLINK(CCUS_Projects_Database!$U188,"Link 4"),"")</f>
        <v/>
      </c>
      <c r="AC188" s="43" t="str">
        <f>IF(CCUS_Projects_Database!$V188&lt;&gt;"",HYPERLINK(CCUS_Projects_Database!$V188,"Link 5"),"")</f>
        <v/>
      </c>
      <c r="AD188" s="43" t="str">
        <f>IF(CCUS_Projects_Database!$W188&lt;&gt;"",HYPERLINK(CCUS_Projects_Database!$W188,"Link 6"),"")</f>
        <v/>
      </c>
      <c r="AE188" s="43" t="str">
        <f>IF(CCUS_Projects_Database!$X188&lt;&gt;"",HYPERLINK(CCUS_Projects_Database!$X188,"Link 7"),"")</f>
        <v/>
      </c>
    </row>
    <row r="189" ht="15.75" customHeight="1">
      <c r="A189" s="44" t="s">
        <v>823</v>
      </c>
      <c r="B189" s="45">
        <v>441.0</v>
      </c>
      <c r="C189" s="45" t="s">
        <v>824</v>
      </c>
      <c r="D189" s="46" t="s">
        <v>825</v>
      </c>
      <c r="E189" s="45" t="s">
        <v>6</v>
      </c>
      <c r="F189" s="45">
        <v>2022.0</v>
      </c>
      <c r="G189" s="45">
        <v>2022.0</v>
      </c>
      <c r="H189" s="45">
        <v>2024.0</v>
      </c>
      <c r="I189" s="45" t="s">
        <v>124</v>
      </c>
      <c r="J189" s="45" t="s">
        <v>30</v>
      </c>
      <c r="K189" s="47" t="s">
        <v>124</v>
      </c>
      <c r="L189" s="52">
        <v>0.035</v>
      </c>
      <c r="M189" s="47">
        <v>0.036</v>
      </c>
      <c r="N189" s="45" t="s">
        <v>64</v>
      </c>
      <c r="O189" s="48" t="s">
        <v>71</v>
      </c>
      <c r="P189" s="49" t="s">
        <v>124</v>
      </c>
      <c r="Q189" s="45" t="s">
        <v>125</v>
      </c>
      <c r="R189" s="49" t="s">
        <v>826</v>
      </c>
      <c r="S189" s="49" t="s">
        <v>827</v>
      </c>
      <c r="T189" s="49" t="s">
        <v>124</v>
      </c>
      <c r="U189" s="49" t="s">
        <v>124</v>
      </c>
      <c r="V189" s="49" t="s">
        <v>124</v>
      </c>
      <c r="W189" s="49" t="s">
        <v>124</v>
      </c>
      <c r="X189" s="49" t="s">
        <v>124</v>
      </c>
      <c r="Y189" s="50" t="str">
        <f>IF(CCUS_Projects_Database!$R189&lt;&gt;"",HYPERLINK(CCUS_Projects_Database!$R189,"Link 1"),"")</f>
        <v>Link 1</v>
      </c>
      <c r="Z189" s="50" t="str">
        <f>IF(CCUS_Projects_Database!$S189&lt;&gt;"",HYPERLINK(CCUS_Projects_Database!$S189,"Link 2"),"")</f>
        <v>Link 2</v>
      </c>
      <c r="AA189" s="50" t="str">
        <f>IF(CCUS_Projects_Database!$T189&lt;&gt;"",HYPERLINK(CCUS_Projects_Database!$T189,"Link 3"),"")</f>
        <v/>
      </c>
      <c r="AB189" s="50" t="str">
        <f>IF(CCUS_Projects_Database!$U189&lt;&gt;"",HYPERLINK(CCUS_Projects_Database!$U189,"Link 4"),"")</f>
        <v/>
      </c>
      <c r="AC189" s="50" t="str">
        <f>IF(CCUS_Projects_Database!$V189&lt;&gt;"",HYPERLINK(CCUS_Projects_Database!$V189,"Link 5"),"")</f>
        <v/>
      </c>
      <c r="AD189" s="50" t="str">
        <f>IF(CCUS_Projects_Database!$W189&lt;&gt;"",HYPERLINK(CCUS_Projects_Database!$W189,"Link 6"),"")</f>
        <v/>
      </c>
      <c r="AE189" s="50" t="str">
        <f>IF(CCUS_Projects_Database!$X189&lt;&gt;"",HYPERLINK(CCUS_Projects_Database!$X189,"Link 7"),"")</f>
        <v/>
      </c>
    </row>
    <row r="190" ht="15.75" customHeight="1">
      <c r="A190" s="37" t="s">
        <v>828</v>
      </c>
      <c r="B190" s="38">
        <v>91.0</v>
      </c>
      <c r="C190" s="38" t="s">
        <v>284</v>
      </c>
      <c r="D190" s="39" t="s">
        <v>829</v>
      </c>
      <c r="E190" s="38" t="s">
        <v>16</v>
      </c>
      <c r="F190" s="38">
        <v>2020.0</v>
      </c>
      <c r="G190" s="38">
        <v>2024.0</v>
      </c>
      <c r="H190" s="38">
        <v>2025.0</v>
      </c>
      <c r="I190" s="38" t="s">
        <v>124</v>
      </c>
      <c r="J190" s="38" t="s">
        <v>28</v>
      </c>
      <c r="K190" s="40">
        <v>1.0</v>
      </c>
      <c r="L190" s="51">
        <v>0.039</v>
      </c>
      <c r="M190" s="40">
        <v>0.039</v>
      </c>
      <c r="N190" s="38" t="s">
        <v>64</v>
      </c>
      <c r="O190" s="41" t="s">
        <v>75</v>
      </c>
      <c r="P190" s="42" t="s">
        <v>124</v>
      </c>
      <c r="Q190" s="38" t="s">
        <v>125</v>
      </c>
      <c r="R190" s="42" t="s">
        <v>830</v>
      </c>
      <c r="S190" s="42" t="s">
        <v>124</v>
      </c>
      <c r="T190" s="42" t="s">
        <v>124</v>
      </c>
      <c r="U190" s="42" t="s">
        <v>124</v>
      </c>
      <c r="V190" s="42" t="s">
        <v>124</v>
      </c>
      <c r="W190" s="42" t="s">
        <v>124</v>
      </c>
      <c r="X190" s="42" t="s">
        <v>124</v>
      </c>
      <c r="Y190" s="43" t="str">
        <f>IF(CCUS_Projects_Database!$R190&lt;&gt;"",HYPERLINK(CCUS_Projects_Database!$R190,"Link 1"),"")</f>
        <v>Link 1</v>
      </c>
      <c r="Z190" s="43" t="str">
        <f>IF(CCUS_Projects_Database!$S190&lt;&gt;"",HYPERLINK(CCUS_Projects_Database!$S190,"Link 2"),"")</f>
        <v/>
      </c>
      <c r="AA190" s="43" t="str">
        <f>IF(CCUS_Projects_Database!$T190&lt;&gt;"",HYPERLINK(CCUS_Projects_Database!$T190,"Link 3"),"")</f>
        <v/>
      </c>
      <c r="AB190" s="43" t="str">
        <f>IF(CCUS_Projects_Database!$U190&lt;&gt;"",HYPERLINK(CCUS_Projects_Database!$U190,"Link 4"),"")</f>
        <v/>
      </c>
      <c r="AC190" s="43" t="str">
        <f>IF(CCUS_Projects_Database!$V190&lt;&gt;"",HYPERLINK(CCUS_Projects_Database!$V190,"Link 5"),"")</f>
        <v/>
      </c>
      <c r="AD190" s="43" t="str">
        <f>IF(CCUS_Projects_Database!$W190&lt;&gt;"",HYPERLINK(CCUS_Projects_Database!$W190,"Link 6"),"")</f>
        <v/>
      </c>
      <c r="AE190" s="43" t="str">
        <f>IF(CCUS_Projects_Database!$X190&lt;&gt;"",HYPERLINK(CCUS_Projects_Database!$X190,"Link 7"),"")</f>
        <v/>
      </c>
    </row>
    <row r="191" ht="15.75" customHeight="1">
      <c r="A191" s="44" t="s">
        <v>831</v>
      </c>
      <c r="B191" s="45">
        <v>92.0</v>
      </c>
      <c r="C191" s="45" t="s">
        <v>284</v>
      </c>
      <c r="D191" s="46" t="s">
        <v>829</v>
      </c>
      <c r="E191" s="45" t="s">
        <v>16</v>
      </c>
      <c r="F191" s="45">
        <v>2020.0</v>
      </c>
      <c r="G191" s="45" t="s">
        <v>124</v>
      </c>
      <c r="H191" s="45">
        <v>2026.0</v>
      </c>
      <c r="I191" s="45" t="s">
        <v>124</v>
      </c>
      <c r="J191" s="45" t="s">
        <v>28</v>
      </c>
      <c r="K191" s="47">
        <v>2.0</v>
      </c>
      <c r="L191" s="52">
        <v>0.035</v>
      </c>
      <c r="M191" s="47">
        <v>0.035</v>
      </c>
      <c r="N191" s="45" t="s">
        <v>64</v>
      </c>
      <c r="O191" s="48" t="s">
        <v>75</v>
      </c>
      <c r="P191" s="49" t="s">
        <v>124</v>
      </c>
      <c r="Q191" s="45" t="s">
        <v>125</v>
      </c>
      <c r="R191" s="49" t="s">
        <v>830</v>
      </c>
      <c r="S191" s="49" t="s">
        <v>124</v>
      </c>
      <c r="T191" s="49" t="s">
        <v>124</v>
      </c>
      <c r="U191" s="49" t="s">
        <v>124</v>
      </c>
      <c r="V191" s="49" t="s">
        <v>124</v>
      </c>
      <c r="W191" s="49" t="s">
        <v>124</v>
      </c>
      <c r="X191" s="49" t="s">
        <v>124</v>
      </c>
      <c r="Y191" s="50" t="str">
        <f>IF(CCUS_Projects_Database!$R191&lt;&gt;"",HYPERLINK(CCUS_Projects_Database!$R191,"Link 1"),"")</f>
        <v>Link 1</v>
      </c>
      <c r="Z191" s="50" t="str">
        <f>IF(CCUS_Projects_Database!$S191&lt;&gt;"",HYPERLINK(CCUS_Projects_Database!$S191,"Link 2"),"")</f>
        <v/>
      </c>
      <c r="AA191" s="50" t="str">
        <f>IF(CCUS_Projects_Database!$T191&lt;&gt;"",HYPERLINK(CCUS_Projects_Database!$T191,"Link 3"),"")</f>
        <v/>
      </c>
      <c r="AB191" s="50" t="str">
        <f>IF(CCUS_Projects_Database!$U191&lt;&gt;"",HYPERLINK(CCUS_Projects_Database!$U191,"Link 4"),"")</f>
        <v/>
      </c>
      <c r="AC191" s="50" t="str">
        <f>IF(CCUS_Projects_Database!$V191&lt;&gt;"",HYPERLINK(CCUS_Projects_Database!$V191,"Link 5"),"")</f>
        <v/>
      </c>
      <c r="AD191" s="50" t="str">
        <f>IF(CCUS_Projects_Database!$W191&lt;&gt;"",HYPERLINK(CCUS_Projects_Database!$W191,"Link 6"),"")</f>
        <v/>
      </c>
      <c r="AE191" s="50" t="str">
        <f>IF(CCUS_Projects_Database!$X191&lt;&gt;"",HYPERLINK(CCUS_Projects_Database!$X191,"Link 7"),"")</f>
        <v/>
      </c>
    </row>
    <row r="192" ht="15.75" customHeight="1">
      <c r="A192" s="37" t="s">
        <v>832</v>
      </c>
      <c r="B192" s="38">
        <v>93.0</v>
      </c>
      <c r="C192" s="38" t="s">
        <v>284</v>
      </c>
      <c r="D192" s="39" t="s">
        <v>829</v>
      </c>
      <c r="E192" s="38" t="s">
        <v>16</v>
      </c>
      <c r="F192" s="38">
        <v>2020.0</v>
      </c>
      <c r="G192" s="38" t="s">
        <v>124</v>
      </c>
      <c r="H192" s="38">
        <v>2029.0</v>
      </c>
      <c r="I192" s="38" t="s">
        <v>124</v>
      </c>
      <c r="J192" s="38" t="s">
        <v>28</v>
      </c>
      <c r="K192" s="40">
        <v>3.0</v>
      </c>
      <c r="L192" s="51">
        <v>0.184</v>
      </c>
      <c r="M192" s="40">
        <v>0.184</v>
      </c>
      <c r="N192" s="38" t="s">
        <v>64</v>
      </c>
      <c r="O192" s="41" t="s">
        <v>75</v>
      </c>
      <c r="P192" s="42" t="s">
        <v>124</v>
      </c>
      <c r="Q192" s="38" t="s">
        <v>125</v>
      </c>
      <c r="R192" s="42" t="s">
        <v>830</v>
      </c>
      <c r="S192" s="42" t="s">
        <v>124</v>
      </c>
      <c r="T192" s="42" t="s">
        <v>124</v>
      </c>
      <c r="U192" s="42" t="s">
        <v>124</v>
      </c>
      <c r="V192" s="42" t="s">
        <v>124</v>
      </c>
      <c r="W192" s="42" t="s">
        <v>124</v>
      </c>
      <c r="X192" s="42" t="s">
        <v>124</v>
      </c>
      <c r="Y192" s="43" t="str">
        <f>IF(CCUS_Projects_Database!$R192&lt;&gt;"",HYPERLINK(CCUS_Projects_Database!$R192,"Link 1"),"")</f>
        <v>Link 1</v>
      </c>
      <c r="Z192" s="43" t="str">
        <f>IF(CCUS_Projects_Database!$S192&lt;&gt;"",HYPERLINK(CCUS_Projects_Database!$S192,"Link 2"),"")</f>
        <v/>
      </c>
      <c r="AA192" s="43" t="str">
        <f>IF(CCUS_Projects_Database!$T192&lt;&gt;"",HYPERLINK(CCUS_Projects_Database!$T192,"Link 3"),"")</f>
        <v/>
      </c>
      <c r="AB192" s="43" t="str">
        <f>IF(CCUS_Projects_Database!$U192&lt;&gt;"",HYPERLINK(CCUS_Projects_Database!$U192,"Link 4"),"")</f>
        <v/>
      </c>
      <c r="AC192" s="43" t="str">
        <f>IF(CCUS_Projects_Database!$V192&lt;&gt;"",HYPERLINK(CCUS_Projects_Database!$V192,"Link 5"),"")</f>
        <v/>
      </c>
      <c r="AD192" s="43" t="str">
        <f>IF(CCUS_Projects_Database!$W192&lt;&gt;"",HYPERLINK(CCUS_Projects_Database!$W192,"Link 6"),"")</f>
        <v/>
      </c>
      <c r="AE192" s="43" t="str">
        <f>IF(CCUS_Projects_Database!$X192&lt;&gt;"",HYPERLINK(CCUS_Projects_Database!$X192,"Link 7"),"")</f>
        <v/>
      </c>
    </row>
    <row r="193" ht="15.75" customHeight="1">
      <c r="A193" s="44" t="s">
        <v>833</v>
      </c>
      <c r="B193" s="45">
        <v>434.0</v>
      </c>
      <c r="C193" s="45" t="s">
        <v>824</v>
      </c>
      <c r="D193" s="46" t="s">
        <v>834</v>
      </c>
      <c r="E193" s="45" t="s">
        <v>6</v>
      </c>
      <c r="F193" s="45">
        <v>2018.0</v>
      </c>
      <c r="G193" s="45">
        <v>2020.0</v>
      </c>
      <c r="H193" s="45">
        <v>2021.0</v>
      </c>
      <c r="I193" s="45" t="s">
        <v>124</v>
      </c>
      <c r="J193" s="45" t="s">
        <v>32</v>
      </c>
      <c r="K193" s="47" t="s">
        <v>124</v>
      </c>
      <c r="L193" s="52">
        <v>0.004</v>
      </c>
      <c r="M193" s="47">
        <v>0.004</v>
      </c>
      <c r="N193" s="45" t="s">
        <v>64</v>
      </c>
      <c r="O193" s="48" t="s">
        <v>71</v>
      </c>
      <c r="P193" s="49" t="s">
        <v>124</v>
      </c>
      <c r="Q193" s="45" t="s">
        <v>125</v>
      </c>
      <c r="R193" s="49" t="s">
        <v>835</v>
      </c>
      <c r="S193" s="49" t="s">
        <v>836</v>
      </c>
      <c r="T193" s="49" t="s">
        <v>124</v>
      </c>
      <c r="U193" s="49" t="s">
        <v>124</v>
      </c>
      <c r="V193" s="49" t="s">
        <v>124</v>
      </c>
      <c r="W193" s="49" t="s">
        <v>124</v>
      </c>
      <c r="X193" s="49" t="s">
        <v>124</v>
      </c>
      <c r="Y193" s="50" t="str">
        <f>IF(CCUS_Projects_Database!$R193&lt;&gt;"",HYPERLINK(CCUS_Projects_Database!$R193,"Link 1"),"")</f>
        <v>Link 1</v>
      </c>
      <c r="Z193" s="50" t="str">
        <f>IF(CCUS_Projects_Database!$S193&lt;&gt;"",HYPERLINK(CCUS_Projects_Database!$S193,"Link 2"),"")</f>
        <v>Link 2</v>
      </c>
      <c r="AA193" s="50" t="str">
        <f>IF(CCUS_Projects_Database!$T193&lt;&gt;"",HYPERLINK(CCUS_Projects_Database!$T193,"Link 3"),"")</f>
        <v/>
      </c>
      <c r="AB193" s="50" t="str">
        <f>IF(CCUS_Projects_Database!$U193&lt;&gt;"",HYPERLINK(CCUS_Projects_Database!$U193,"Link 4"),"")</f>
        <v/>
      </c>
      <c r="AC193" s="50" t="str">
        <f>IF(CCUS_Projects_Database!$V193&lt;&gt;"",HYPERLINK(CCUS_Projects_Database!$V193,"Link 5"),"")</f>
        <v/>
      </c>
      <c r="AD193" s="50" t="str">
        <f>IF(CCUS_Projects_Database!$W193&lt;&gt;"",HYPERLINK(CCUS_Projects_Database!$W193,"Link 6"),"")</f>
        <v/>
      </c>
      <c r="AE193" s="50" t="str">
        <f>IF(CCUS_Projects_Database!$X193&lt;&gt;"",HYPERLINK(CCUS_Projects_Database!$X193,"Link 7"),"")</f>
        <v/>
      </c>
    </row>
    <row r="194" ht="15.75" customHeight="1">
      <c r="A194" s="37" t="s">
        <v>837</v>
      </c>
      <c r="B194" s="38">
        <v>95.0</v>
      </c>
      <c r="C194" s="38" t="s">
        <v>224</v>
      </c>
      <c r="D194" s="39" t="s">
        <v>838</v>
      </c>
      <c r="E194" s="38" t="s">
        <v>6</v>
      </c>
      <c r="F194" s="38">
        <v>2021.0</v>
      </c>
      <c r="G194" s="38">
        <v>2021.0</v>
      </c>
      <c r="H194" s="38">
        <v>2023.0</v>
      </c>
      <c r="I194" s="38" t="s">
        <v>124</v>
      </c>
      <c r="J194" s="38" t="s">
        <v>32</v>
      </c>
      <c r="K194" s="40" t="s">
        <v>124</v>
      </c>
      <c r="L194" s="51">
        <v>0.3</v>
      </c>
      <c r="M194" s="40">
        <v>0.3</v>
      </c>
      <c r="N194" s="38" t="s">
        <v>54</v>
      </c>
      <c r="O194" s="41" t="s">
        <v>71</v>
      </c>
      <c r="P194" s="42" t="s">
        <v>124</v>
      </c>
      <c r="Q194" s="38" t="s">
        <v>148</v>
      </c>
      <c r="R194" s="42" t="s">
        <v>839</v>
      </c>
      <c r="S194" s="42" t="s">
        <v>840</v>
      </c>
      <c r="T194" s="42" t="s">
        <v>841</v>
      </c>
      <c r="U194" s="42" t="s">
        <v>842</v>
      </c>
      <c r="V194" s="42" t="s">
        <v>843</v>
      </c>
      <c r="W194" s="42" t="s">
        <v>124</v>
      </c>
      <c r="X194" s="42" t="s">
        <v>124</v>
      </c>
      <c r="Y194" s="43" t="str">
        <f>IF(CCUS_Projects_Database!$R194&lt;&gt;"",HYPERLINK(CCUS_Projects_Database!$R194,"Link 1"),"")</f>
        <v>Link 1</v>
      </c>
      <c r="Z194" s="43" t="str">
        <f>IF(CCUS_Projects_Database!$S194&lt;&gt;"",HYPERLINK(CCUS_Projects_Database!$S194,"Link 2"),"")</f>
        <v>Link 2</v>
      </c>
      <c r="AA194" s="43" t="str">
        <f>IF(CCUS_Projects_Database!$T194&lt;&gt;"",HYPERLINK(CCUS_Projects_Database!$T194,"Link 3"),"")</f>
        <v>Link 3</v>
      </c>
      <c r="AB194" s="43" t="str">
        <f>IF(CCUS_Projects_Database!$U194&lt;&gt;"",HYPERLINK(CCUS_Projects_Database!$U194,"Link 4"),"")</f>
        <v>Link 4</v>
      </c>
      <c r="AC194" s="43" t="str">
        <f>IF(CCUS_Projects_Database!$V194&lt;&gt;"",HYPERLINK(CCUS_Projects_Database!$V194,"Link 5"),"")</f>
        <v>Link 5</v>
      </c>
      <c r="AD194" s="43" t="str">
        <f>IF(CCUS_Projects_Database!$W194&lt;&gt;"",HYPERLINK(CCUS_Projects_Database!$W194,"Link 6"),"")</f>
        <v/>
      </c>
      <c r="AE194" s="43" t="str">
        <f>IF(CCUS_Projects_Database!$X194&lt;&gt;"",HYPERLINK(CCUS_Projects_Database!$X194,"Link 7"),"")</f>
        <v/>
      </c>
    </row>
    <row r="195" ht="15.75" customHeight="1">
      <c r="A195" s="44" t="s">
        <v>844</v>
      </c>
      <c r="B195" s="45">
        <v>96.0</v>
      </c>
      <c r="C195" s="45" t="s">
        <v>224</v>
      </c>
      <c r="D195" s="46" t="s">
        <v>845</v>
      </c>
      <c r="E195" s="45" t="s">
        <v>14</v>
      </c>
      <c r="F195" s="45">
        <v>2019.0</v>
      </c>
      <c r="G195" s="45">
        <v>2024.0</v>
      </c>
      <c r="H195" s="45">
        <v>2025.0</v>
      </c>
      <c r="I195" s="45" t="s">
        <v>124</v>
      </c>
      <c r="J195" s="45" t="s">
        <v>28</v>
      </c>
      <c r="K195" s="47">
        <v>1.0</v>
      </c>
      <c r="L195" s="52">
        <v>1.0</v>
      </c>
      <c r="M195" s="47">
        <v>1.0</v>
      </c>
      <c r="N195" s="45" t="s">
        <v>14</v>
      </c>
      <c r="O195" s="48" t="s">
        <v>73</v>
      </c>
      <c r="P195" s="49" t="s">
        <v>846</v>
      </c>
      <c r="Q195" s="45" t="s">
        <v>148</v>
      </c>
      <c r="R195" s="49" t="s">
        <v>847</v>
      </c>
      <c r="S195" s="49" t="s">
        <v>802</v>
      </c>
      <c r="T195" s="49" t="s">
        <v>848</v>
      </c>
      <c r="U195" s="49" t="s">
        <v>124</v>
      </c>
      <c r="V195" s="49" t="s">
        <v>124</v>
      </c>
      <c r="W195" s="49" t="s">
        <v>124</v>
      </c>
      <c r="X195" s="49" t="s">
        <v>124</v>
      </c>
      <c r="Y195" s="50" t="str">
        <f>IF(CCUS_Projects_Database!$R195&lt;&gt;"",HYPERLINK(CCUS_Projects_Database!$R195,"Link 1"),"")</f>
        <v>Link 1</v>
      </c>
      <c r="Z195" s="50" t="str">
        <f>IF(CCUS_Projects_Database!$S195&lt;&gt;"",HYPERLINK(CCUS_Projects_Database!$S195,"Link 2"),"")</f>
        <v>Link 2</v>
      </c>
      <c r="AA195" s="50" t="str">
        <f>IF(CCUS_Projects_Database!$T195&lt;&gt;"",HYPERLINK(CCUS_Projects_Database!$T195,"Link 3"),"")</f>
        <v>Link 3</v>
      </c>
      <c r="AB195" s="50" t="str">
        <f>IF(CCUS_Projects_Database!$U195&lt;&gt;"",HYPERLINK(CCUS_Projects_Database!$U195,"Link 4"),"")</f>
        <v/>
      </c>
      <c r="AC195" s="50" t="str">
        <f>IF(CCUS_Projects_Database!$V195&lt;&gt;"",HYPERLINK(CCUS_Projects_Database!$V195,"Link 5"),"")</f>
        <v/>
      </c>
      <c r="AD195" s="50" t="str">
        <f>IF(CCUS_Projects_Database!$W195&lt;&gt;"",HYPERLINK(CCUS_Projects_Database!$W195,"Link 6"),"")</f>
        <v/>
      </c>
      <c r="AE195" s="50" t="str">
        <f>IF(CCUS_Projects_Database!$X195&lt;&gt;"",HYPERLINK(CCUS_Projects_Database!$X195,"Link 7"),"")</f>
        <v/>
      </c>
    </row>
    <row r="196" ht="15.75" customHeight="1">
      <c r="A196" s="37" t="s">
        <v>849</v>
      </c>
      <c r="B196" s="38">
        <v>97.0</v>
      </c>
      <c r="C196" s="38" t="s">
        <v>224</v>
      </c>
      <c r="D196" s="39" t="s">
        <v>845</v>
      </c>
      <c r="E196" s="38" t="s">
        <v>14</v>
      </c>
      <c r="F196" s="38">
        <v>2019.0</v>
      </c>
      <c r="G196" s="38" t="s">
        <v>124</v>
      </c>
      <c r="H196" s="38">
        <v>2030.0</v>
      </c>
      <c r="I196" s="38" t="s">
        <v>124</v>
      </c>
      <c r="J196" s="38" t="s">
        <v>28</v>
      </c>
      <c r="K196" s="40">
        <v>2.0</v>
      </c>
      <c r="L196" s="51">
        <v>2.0</v>
      </c>
      <c r="M196" s="40">
        <v>2.0</v>
      </c>
      <c r="N196" s="38" t="s">
        <v>14</v>
      </c>
      <c r="O196" s="41" t="s">
        <v>73</v>
      </c>
      <c r="P196" s="42" t="s">
        <v>846</v>
      </c>
      <c r="Q196" s="38" t="s">
        <v>148</v>
      </c>
      <c r="R196" s="42" t="s">
        <v>847</v>
      </c>
      <c r="S196" s="42" t="s">
        <v>802</v>
      </c>
      <c r="T196" s="42" t="s">
        <v>848</v>
      </c>
      <c r="U196" s="42" t="s">
        <v>124</v>
      </c>
      <c r="V196" s="42" t="s">
        <v>124</v>
      </c>
      <c r="W196" s="42" t="s">
        <v>124</v>
      </c>
      <c r="X196" s="42" t="s">
        <v>124</v>
      </c>
      <c r="Y196" s="43" t="str">
        <f>IF(CCUS_Projects_Database!$R196&lt;&gt;"",HYPERLINK(CCUS_Projects_Database!$R196,"Link 1"),"")</f>
        <v>Link 1</v>
      </c>
      <c r="Z196" s="43" t="str">
        <f>IF(CCUS_Projects_Database!$S196&lt;&gt;"",HYPERLINK(CCUS_Projects_Database!$S196,"Link 2"),"")</f>
        <v>Link 2</v>
      </c>
      <c r="AA196" s="43" t="str">
        <f>IF(CCUS_Projects_Database!$T196&lt;&gt;"",HYPERLINK(CCUS_Projects_Database!$T196,"Link 3"),"")</f>
        <v>Link 3</v>
      </c>
      <c r="AB196" s="43" t="str">
        <f>IF(CCUS_Projects_Database!$U196&lt;&gt;"",HYPERLINK(CCUS_Projects_Database!$U196,"Link 4"),"")</f>
        <v/>
      </c>
      <c r="AC196" s="43" t="str">
        <f>IF(CCUS_Projects_Database!$V196&lt;&gt;"",HYPERLINK(CCUS_Projects_Database!$V196,"Link 5"),"")</f>
        <v/>
      </c>
      <c r="AD196" s="43" t="str">
        <f>IF(CCUS_Projects_Database!$W196&lt;&gt;"",HYPERLINK(CCUS_Projects_Database!$W196,"Link 6"),"")</f>
        <v/>
      </c>
      <c r="AE196" s="43" t="str">
        <f>IF(CCUS_Projects_Database!$X196&lt;&gt;"",HYPERLINK(CCUS_Projects_Database!$X196,"Link 7"),"")</f>
        <v/>
      </c>
    </row>
    <row r="197" ht="15.75" customHeight="1">
      <c r="A197" s="44" t="s">
        <v>850</v>
      </c>
      <c r="B197" s="45">
        <v>99.0</v>
      </c>
      <c r="C197" s="45" t="s">
        <v>224</v>
      </c>
      <c r="D197" s="46" t="s">
        <v>845</v>
      </c>
      <c r="E197" s="45" t="s">
        <v>8</v>
      </c>
      <c r="F197" s="45">
        <v>2019.0</v>
      </c>
      <c r="G197" s="45">
        <v>2024.0</v>
      </c>
      <c r="H197" s="45">
        <v>2025.0</v>
      </c>
      <c r="I197" s="45" t="s">
        <v>124</v>
      </c>
      <c r="J197" s="45" t="s">
        <v>28</v>
      </c>
      <c r="K197" s="47" t="s">
        <v>124</v>
      </c>
      <c r="L197" s="52">
        <v>1.0</v>
      </c>
      <c r="M197" s="47">
        <v>1.0</v>
      </c>
      <c r="N197" s="45" t="s">
        <v>54</v>
      </c>
      <c r="O197" s="48" t="s">
        <v>73</v>
      </c>
      <c r="P197" s="49" t="s">
        <v>846</v>
      </c>
      <c r="Q197" s="45" t="s">
        <v>148</v>
      </c>
      <c r="R197" s="49" t="s">
        <v>847</v>
      </c>
      <c r="S197" s="49" t="s">
        <v>802</v>
      </c>
      <c r="T197" s="49" t="s">
        <v>124</v>
      </c>
      <c r="U197" s="49" t="s">
        <v>124</v>
      </c>
      <c r="V197" s="49" t="s">
        <v>124</v>
      </c>
      <c r="W197" s="49" t="s">
        <v>124</v>
      </c>
      <c r="X197" s="49" t="s">
        <v>124</v>
      </c>
      <c r="Y197" s="50" t="str">
        <f>IF(CCUS_Projects_Database!$R197&lt;&gt;"",HYPERLINK(CCUS_Projects_Database!$R197,"Link 1"),"")</f>
        <v>Link 1</v>
      </c>
      <c r="Z197" s="50" t="str">
        <f>IF(CCUS_Projects_Database!$S197&lt;&gt;"",HYPERLINK(CCUS_Projects_Database!$S197,"Link 2"),"")</f>
        <v>Link 2</v>
      </c>
      <c r="AA197" s="50" t="str">
        <f>IF(CCUS_Projects_Database!$T197&lt;&gt;"",HYPERLINK(CCUS_Projects_Database!$T197,"Link 3"),"")</f>
        <v/>
      </c>
      <c r="AB197" s="50" t="str">
        <f>IF(CCUS_Projects_Database!$U197&lt;&gt;"",HYPERLINK(CCUS_Projects_Database!$U197,"Link 4"),"")</f>
        <v/>
      </c>
      <c r="AC197" s="50" t="str">
        <f>IF(CCUS_Projects_Database!$V197&lt;&gt;"",HYPERLINK(CCUS_Projects_Database!$V197,"Link 5"),"")</f>
        <v/>
      </c>
      <c r="AD197" s="50" t="str">
        <f>IF(CCUS_Projects_Database!$W197&lt;&gt;"",HYPERLINK(CCUS_Projects_Database!$W197,"Link 6"),"")</f>
        <v/>
      </c>
      <c r="AE197" s="50" t="str">
        <f>IF(CCUS_Projects_Database!$X197&lt;&gt;"",HYPERLINK(CCUS_Projects_Database!$X197,"Link 7"),"")</f>
        <v/>
      </c>
    </row>
    <row r="198" ht="15.75" customHeight="1">
      <c r="A198" s="37" t="s">
        <v>851</v>
      </c>
      <c r="B198" s="38">
        <v>939.0</v>
      </c>
      <c r="C198" s="38" t="s">
        <v>824</v>
      </c>
      <c r="D198" s="39" t="s">
        <v>852</v>
      </c>
      <c r="E198" s="38" t="s">
        <v>8</v>
      </c>
      <c r="F198" s="38">
        <v>2023.0</v>
      </c>
      <c r="G198" s="38" t="s">
        <v>124</v>
      </c>
      <c r="H198" s="38" t="s">
        <v>124</v>
      </c>
      <c r="I198" s="38" t="s">
        <v>124</v>
      </c>
      <c r="J198" s="38" t="s">
        <v>28</v>
      </c>
      <c r="K198" s="40" t="s">
        <v>124</v>
      </c>
      <c r="L198" s="40"/>
      <c r="M198" s="40">
        <v>0.1</v>
      </c>
      <c r="N198" s="38" t="s">
        <v>64</v>
      </c>
      <c r="O198" s="41" t="s">
        <v>71</v>
      </c>
      <c r="P198" s="42" t="s">
        <v>124</v>
      </c>
      <c r="Q198" s="38" t="s">
        <v>125</v>
      </c>
      <c r="R198" s="42" t="s">
        <v>853</v>
      </c>
      <c r="S198" s="42" t="s">
        <v>124</v>
      </c>
      <c r="T198" s="42" t="s">
        <v>124</v>
      </c>
      <c r="U198" s="42" t="s">
        <v>124</v>
      </c>
      <c r="V198" s="42" t="s">
        <v>124</v>
      </c>
      <c r="W198" s="42" t="s">
        <v>124</v>
      </c>
      <c r="X198" s="42" t="s">
        <v>124</v>
      </c>
      <c r="Y198" s="43" t="str">
        <f>IF(CCUS_Projects_Database!$R212&lt;&gt;"",HYPERLINK(CCUS_Projects_Database!$R212,"Link 1"),"")</f>
        <v>Link 1</v>
      </c>
      <c r="Z198" s="43" t="str">
        <f>IF(CCUS_Projects_Database!$S212&lt;&gt;"",HYPERLINK(CCUS_Projects_Database!$S212,"Link 2"),"")</f>
        <v/>
      </c>
      <c r="AA198" s="43" t="str">
        <f>IF(CCUS_Projects_Database!$T212&lt;&gt;"",HYPERLINK(CCUS_Projects_Database!$T212,"Link 3"),"")</f>
        <v/>
      </c>
      <c r="AB198" s="43" t="str">
        <f>IF(CCUS_Projects_Database!$U212&lt;&gt;"",HYPERLINK(CCUS_Projects_Database!$U212,"Link 4"),"")</f>
        <v/>
      </c>
      <c r="AC198" s="43" t="str">
        <f>IF(CCUS_Projects_Database!$V212&lt;&gt;"",HYPERLINK(CCUS_Projects_Database!$V212,"Link 5"),"")</f>
        <v/>
      </c>
      <c r="AD198" s="43" t="str">
        <f>IF(CCUS_Projects_Database!$W212&lt;&gt;"",HYPERLINK(CCUS_Projects_Database!$W212,"Link 6"),"")</f>
        <v/>
      </c>
      <c r="AE198" s="43" t="str">
        <f>IF(CCUS_Projects_Database!$X212&lt;&gt;"",HYPERLINK(CCUS_Projects_Database!$X212,"Link 7"),"")</f>
        <v/>
      </c>
    </row>
    <row r="199" ht="15.75" customHeight="1">
      <c r="A199" s="44" t="s">
        <v>854</v>
      </c>
      <c r="B199" s="45">
        <v>573.0</v>
      </c>
      <c r="C199" s="45" t="s">
        <v>239</v>
      </c>
      <c r="D199" s="46" t="s">
        <v>855</v>
      </c>
      <c r="E199" s="45" t="s">
        <v>8</v>
      </c>
      <c r="F199" s="45">
        <v>2021.0</v>
      </c>
      <c r="G199" s="45" t="s">
        <v>124</v>
      </c>
      <c r="H199" s="45">
        <v>2024.0</v>
      </c>
      <c r="I199" s="45" t="s">
        <v>124</v>
      </c>
      <c r="J199" s="45" t="s">
        <v>28</v>
      </c>
      <c r="K199" s="47" t="s">
        <v>124</v>
      </c>
      <c r="L199" s="47"/>
      <c r="M199" s="47" t="s">
        <v>124</v>
      </c>
      <c r="N199" s="45" t="s">
        <v>50</v>
      </c>
      <c r="O199" s="48" t="s">
        <v>71</v>
      </c>
      <c r="P199" s="49" t="s">
        <v>856</v>
      </c>
      <c r="Q199" s="45" t="s">
        <v>143</v>
      </c>
      <c r="R199" s="49" t="s">
        <v>857</v>
      </c>
      <c r="S199" s="49" t="s">
        <v>858</v>
      </c>
      <c r="T199" s="49" t="s">
        <v>124</v>
      </c>
      <c r="U199" s="49" t="s">
        <v>124</v>
      </c>
      <c r="V199" s="49" t="s">
        <v>124</v>
      </c>
      <c r="W199" s="49" t="s">
        <v>124</v>
      </c>
      <c r="X199" s="49" t="s">
        <v>124</v>
      </c>
      <c r="Y199" s="50" t="str">
        <f>IF(CCUS_Projects_Database!$R222&lt;&gt;"",HYPERLINK(CCUS_Projects_Database!$R222,"Link 1"),"")</f>
        <v>Link 1</v>
      </c>
      <c r="Z199" s="50" t="str">
        <f>IF(CCUS_Projects_Database!$S222&lt;&gt;"",HYPERLINK(CCUS_Projects_Database!$S222,"Link 2"),"")</f>
        <v/>
      </c>
      <c r="AA199" s="50" t="str">
        <f>IF(CCUS_Projects_Database!$T222&lt;&gt;"",HYPERLINK(CCUS_Projects_Database!$T222,"Link 3"),"")</f>
        <v/>
      </c>
      <c r="AB199" s="50" t="str">
        <f>IF(CCUS_Projects_Database!$U222&lt;&gt;"",HYPERLINK(CCUS_Projects_Database!$U222,"Link 4"),"")</f>
        <v/>
      </c>
      <c r="AC199" s="50" t="str">
        <f>IF(CCUS_Projects_Database!$V222&lt;&gt;"",HYPERLINK(CCUS_Projects_Database!$V222,"Link 5"),"")</f>
        <v/>
      </c>
      <c r="AD199" s="50" t="str">
        <f>IF(CCUS_Projects_Database!$W222&lt;&gt;"",HYPERLINK(CCUS_Projects_Database!$W222,"Link 6"),"")</f>
        <v/>
      </c>
      <c r="AE199" s="50" t="str">
        <f>IF(CCUS_Projects_Database!$X222&lt;&gt;"",HYPERLINK(CCUS_Projects_Database!$X222,"Link 7"),"")</f>
        <v/>
      </c>
    </row>
    <row r="200" ht="15.75" customHeight="1">
      <c r="A200" s="37" t="s">
        <v>859</v>
      </c>
      <c r="B200" s="38">
        <v>572.0</v>
      </c>
      <c r="C200" s="38" t="s">
        <v>239</v>
      </c>
      <c r="D200" s="39" t="s">
        <v>860</v>
      </c>
      <c r="E200" s="38" t="s">
        <v>8</v>
      </c>
      <c r="F200" s="38">
        <v>2021.0</v>
      </c>
      <c r="G200" s="38">
        <v>2024.0</v>
      </c>
      <c r="H200" s="38">
        <v>2027.0</v>
      </c>
      <c r="I200" s="38" t="s">
        <v>124</v>
      </c>
      <c r="J200" s="38" t="s">
        <v>28</v>
      </c>
      <c r="K200" s="40" t="s">
        <v>124</v>
      </c>
      <c r="L200" s="51">
        <v>0.3</v>
      </c>
      <c r="M200" s="40" t="s">
        <v>124</v>
      </c>
      <c r="N200" s="38" t="s">
        <v>50</v>
      </c>
      <c r="O200" s="41" t="s">
        <v>71</v>
      </c>
      <c r="P200" s="42" t="s">
        <v>856</v>
      </c>
      <c r="Q200" s="38" t="s">
        <v>143</v>
      </c>
      <c r="R200" s="42" t="s">
        <v>857</v>
      </c>
      <c r="S200" s="42" t="s">
        <v>858</v>
      </c>
      <c r="T200" s="42" t="s">
        <v>124</v>
      </c>
      <c r="U200" s="42" t="s">
        <v>124</v>
      </c>
      <c r="V200" s="42" t="s">
        <v>124</v>
      </c>
      <c r="W200" s="42" t="s">
        <v>124</v>
      </c>
      <c r="X200" s="42" t="s">
        <v>124</v>
      </c>
      <c r="Y200" s="43" t="str">
        <f>IF(CCUS_Projects_Database!$R223&lt;&gt;"",HYPERLINK(CCUS_Projects_Database!$R223,"Link 1"),"")</f>
        <v>Link 1</v>
      </c>
      <c r="Z200" s="43" t="str">
        <f>IF(CCUS_Projects_Database!$S223&lt;&gt;"",HYPERLINK(CCUS_Projects_Database!$S223,"Link 2"),"")</f>
        <v/>
      </c>
      <c r="AA200" s="43" t="str">
        <f>IF(CCUS_Projects_Database!$T223&lt;&gt;"",HYPERLINK(CCUS_Projects_Database!$T223,"Link 3"),"")</f>
        <v/>
      </c>
      <c r="AB200" s="43" t="str">
        <f>IF(CCUS_Projects_Database!$U223&lt;&gt;"",HYPERLINK(CCUS_Projects_Database!$U223,"Link 4"),"")</f>
        <v/>
      </c>
      <c r="AC200" s="43" t="str">
        <f>IF(CCUS_Projects_Database!$V223&lt;&gt;"",HYPERLINK(CCUS_Projects_Database!$V223,"Link 5"),"")</f>
        <v/>
      </c>
      <c r="AD200" s="43" t="str">
        <f>IF(CCUS_Projects_Database!$W223&lt;&gt;"",HYPERLINK(CCUS_Projects_Database!$W223,"Link 6"),"")</f>
        <v/>
      </c>
      <c r="AE200" s="43" t="str">
        <f>IF(CCUS_Projects_Database!$X223&lt;&gt;"",HYPERLINK(CCUS_Projects_Database!$X223,"Link 7"),"")</f>
        <v/>
      </c>
    </row>
    <row r="201" ht="15.75" customHeight="1">
      <c r="A201" s="44" t="s">
        <v>861</v>
      </c>
      <c r="B201" s="45">
        <v>100.0</v>
      </c>
      <c r="C201" s="45" t="s">
        <v>141</v>
      </c>
      <c r="D201" s="46" t="s">
        <v>862</v>
      </c>
      <c r="E201" s="45" t="s">
        <v>8</v>
      </c>
      <c r="F201" s="45">
        <v>2021.0</v>
      </c>
      <c r="G201" s="45">
        <v>2025.0</v>
      </c>
      <c r="H201" s="45" t="s">
        <v>124</v>
      </c>
      <c r="I201" s="45" t="s">
        <v>124</v>
      </c>
      <c r="J201" s="45" t="s">
        <v>28</v>
      </c>
      <c r="K201" s="47" t="s">
        <v>124</v>
      </c>
      <c r="L201" s="52">
        <v>5.0</v>
      </c>
      <c r="M201" s="47" t="s">
        <v>124</v>
      </c>
      <c r="N201" s="45" t="s">
        <v>46</v>
      </c>
      <c r="O201" s="48" t="s">
        <v>71</v>
      </c>
      <c r="P201" s="49" t="s">
        <v>863</v>
      </c>
      <c r="Q201" s="45" t="s">
        <v>143</v>
      </c>
      <c r="R201" s="49" t="s">
        <v>864</v>
      </c>
      <c r="S201" s="49" t="s">
        <v>124</v>
      </c>
      <c r="T201" s="49" t="s">
        <v>124</v>
      </c>
      <c r="U201" s="49" t="s">
        <v>124</v>
      </c>
      <c r="V201" s="49" t="s">
        <v>124</v>
      </c>
      <c r="W201" s="49" t="s">
        <v>124</v>
      </c>
      <c r="X201" s="49" t="s">
        <v>124</v>
      </c>
      <c r="Y201" s="50" t="str">
        <f>IF(CCUS_Projects_Database!$R198&lt;&gt;"",HYPERLINK(CCUS_Projects_Database!$R198,"Link 1"),"")</f>
        <v>Link 1</v>
      </c>
      <c r="Z201" s="50" t="str">
        <f>IF(CCUS_Projects_Database!$S198&lt;&gt;"",HYPERLINK(CCUS_Projects_Database!$S198,"Link 2"),"")</f>
        <v/>
      </c>
      <c r="AA201" s="50" t="str">
        <f>IF(CCUS_Projects_Database!$T198&lt;&gt;"",HYPERLINK(CCUS_Projects_Database!$T198,"Link 3"),"")</f>
        <v/>
      </c>
      <c r="AB201" s="50" t="str">
        <f>IF(CCUS_Projects_Database!$U198&lt;&gt;"",HYPERLINK(CCUS_Projects_Database!$U198,"Link 4"),"")</f>
        <v/>
      </c>
      <c r="AC201" s="50" t="str">
        <f>IF(CCUS_Projects_Database!$V198&lt;&gt;"",HYPERLINK(CCUS_Projects_Database!$V198,"Link 5"),"")</f>
        <v/>
      </c>
      <c r="AD201" s="50" t="str">
        <f>IF(CCUS_Projects_Database!$W198&lt;&gt;"",HYPERLINK(CCUS_Projects_Database!$W198,"Link 6"),"")</f>
        <v/>
      </c>
      <c r="AE201" s="50" t="str">
        <f>IF(CCUS_Projects_Database!$X198&lt;&gt;"",HYPERLINK(CCUS_Projects_Database!$X198,"Link 7"),"")</f>
        <v/>
      </c>
    </row>
    <row r="202" ht="15.75" customHeight="1">
      <c r="A202" s="37" t="s">
        <v>865</v>
      </c>
      <c r="B202" s="38">
        <v>700.0</v>
      </c>
      <c r="C202" s="38" t="s">
        <v>141</v>
      </c>
      <c r="D202" s="39" t="s">
        <v>866</v>
      </c>
      <c r="E202" s="38" t="s">
        <v>8</v>
      </c>
      <c r="F202" s="38">
        <v>2018.0</v>
      </c>
      <c r="G202" s="38" t="s">
        <v>124</v>
      </c>
      <c r="H202" s="38" t="s">
        <v>124</v>
      </c>
      <c r="I202" s="38" t="s">
        <v>124</v>
      </c>
      <c r="J202" s="38" t="s">
        <v>28</v>
      </c>
      <c r="K202" s="40" t="s">
        <v>124</v>
      </c>
      <c r="L202" s="40"/>
      <c r="M202" s="40" t="s">
        <v>124</v>
      </c>
      <c r="N202" s="38" t="s">
        <v>46</v>
      </c>
      <c r="O202" s="41" t="s">
        <v>73</v>
      </c>
      <c r="P202" s="42" t="s">
        <v>124</v>
      </c>
      <c r="Q202" s="38" t="s">
        <v>143</v>
      </c>
      <c r="R202" s="42" t="s">
        <v>867</v>
      </c>
      <c r="S202" s="42" t="s">
        <v>124</v>
      </c>
      <c r="T202" s="42" t="s">
        <v>124</v>
      </c>
      <c r="U202" s="42" t="s">
        <v>124</v>
      </c>
      <c r="V202" s="42" t="s">
        <v>124</v>
      </c>
      <c r="W202" s="42" t="s">
        <v>124</v>
      </c>
      <c r="X202" s="42" t="s">
        <v>124</v>
      </c>
      <c r="Y202" s="43" t="str">
        <f>IF(CCUS_Projects_Database!$R199&lt;&gt;"",HYPERLINK(CCUS_Projects_Database!$R199,"Link 1"),"")</f>
        <v>Link 1</v>
      </c>
      <c r="Z202" s="43" t="str">
        <f>IF(CCUS_Projects_Database!$S199&lt;&gt;"",HYPERLINK(CCUS_Projects_Database!$S199,"Link 2"),"")</f>
        <v>Link 2</v>
      </c>
      <c r="AA202" s="43" t="str">
        <f>IF(CCUS_Projects_Database!$T199&lt;&gt;"",HYPERLINK(CCUS_Projects_Database!$T199,"Link 3"),"")</f>
        <v/>
      </c>
      <c r="AB202" s="43" t="str">
        <f>IF(CCUS_Projects_Database!$U199&lt;&gt;"",HYPERLINK(CCUS_Projects_Database!$U199,"Link 4"),"")</f>
        <v/>
      </c>
      <c r="AC202" s="43" t="str">
        <f>IF(CCUS_Projects_Database!$V199&lt;&gt;"",HYPERLINK(CCUS_Projects_Database!$V199,"Link 5"),"")</f>
        <v/>
      </c>
      <c r="AD202" s="43" t="str">
        <f>IF(CCUS_Projects_Database!$W199&lt;&gt;"",HYPERLINK(CCUS_Projects_Database!$W199,"Link 6"),"")</f>
        <v/>
      </c>
      <c r="AE202" s="43" t="str">
        <f>IF(CCUS_Projects_Database!$X199&lt;&gt;"",HYPERLINK(CCUS_Projects_Database!$X199,"Link 7"),"")</f>
        <v/>
      </c>
    </row>
    <row r="203" ht="15.75" customHeight="1">
      <c r="A203" s="44" t="s">
        <v>868</v>
      </c>
      <c r="B203" s="45">
        <v>101.0</v>
      </c>
      <c r="C203" s="45" t="s">
        <v>284</v>
      </c>
      <c r="D203" s="46" t="s">
        <v>869</v>
      </c>
      <c r="E203" s="45" t="s">
        <v>16</v>
      </c>
      <c r="F203" s="45">
        <v>2017.0</v>
      </c>
      <c r="G203" s="45">
        <v>2024.0</v>
      </c>
      <c r="H203" s="45" t="s">
        <v>124</v>
      </c>
      <c r="I203" s="45" t="s">
        <v>124</v>
      </c>
      <c r="J203" s="45" t="s">
        <v>28</v>
      </c>
      <c r="K203" s="47" t="s">
        <v>124</v>
      </c>
      <c r="L203" s="52">
        <v>1.1</v>
      </c>
      <c r="M203" s="47">
        <v>0.3</v>
      </c>
      <c r="N203" s="45" t="s">
        <v>58</v>
      </c>
      <c r="O203" s="48" t="s">
        <v>75</v>
      </c>
      <c r="P203" s="49" t="s">
        <v>124</v>
      </c>
      <c r="Q203" s="45" t="s">
        <v>125</v>
      </c>
      <c r="R203" s="49" t="s">
        <v>870</v>
      </c>
      <c r="S203" s="49" t="s">
        <v>871</v>
      </c>
      <c r="T203" s="49" t="s">
        <v>124</v>
      </c>
      <c r="U203" s="49" t="s">
        <v>124</v>
      </c>
      <c r="V203" s="49" t="s">
        <v>124</v>
      </c>
      <c r="W203" s="49" t="s">
        <v>124</v>
      </c>
      <c r="X203" s="49" t="s">
        <v>124</v>
      </c>
      <c r="Y203" s="50" t="str">
        <f>IF(CCUS_Projects_Database!$R200&lt;&gt;"",HYPERLINK(CCUS_Projects_Database!$R200,"Link 1"),"")</f>
        <v>Link 1</v>
      </c>
      <c r="Z203" s="50" t="str">
        <f>IF(CCUS_Projects_Database!$S200&lt;&gt;"",HYPERLINK(CCUS_Projects_Database!$S200,"Link 2"),"")</f>
        <v>Link 2</v>
      </c>
      <c r="AA203" s="50" t="str">
        <f>IF(CCUS_Projects_Database!$T200&lt;&gt;"",HYPERLINK(CCUS_Projects_Database!$T200,"Link 3"),"")</f>
        <v/>
      </c>
      <c r="AB203" s="50" t="str">
        <f>IF(CCUS_Projects_Database!$U200&lt;&gt;"",HYPERLINK(CCUS_Projects_Database!$U200,"Link 4"),"")</f>
        <v/>
      </c>
      <c r="AC203" s="50" t="str">
        <f>IF(CCUS_Projects_Database!$V200&lt;&gt;"",HYPERLINK(CCUS_Projects_Database!$V200,"Link 5"),"")</f>
        <v/>
      </c>
      <c r="AD203" s="50" t="str">
        <f>IF(CCUS_Projects_Database!$W200&lt;&gt;"",HYPERLINK(CCUS_Projects_Database!$W200,"Link 6"),"")</f>
        <v/>
      </c>
      <c r="AE203" s="50" t="str">
        <f>IF(CCUS_Projects_Database!$X200&lt;&gt;"",HYPERLINK(CCUS_Projects_Database!$X200,"Link 7"),"")</f>
        <v/>
      </c>
    </row>
    <row r="204" ht="15.75" customHeight="1">
      <c r="A204" s="37" t="s">
        <v>872</v>
      </c>
      <c r="B204" s="38">
        <v>664.0</v>
      </c>
      <c r="C204" s="38" t="s">
        <v>204</v>
      </c>
      <c r="D204" s="39" t="s">
        <v>873</v>
      </c>
      <c r="E204" s="38" t="s">
        <v>10</v>
      </c>
      <c r="F204" s="38">
        <v>2022.0</v>
      </c>
      <c r="G204" s="38" t="s">
        <v>124</v>
      </c>
      <c r="H204" s="38" t="s">
        <v>124</v>
      </c>
      <c r="I204" s="38" t="s">
        <v>124</v>
      </c>
      <c r="J204" s="38" t="s">
        <v>28</v>
      </c>
      <c r="K204" s="40">
        <v>1.0</v>
      </c>
      <c r="L204" s="51">
        <v>5.4</v>
      </c>
      <c r="M204" s="40">
        <v>5.0</v>
      </c>
      <c r="N204" s="38" t="s">
        <v>10</v>
      </c>
      <c r="O204" s="41" t="s">
        <v>71</v>
      </c>
      <c r="P204" s="42" t="s">
        <v>874</v>
      </c>
      <c r="Q204" s="38" t="s">
        <v>125</v>
      </c>
      <c r="R204" s="42" t="s">
        <v>329</v>
      </c>
      <c r="S204" s="42" t="s">
        <v>124</v>
      </c>
      <c r="T204" s="42" t="s">
        <v>124</v>
      </c>
      <c r="U204" s="42" t="s">
        <v>124</v>
      </c>
      <c r="V204" s="42" t="s">
        <v>124</v>
      </c>
      <c r="W204" s="42" t="s">
        <v>124</v>
      </c>
      <c r="X204" s="42" t="s">
        <v>124</v>
      </c>
      <c r="Y204" s="43" t="str">
        <f>IF(CCUS_Projects_Database!$R201&lt;&gt;"",HYPERLINK(CCUS_Projects_Database!$R201,"Link 1"),"")</f>
        <v>Link 1</v>
      </c>
      <c r="Z204" s="43" t="str">
        <f>IF(CCUS_Projects_Database!$S201&lt;&gt;"",HYPERLINK(CCUS_Projects_Database!$S201,"Link 2"),"")</f>
        <v/>
      </c>
      <c r="AA204" s="43" t="str">
        <f>IF(CCUS_Projects_Database!$T201&lt;&gt;"",HYPERLINK(CCUS_Projects_Database!$T201,"Link 3"),"")</f>
        <v/>
      </c>
      <c r="AB204" s="43" t="str">
        <f>IF(CCUS_Projects_Database!$U201&lt;&gt;"",HYPERLINK(CCUS_Projects_Database!$U201,"Link 4"),"")</f>
        <v/>
      </c>
      <c r="AC204" s="43" t="str">
        <f>IF(CCUS_Projects_Database!$V201&lt;&gt;"",HYPERLINK(CCUS_Projects_Database!$V201,"Link 5"),"")</f>
        <v/>
      </c>
      <c r="AD204" s="43" t="str">
        <f>IF(CCUS_Projects_Database!$W201&lt;&gt;"",HYPERLINK(CCUS_Projects_Database!$W201,"Link 6"),"")</f>
        <v/>
      </c>
      <c r="AE204" s="43" t="str">
        <f>IF(CCUS_Projects_Database!$X201&lt;&gt;"",HYPERLINK(CCUS_Projects_Database!$X201,"Link 7"),"")</f>
        <v/>
      </c>
    </row>
    <row r="205" ht="15.75" customHeight="1">
      <c r="A205" s="44" t="s">
        <v>872</v>
      </c>
      <c r="B205" s="45">
        <v>665.0</v>
      </c>
      <c r="C205" s="45" t="s">
        <v>204</v>
      </c>
      <c r="D205" s="46" t="s">
        <v>873</v>
      </c>
      <c r="E205" s="45" t="s">
        <v>10</v>
      </c>
      <c r="F205" s="45">
        <v>2022.0</v>
      </c>
      <c r="G205" s="45" t="s">
        <v>124</v>
      </c>
      <c r="H205" s="45" t="s">
        <v>124</v>
      </c>
      <c r="I205" s="45" t="s">
        <v>124</v>
      </c>
      <c r="J205" s="45" t="s">
        <v>28</v>
      </c>
      <c r="K205" s="47">
        <v>1.0</v>
      </c>
      <c r="L205" s="52">
        <v>10.3</v>
      </c>
      <c r="M205" s="47" t="s">
        <v>124</v>
      </c>
      <c r="N205" s="45" t="s">
        <v>10</v>
      </c>
      <c r="O205" s="48" t="s">
        <v>71</v>
      </c>
      <c r="P205" s="49" t="s">
        <v>874</v>
      </c>
      <c r="Q205" s="45" t="s">
        <v>125</v>
      </c>
      <c r="R205" s="49" t="s">
        <v>329</v>
      </c>
      <c r="S205" s="49" t="s">
        <v>124</v>
      </c>
      <c r="T205" s="49" t="s">
        <v>124</v>
      </c>
      <c r="U205" s="49" t="s">
        <v>124</v>
      </c>
      <c r="V205" s="49" t="s">
        <v>124</v>
      </c>
      <c r="W205" s="49" t="s">
        <v>124</v>
      </c>
      <c r="X205" s="49" t="s">
        <v>124</v>
      </c>
      <c r="Y205" s="50" t="str">
        <f>IF(CCUS_Projects_Database!$R202&lt;&gt;"",HYPERLINK(CCUS_Projects_Database!$R202,"Link 1"),"")</f>
        <v>Link 1</v>
      </c>
      <c r="Z205" s="50" t="str">
        <f>IF(CCUS_Projects_Database!$S202&lt;&gt;"",HYPERLINK(CCUS_Projects_Database!$S202,"Link 2"),"")</f>
        <v/>
      </c>
      <c r="AA205" s="50" t="str">
        <f>IF(CCUS_Projects_Database!$T202&lt;&gt;"",HYPERLINK(CCUS_Projects_Database!$T202,"Link 3"),"")</f>
        <v/>
      </c>
      <c r="AB205" s="50" t="str">
        <f>IF(CCUS_Projects_Database!$U202&lt;&gt;"",HYPERLINK(CCUS_Projects_Database!$U202,"Link 4"),"")</f>
        <v/>
      </c>
      <c r="AC205" s="50" t="str">
        <f>IF(CCUS_Projects_Database!$V202&lt;&gt;"",HYPERLINK(CCUS_Projects_Database!$V202,"Link 5"),"")</f>
        <v/>
      </c>
      <c r="AD205" s="50" t="str">
        <f>IF(CCUS_Projects_Database!$W202&lt;&gt;"",HYPERLINK(CCUS_Projects_Database!$W202,"Link 6"),"")</f>
        <v/>
      </c>
      <c r="AE205" s="50" t="str">
        <f>IF(CCUS_Projects_Database!$X202&lt;&gt;"",HYPERLINK(CCUS_Projects_Database!$X202,"Link 7"),"")</f>
        <v/>
      </c>
    </row>
    <row r="206" ht="15.75" customHeight="1">
      <c r="A206" s="37" t="s">
        <v>875</v>
      </c>
      <c r="B206" s="38">
        <v>253.0</v>
      </c>
      <c r="C206" s="38" t="s">
        <v>141</v>
      </c>
      <c r="D206" s="39" t="s">
        <v>876</v>
      </c>
      <c r="E206" s="38" t="s">
        <v>6</v>
      </c>
      <c r="F206" s="38">
        <v>2020.0</v>
      </c>
      <c r="G206" s="38" t="s">
        <v>124</v>
      </c>
      <c r="H206" s="38">
        <v>2025.0</v>
      </c>
      <c r="I206" s="38" t="s">
        <v>124</v>
      </c>
      <c r="J206" s="38" t="s">
        <v>28</v>
      </c>
      <c r="K206" s="40" t="s">
        <v>124</v>
      </c>
      <c r="L206" s="40"/>
      <c r="M206" s="40">
        <v>1.5</v>
      </c>
      <c r="N206" s="38" t="s">
        <v>56</v>
      </c>
      <c r="O206" s="41" t="s">
        <v>71</v>
      </c>
      <c r="P206" s="42" t="s">
        <v>124</v>
      </c>
      <c r="Q206" s="38" t="s">
        <v>143</v>
      </c>
      <c r="R206" s="42" t="s">
        <v>877</v>
      </c>
      <c r="S206" s="42" t="s">
        <v>878</v>
      </c>
      <c r="T206" s="42" t="s">
        <v>879</v>
      </c>
      <c r="U206" s="42" t="s">
        <v>880</v>
      </c>
      <c r="V206" s="42" t="s">
        <v>124</v>
      </c>
      <c r="W206" s="42" t="s">
        <v>124</v>
      </c>
      <c r="X206" s="42" t="s">
        <v>124</v>
      </c>
      <c r="Y206" s="43" t="str">
        <f>IF(CCUS_Projects_Database!$R203&lt;&gt;"",HYPERLINK(CCUS_Projects_Database!$R203,"Link 1"),"")</f>
        <v>Link 1</v>
      </c>
      <c r="Z206" s="43" t="str">
        <f>IF(CCUS_Projects_Database!$S203&lt;&gt;"",HYPERLINK(CCUS_Projects_Database!$S203,"Link 2"),"")</f>
        <v>Link 2</v>
      </c>
      <c r="AA206" s="43" t="str">
        <f>IF(CCUS_Projects_Database!$T203&lt;&gt;"",HYPERLINK(CCUS_Projects_Database!$T203,"Link 3"),"")</f>
        <v/>
      </c>
      <c r="AB206" s="43" t="str">
        <f>IF(CCUS_Projects_Database!$U203&lt;&gt;"",HYPERLINK(CCUS_Projects_Database!$U203,"Link 4"),"")</f>
        <v/>
      </c>
      <c r="AC206" s="43" t="str">
        <f>IF(CCUS_Projects_Database!$V203&lt;&gt;"",HYPERLINK(CCUS_Projects_Database!$V203,"Link 5"),"")</f>
        <v/>
      </c>
      <c r="AD206" s="43" t="str">
        <f>IF(CCUS_Projects_Database!$W203&lt;&gt;"",HYPERLINK(CCUS_Projects_Database!$W203,"Link 6"),"")</f>
        <v/>
      </c>
      <c r="AE206" s="43" t="str">
        <f>IF(CCUS_Projects_Database!$X203&lt;&gt;"",HYPERLINK(CCUS_Projects_Database!$X203,"Link 7"),"")</f>
        <v/>
      </c>
    </row>
    <row r="207" ht="15.75" customHeight="1">
      <c r="A207" s="44" t="s">
        <v>881</v>
      </c>
      <c r="B207" s="45">
        <v>950.0</v>
      </c>
      <c r="C207" s="45" t="s">
        <v>247</v>
      </c>
      <c r="D207" s="46" t="s">
        <v>882</v>
      </c>
      <c r="E207" s="45" t="s">
        <v>10</v>
      </c>
      <c r="F207" s="45" t="s">
        <v>124</v>
      </c>
      <c r="G207" s="45" t="s">
        <v>124</v>
      </c>
      <c r="H207" s="45" t="s">
        <v>124</v>
      </c>
      <c r="I207" s="45" t="s">
        <v>124</v>
      </c>
      <c r="J207" s="45" t="s">
        <v>28</v>
      </c>
      <c r="K207" s="47" t="s">
        <v>124</v>
      </c>
      <c r="L207" s="52">
        <v>10.0</v>
      </c>
      <c r="M207" s="47">
        <v>5.4</v>
      </c>
      <c r="N207" s="45" t="s">
        <v>10</v>
      </c>
      <c r="O207" s="48" t="s">
        <v>71</v>
      </c>
      <c r="P207" s="49" t="s">
        <v>326</v>
      </c>
      <c r="Q207" s="45" t="s">
        <v>125</v>
      </c>
      <c r="R207" s="49" t="s">
        <v>124</v>
      </c>
      <c r="S207" s="49" t="s">
        <v>124</v>
      </c>
      <c r="T207" s="49" t="s">
        <v>124</v>
      </c>
      <c r="U207" s="49" t="s">
        <v>124</v>
      </c>
      <c r="V207" s="49" t="s">
        <v>124</v>
      </c>
      <c r="W207" s="49" t="s">
        <v>124</v>
      </c>
      <c r="X207" s="49" t="s">
        <v>124</v>
      </c>
      <c r="Y207" s="50" t="str">
        <f>IF(CCUS_Projects_Database!$R204&lt;&gt;"",HYPERLINK(CCUS_Projects_Database!$R204,"Link 1"),"")</f>
        <v>Link 1</v>
      </c>
      <c r="Z207" s="50" t="str">
        <f>IF(CCUS_Projects_Database!$S204&lt;&gt;"",HYPERLINK(CCUS_Projects_Database!$S204,"Link 2"),"")</f>
        <v/>
      </c>
      <c r="AA207" s="50" t="str">
        <f>IF(CCUS_Projects_Database!$T204&lt;&gt;"",HYPERLINK(CCUS_Projects_Database!$T204,"Link 3"),"")</f>
        <v/>
      </c>
      <c r="AB207" s="50" t="str">
        <f>IF(CCUS_Projects_Database!$U204&lt;&gt;"",HYPERLINK(CCUS_Projects_Database!$U204,"Link 4"),"")</f>
        <v/>
      </c>
      <c r="AC207" s="50" t="str">
        <f>IF(CCUS_Projects_Database!$V204&lt;&gt;"",HYPERLINK(CCUS_Projects_Database!$V204,"Link 5"),"")</f>
        <v/>
      </c>
      <c r="AD207" s="50" t="str">
        <f>IF(CCUS_Projects_Database!$W204&lt;&gt;"",HYPERLINK(CCUS_Projects_Database!$W204,"Link 6"),"")</f>
        <v/>
      </c>
      <c r="AE207" s="50" t="str">
        <f>IF(CCUS_Projects_Database!$X204&lt;&gt;"",HYPERLINK(CCUS_Projects_Database!$X204,"Link 7"),"")</f>
        <v/>
      </c>
    </row>
    <row r="208" ht="15.75" customHeight="1">
      <c r="A208" s="37" t="s">
        <v>883</v>
      </c>
      <c r="B208" s="38">
        <v>951.0</v>
      </c>
      <c r="C208" s="38" t="s">
        <v>247</v>
      </c>
      <c r="D208" s="39" t="s">
        <v>882</v>
      </c>
      <c r="E208" s="38" t="s">
        <v>10</v>
      </c>
      <c r="F208" s="38" t="s">
        <v>124</v>
      </c>
      <c r="G208" s="38" t="s">
        <v>124</v>
      </c>
      <c r="H208" s="38" t="s">
        <v>124</v>
      </c>
      <c r="I208" s="38" t="s">
        <v>124</v>
      </c>
      <c r="J208" s="38" t="s">
        <v>28</v>
      </c>
      <c r="K208" s="40">
        <v>2.0</v>
      </c>
      <c r="L208" s="51">
        <v>0.7</v>
      </c>
      <c r="M208" s="40">
        <v>10.3</v>
      </c>
      <c r="N208" s="38" t="s">
        <v>10</v>
      </c>
      <c r="O208" s="41" t="s">
        <v>71</v>
      </c>
      <c r="P208" s="42" t="s">
        <v>326</v>
      </c>
      <c r="Q208" s="38" t="s">
        <v>125</v>
      </c>
      <c r="R208" s="42" t="s">
        <v>124</v>
      </c>
      <c r="S208" s="42" t="s">
        <v>124</v>
      </c>
      <c r="T208" s="42" t="s">
        <v>124</v>
      </c>
      <c r="U208" s="42" t="s">
        <v>124</v>
      </c>
      <c r="V208" s="42" t="s">
        <v>124</v>
      </c>
      <c r="W208" s="42" t="s">
        <v>124</v>
      </c>
      <c r="X208" s="42" t="s">
        <v>124</v>
      </c>
      <c r="Y208" s="43" t="str">
        <f>IF(CCUS_Projects_Database!$R205&lt;&gt;"",HYPERLINK(CCUS_Projects_Database!$R205,"Link 1"),"")</f>
        <v>Link 1</v>
      </c>
      <c r="Z208" s="43" t="str">
        <f>IF(CCUS_Projects_Database!$S205&lt;&gt;"",HYPERLINK(CCUS_Projects_Database!$S205,"Link 2"),"")</f>
        <v/>
      </c>
      <c r="AA208" s="43" t="str">
        <f>IF(CCUS_Projects_Database!$T205&lt;&gt;"",HYPERLINK(CCUS_Projects_Database!$T205,"Link 3"),"")</f>
        <v/>
      </c>
      <c r="AB208" s="43" t="str">
        <f>IF(CCUS_Projects_Database!$U205&lt;&gt;"",HYPERLINK(CCUS_Projects_Database!$U205,"Link 4"),"")</f>
        <v/>
      </c>
      <c r="AC208" s="43" t="str">
        <f>IF(CCUS_Projects_Database!$V205&lt;&gt;"",HYPERLINK(CCUS_Projects_Database!$V205,"Link 5"),"")</f>
        <v/>
      </c>
      <c r="AD208" s="43" t="str">
        <f>IF(CCUS_Projects_Database!$W205&lt;&gt;"",HYPERLINK(CCUS_Projects_Database!$W205,"Link 6"),"")</f>
        <v/>
      </c>
      <c r="AE208" s="43" t="str">
        <f>IF(CCUS_Projects_Database!$X205&lt;&gt;"",HYPERLINK(CCUS_Projects_Database!$X205,"Link 7"),"")</f>
        <v/>
      </c>
    </row>
    <row r="209" ht="15.75" customHeight="1">
      <c r="A209" s="44" t="s">
        <v>884</v>
      </c>
      <c r="B209" s="45">
        <v>1009.0</v>
      </c>
      <c r="C209" s="45" t="s">
        <v>141</v>
      </c>
      <c r="D209" s="46" t="s">
        <v>885</v>
      </c>
      <c r="E209" s="45" t="s">
        <v>10</v>
      </c>
      <c r="F209" s="45">
        <v>2023.0</v>
      </c>
      <c r="G209" s="45" t="s">
        <v>124</v>
      </c>
      <c r="H209" s="45" t="s">
        <v>124</v>
      </c>
      <c r="I209" s="45" t="s">
        <v>124</v>
      </c>
      <c r="J209" s="45" t="s">
        <v>28</v>
      </c>
      <c r="K209" s="47" t="s">
        <v>124</v>
      </c>
      <c r="L209" s="47"/>
      <c r="M209" s="47" t="s">
        <v>124</v>
      </c>
      <c r="N209" s="45" t="s">
        <v>10</v>
      </c>
      <c r="O209" s="48" t="s">
        <v>77</v>
      </c>
      <c r="P209" s="49" t="s">
        <v>321</v>
      </c>
      <c r="Q209" s="45" t="s">
        <v>143</v>
      </c>
      <c r="R209" s="49" t="s">
        <v>886</v>
      </c>
      <c r="S209" s="49" t="s">
        <v>887</v>
      </c>
      <c r="T209" s="49" t="s">
        <v>124</v>
      </c>
      <c r="U209" s="49" t="s">
        <v>124</v>
      </c>
      <c r="V209" s="49" t="s">
        <v>124</v>
      </c>
      <c r="W209" s="49" t="s">
        <v>124</v>
      </c>
      <c r="X209" s="49" t="s">
        <v>124</v>
      </c>
      <c r="Y209" s="50" t="str">
        <f>IF(CCUS_Projects_Database!$R206&lt;&gt;"",HYPERLINK(CCUS_Projects_Database!$R206,"Link 1"),"")</f>
        <v>Link 1</v>
      </c>
      <c r="Z209" s="50" t="str">
        <f>IF(CCUS_Projects_Database!$S206&lt;&gt;"",HYPERLINK(CCUS_Projects_Database!$S206,"Link 2"),"")</f>
        <v>Link 2</v>
      </c>
      <c r="AA209" s="50" t="str">
        <f>IF(CCUS_Projects_Database!$T206&lt;&gt;"",HYPERLINK(CCUS_Projects_Database!$T206,"Link 3"),"")</f>
        <v>Link 3</v>
      </c>
      <c r="AB209" s="50" t="str">
        <f>IF(CCUS_Projects_Database!$U206&lt;&gt;"",HYPERLINK(CCUS_Projects_Database!$U206,"Link 4"),"")</f>
        <v>Link 4</v>
      </c>
      <c r="AC209" s="50" t="str">
        <f>IF(CCUS_Projects_Database!$V206&lt;&gt;"",HYPERLINK(CCUS_Projects_Database!$V206,"Link 5"),"")</f>
        <v/>
      </c>
      <c r="AD209" s="50" t="str">
        <f>IF(CCUS_Projects_Database!$W206&lt;&gt;"",HYPERLINK(CCUS_Projects_Database!$W206,"Link 6"),"")</f>
        <v/>
      </c>
      <c r="AE209" s="50" t="str">
        <f>IF(CCUS_Projects_Database!$X206&lt;&gt;"",HYPERLINK(CCUS_Projects_Database!$X206,"Link 7"),"")</f>
        <v/>
      </c>
    </row>
    <row r="210" ht="15.75" customHeight="1">
      <c r="A210" s="37" t="s">
        <v>888</v>
      </c>
      <c r="B210" s="38">
        <v>527.0</v>
      </c>
      <c r="C210" s="38" t="s">
        <v>247</v>
      </c>
      <c r="D210" s="39" t="s">
        <v>889</v>
      </c>
      <c r="E210" s="38" t="s">
        <v>10</v>
      </c>
      <c r="F210" s="38">
        <v>2022.0</v>
      </c>
      <c r="G210" s="38" t="s">
        <v>124</v>
      </c>
      <c r="H210" s="38">
        <v>2028.0</v>
      </c>
      <c r="I210" s="38" t="s">
        <v>124</v>
      </c>
      <c r="J210" s="38" t="s">
        <v>28</v>
      </c>
      <c r="K210" s="40" t="s">
        <v>124</v>
      </c>
      <c r="L210" s="51">
        <v>1.25</v>
      </c>
      <c r="M210" s="40">
        <v>10.0</v>
      </c>
      <c r="N210" s="38" t="s">
        <v>10</v>
      </c>
      <c r="O210" s="41" t="s">
        <v>71</v>
      </c>
      <c r="P210" s="42" t="s">
        <v>890</v>
      </c>
      <c r="Q210" s="38" t="s">
        <v>125</v>
      </c>
      <c r="R210" s="42" t="s">
        <v>891</v>
      </c>
      <c r="S210" s="42" t="s">
        <v>124</v>
      </c>
      <c r="T210" s="42" t="s">
        <v>124</v>
      </c>
      <c r="U210" s="42" t="s">
        <v>124</v>
      </c>
      <c r="V210" s="42" t="s">
        <v>124</v>
      </c>
      <c r="W210" s="42" t="s">
        <v>124</v>
      </c>
      <c r="X210" s="42" t="s">
        <v>124</v>
      </c>
      <c r="Y210" s="43" t="str">
        <f>IF(CCUS_Projects_Database!$R207&lt;&gt;"",HYPERLINK(CCUS_Projects_Database!$R207,"Link 1"),"")</f>
        <v/>
      </c>
      <c r="Z210" s="43" t="str">
        <f>IF(CCUS_Projects_Database!$S207&lt;&gt;"",HYPERLINK(CCUS_Projects_Database!$S207,"Link 2"),"")</f>
        <v/>
      </c>
      <c r="AA210" s="43" t="str">
        <f>IF(CCUS_Projects_Database!$T207&lt;&gt;"",HYPERLINK(CCUS_Projects_Database!$T207,"Link 3"),"")</f>
        <v/>
      </c>
      <c r="AB210" s="43" t="str">
        <f>IF(CCUS_Projects_Database!$U207&lt;&gt;"",HYPERLINK(CCUS_Projects_Database!$U207,"Link 4"),"")</f>
        <v/>
      </c>
      <c r="AC210" s="43" t="str">
        <f>IF(CCUS_Projects_Database!$V207&lt;&gt;"",HYPERLINK(CCUS_Projects_Database!$V207,"Link 5"),"")</f>
        <v/>
      </c>
      <c r="AD210" s="43" t="str">
        <f>IF(CCUS_Projects_Database!$W207&lt;&gt;"",HYPERLINK(CCUS_Projects_Database!$W207,"Link 6"),"")</f>
        <v/>
      </c>
      <c r="AE210" s="43" t="str">
        <f>IF(CCUS_Projects_Database!$X207&lt;&gt;"",HYPERLINK(CCUS_Projects_Database!$X207,"Link 7"),"")</f>
        <v/>
      </c>
    </row>
    <row r="211" ht="15.75" customHeight="1">
      <c r="A211" s="44" t="s">
        <v>892</v>
      </c>
      <c r="B211" s="45">
        <v>1138.0</v>
      </c>
      <c r="C211" s="45" t="s">
        <v>893</v>
      </c>
      <c r="D211" s="46" t="s">
        <v>894</v>
      </c>
      <c r="E211" s="45" t="s">
        <v>8</v>
      </c>
      <c r="F211" s="45">
        <v>2023.0</v>
      </c>
      <c r="G211" s="45" t="s">
        <v>124</v>
      </c>
      <c r="H211" s="45">
        <v>2029.0</v>
      </c>
      <c r="I211" s="45" t="s">
        <v>124</v>
      </c>
      <c r="J211" s="45" t="s">
        <v>28</v>
      </c>
      <c r="K211" s="47" t="s">
        <v>124</v>
      </c>
      <c r="L211" s="47"/>
      <c r="M211" s="47">
        <v>0.7</v>
      </c>
      <c r="N211" s="45" t="s">
        <v>56</v>
      </c>
      <c r="O211" s="48" t="s">
        <v>71</v>
      </c>
      <c r="P211" s="49" t="s">
        <v>895</v>
      </c>
      <c r="Q211" s="45" t="s">
        <v>125</v>
      </c>
      <c r="R211" s="49" t="s">
        <v>896</v>
      </c>
      <c r="S211" s="49" t="s">
        <v>124</v>
      </c>
      <c r="T211" s="49" t="s">
        <v>124</v>
      </c>
      <c r="U211" s="49" t="s">
        <v>124</v>
      </c>
      <c r="V211" s="49" t="s">
        <v>124</v>
      </c>
      <c r="W211" s="49" t="s">
        <v>124</v>
      </c>
      <c r="X211" s="49" t="s">
        <v>124</v>
      </c>
      <c r="Y211" s="50" t="str">
        <f>IF(CCUS_Projects_Database!$R208&lt;&gt;"",HYPERLINK(CCUS_Projects_Database!$R208,"Link 1"),"")</f>
        <v/>
      </c>
      <c r="Z211" s="50" t="str">
        <f>IF(CCUS_Projects_Database!$S208&lt;&gt;"",HYPERLINK(CCUS_Projects_Database!$S208,"Link 2"),"")</f>
        <v/>
      </c>
      <c r="AA211" s="50" t="str">
        <f>IF(CCUS_Projects_Database!$T208&lt;&gt;"",HYPERLINK(CCUS_Projects_Database!$T208,"Link 3"),"")</f>
        <v/>
      </c>
      <c r="AB211" s="50" t="str">
        <f>IF(CCUS_Projects_Database!$U208&lt;&gt;"",HYPERLINK(CCUS_Projects_Database!$U208,"Link 4"),"")</f>
        <v/>
      </c>
      <c r="AC211" s="50" t="str">
        <f>IF(CCUS_Projects_Database!$V208&lt;&gt;"",HYPERLINK(CCUS_Projects_Database!$V208,"Link 5"),"")</f>
        <v/>
      </c>
      <c r="AD211" s="50" t="str">
        <f>IF(CCUS_Projects_Database!$W208&lt;&gt;"",HYPERLINK(CCUS_Projects_Database!$W208,"Link 6"),"")</f>
        <v/>
      </c>
      <c r="AE211" s="50" t="str">
        <f>IF(CCUS_Projects_Database!$X208&lt;&gt;"",HYPERLINK(CCUS_Projects_Database!$X208,"Link 7"),"")</f>
        <v/>
      </c>
    </row>
    <row r="212" ht="15.75" customHeight="1">
      <c r="A212" s="37" t="s">
        <v>863</v>
      </c>
      <c r="B212" s="38">
        <v>963.0</v>
      </c>
      <c r="C212" s="38" t="s">
        <v>141</v>
      </c>
      <c r="D212" s="39" t="s">
        <v>897</v>
      </c>
      <c r="E212" s="38" t="s">
        <v>12</v>
      </c>
      <c r="F212" s="38">
        <v>2021.0</v>
      </c>
      <c r="G212" s="38">
        <v>2025.0</v>
      </c>
      <c r="H212" s="38" t="s">
        <v>124</v>
      </c>
      <c r="I212" s="38" t="s">
        <v>124</v>
      </c>
      <c r="J212" s="38" t="s">
        <v>28</v>
      </c>
      <c r="K212" s="40" t="s">
        <v>124</v>
      </c>
      <c r="L212" s="51">
        <v>0.1</v>
      </c>
      <c r="M212" s="40" t="s">
        <v>124</v>
      </c>
      <c r="N212" s="38" t="s">
        <v>12</v>
      </c>
      <c r="O212" s="41" t="s">
        <v>71</v>
      </c>
      <c r="P212" s="42" t="s">
        <v>863</v>
      </c>
      <c r="Q212" s="38" t="s">
        <v>143</v>
      </c>
      <c r="R212" s="42" t="s">
        <v>615</v>
      </c>
      <c r="S212" s="42" t="s">
        <v>124</v>
      </c>
      <c r="T212" s="42" t="s">
        <v>124</v>
      </c>
      <c r="U212" s="42" t="s">
        <v>124</v>
      </c>
      <c r="V212" s="42" t="s">
        <v>124</v>
      </c>
      <c r="W212" s="42" t="s">
        <v>124</v>
      </c>
      <c r="X212" s="42" t="s">
        <v>124</v>
      </c>
      <c r="Y212" s="43" t="str">
        <f>IF(CCUS_Projects_Database!$R209&lt;&gt;"",HYPERLINK(CCUS_Projects_Database!$R209,"Link 1"),"")</f>
        <v>Link 1</v>
      </c>
      <c r="Z212" s="43" t="str">
        <f>IF(CCUS_Projects_Database!$S209&lt;&gt;"",HYPERLINK(CCUS_Projects_Database!$S209,"Link 2"),"")</f>
        <v>Link 2</v>
      </c>
      <c r="AA212" s="43" t="str">
        <f>IF(CCUS_Projects_Database!$T209&lt;&gt;"",HYPERLINK(CCUS_Projects_Database!$T209,"Link 3"),"")</f>
        <v/>
      </c>
      <c r="AB212" s="43" t="str">
        <f>IF(CCUS_Projects_Database!$U209&lt;&gt;"",HYPERLINK(CCUS_Projects_Database!$U209,"Link 4"),"")</f>
        <v/>
      </c>
      <c r="AC212" s="43" t="str">
        <f>IF(CCUS_Projects_Database!$V209&lt;&gt;"",HYPERLINK(CCUS_Projects_Database!$V209,"Link 5"),"")</f>
        <v/>
      </c>
      <c r="AD212" s="43" t="str">
        <f>IF(CCUS_Projects_Database!$W209&lt;&gt;"",HYPERLINK(CCUS_Projects_Database!$W209,"Link 6"),"")</f>
        <v/>
      </c>
      <c r="AE212" s="43" t="str">
        <f>IF(CCUS_Projects_Database!$X209&lt;&gt;"",HYPERLINK(CCUS_Projects_Database!$X209,"Link 7"),"")</f>
        <v/>
      </c>
    </row>
    <row r="213" ht="15.75" customHeight="1">
      <c r="A213" s="44" t="s">
        <v>898</v>
      </c>
      <c r="B213" s="45">
        <v>711.0</v>
      </c>
      <c r="C213" s="45" t="s">
        <v>141</v>
      </c>
      <c r="D213" s="46" t="s">
        <v>899</v>
      </c>
      <c r="E213" s="45" t="s">
        <v>12</v>
      </c>
      <c r="F213" s="45">
        <v>2022.0</v>
      </c>
      <c r="G213" s="45" t="s">
        <v>124</v>
      </c>
      <c r="H213" s="45" t="s">
        <v>124</v>
      </c>
      <c r="I213" s="45" t="s">
        <v>124</v>
      </c>
      <c r="J213" s="45" t="s">
        <v>28</v>
      </c>
      <c r="K213" s="47" t="s">
        <v>124</v>
      </c>
      <c r="L213" s="52">
        <v>0.5</v>
      </c>
      <c r="M213" s="47">
        <v>1.5</v>
      </c>
      <c r="N213" s="45" t="s">
        <v>12</v>
      </c>
      <c r="O213" s="48" t="s">
        <v>71</v>
      </c>
      <c r="P213" s="49" t="s">
        <v>900</v>
      </c>
      <c r="Q213" s="45" t="s">
        <v>143</v>
      </c>
      <c r="R213" s="49" t="s">
        <v>901</v>
      </c>
      <c r="S213" s="49" t="s">
        <v>902</v>
      </c>
      <c r="T213" s="49" t="s">
        <v>613</v>
      </c>
      <c r="U213" s="49" t="s">
        <v>613</v>
      </c>
      <c r="V213" s="49" t="s">
        <v>124</v>
      </c>
      <c r="W213" s="49" t="s">
        <v>124</v>
      </c>
      <c r="X213" s="49" t="s">
        <v>124</v>
      </c>
      <c r="Y213" s="50" t="str">
        <f>IF(CCUS_Projects_Database!$R210&lt;&gt;"",HYPERLINK(CCUS_Projects_Database!$R210,"Link 1"),"")</f>
        <v>Link 1</v>
      </c>
      <c r="Z213" s="50" t="str">
        <f>IF(CCUS_Projects_Database!$S210&lt;&gt;"",HYPERLINK(CCUS_Projects_Database!$S210,"Link 2"),"")</f>
        <v/>
      </c>
      <c r="AA213" s="50" t="str">
        <f>IF(CCUS_Projects_Database!$T210&lt;&gt;"",HYPERLINK(CCUS_Projects_Database!$T210,"Link 3"),"")</f>
        <v/>
      </c>
      <c r="AB213" s="50" t="str">
        <f>IF(CCUS_Projects_Database!$U210&lt;&gt;"",HYPERLINK(CCUS_Projects_Database!$U210,"Link 4"),"")</f>
        <v/>
      </c>
      <c r="AC213" s="50" t="str">
        <f>IF(CCUS_Projects_Database!$V210&lt;&gt;"",HYPERLINK(CCUS_Projects_Database!$V210,"Link 5"),"")</f>
        <v/>
      </c>
      <c r="AD213" s="50" t="str">
        <f>IF(CCUS_Projects_Database!$W210&lt;&gt;"",HYPERLINK(CCUS_Projects_Database!$W210,"Link 6"),"")</f>
        <v/>
      </c>
      <c r="AE213" s="50" t="str">
        <f>IF(CCUS_Projects_Database!$X210&lt;&gt;"",HYPERLINK(CCUS_Projects_Database!$X210,"Link 7"),"")</f>
        <v/>
      </c>
    </row>
    <row r="214" ht="15.75" customHeight="1">
      <c r="A214" s="37" t="s">
        <v>903</v>
      </c>
      <c r="B214" s="38">
        <v>712.0</v>
      </c>
      <c r="C214" s="38" t="s">
        <v>141</v>
      </c>
      <c r="D214" s="39" t="s">
        <v>904</v>
      </c>
      <c r="E214" s="38" t="s">
        <v>12</v>
      </c>
      <c r="F214" s="38">
        <v>2023.0</v>
      </c>
      <c r="G214" s="38" t="s">
        <v>124</v>
      </c>
      <c r="H214" s="38" t="s">
        <v>124</v>
      </c>
      <c r="I214" s="38" t="s">
        <v>124</v>
      </c>
      <c r="J214" s="38" t="s">
        <v>28</v>
      </c>
      <c r="K214" s="40" t="s">
        <v>124</v>
      </c>
      <c r="L214" s="51">
        <v>0.5</v>
      </c>
      <c r="M214" s="40" t="s">
        <v>124</v>
      </c>
      <c r="N214" s="38" t="s">
        <v>12</v>
      </c>
      <c r="O214" s="41" t="s">
        <v>71</v>
      </c>
      <c r="P214" s="42" t="s">
        <v>905</v>
      </c>
      <c r="Q214" s="38" t="s">
        <v>143</v>
      </c>
      <c r="R214" s="42" t="s">
        <v>902</v>
      </c>
      <c r="S214" s="42" t="s">
        <v>613</v>
      </c>
      <c r="T214" s="42" t="s">
        <v>124</v>
      </c>
      <c r="U214" s="42" t="s">
        <v>124</v>
      </c>
      <c r="V214" s="42" t="s">
        <v>124</v>
      </c>
      <c r="W214" s="42" t="s">
        <v>124</v>
      </c>
      <c r="X214" s="42" t="s">
        <v>124</v>
      </c>
      <c r="Y214" s="43" t="str">
        <f>IF(CCUS_Projects_Database!$R211&lt;&gt;"",HYPERLINK(CCUS_Projects_Database!$R211,"Link 1"),"")</f>
        <v>Link 1</v>
      </c>
      <c r="Z214" s="43" t="str">
        <f>IF(CCUS_Projects_Database!$S211&lt;&gt;"",HYPERLINK(CCUS_Projects_Database!$S211,"Link 2"),"")</f>
        <v/>
      </c>
      <c r="AA214" s="43" t="str">
        <f>IF(CCUS_Projects_Database!$T211&lt;&gt;"",HYPERLINK(CCUS_Projects_Database!$T211,"Link 3"),"")</f>
        <v/>
      </c>
      <c r="AB214" s="43" t="str">
        <f>IF(CCUS_Projects_Database!$U211&lt;&gt;"",HYPERLINK(CCUS_Projects_Database!$U211,"Link 4"),"")</f>
        <v/>
      </c>
      <c r="AC214" s="43" t="str">
        <f>IF(CCUS_Projects_Database!$V211&lt;&gt;"",HYPERLINK(CCUS_Projects_Database!$V211,"Link 5"),"")</f>
        <v/>
      </c>
      <c r="AD214" s="43" t="str">
        <f>IF(CCUS_Projects_Database!$W211&lt;&gt;"",HYPERLINK(CCUS_Projects_Database!$W211,"Link 6"),"")</f>
        <v/>
      </c>
      <c r="AE214" s="43" t="str">
        <f>IF(CCUS_Projects_Database!$X211&lt;&gt;"",HYPERLINK(CCUS_Projects_Database!$X211,"Link 7"),"")</f>
        <v/>
      </c>
    </row>
    <row r="215" ht="15.75" customHeight="1">
      <c r="A215" s="44" t="s">
        <v>906</v>
      </c>
      <c r="B215" s="45">
        <v>102.0</v>
      </c>
      <c r="C215" s="45" t="s">
        <v>824</v>
      </c>
      <c r="D215" s="46" t="s">
        <v>907</v>
      </c>
      <c r="E215" s="45" t="s">
        <v>14</v>
      </c>
      <c r="F215" s="45">
        <v>2021.0</v>
      </c>
      <c r="G215" s="45">
        <v>2024.0</v>
      </c>
      <c r="H215" s="45">
        <v>2026.0</v>
      </c>
      <c r="I215" s="45" t="s">
        <v>124</v>
      </c>
      <c r="J215" s="45" t="s">
        <v>28</v>
      </c>
      <c r="K215" s="47">
        <v>1.0</v>
      </c>
      <c r="L215" s="52">
        <v>2.0</v>
      </c>
      <c r="M215" s="47">
        <v>0.5</v>
      </c>
      <c r="N215" s="45" t="s">
        <v>14</v>
      </c>
      <c r="O215" s="48" t="s">
        <v>71</v>
      </c>
      <c r="P215" s="49" t="s">
        <v>908</v>
      </c>
      <c r="Q215" s="45" t="s">
        <v>125</v>
      </c>
      <c r="R215" s="49" t="s">
        <v>909</v>
      </c>
      <c r="S215" s="49" t="s">
        <v>910</v>
      </c>
      <c r="T215" s="49" t="s">
        <v>911</v>
      </c>
      <c r="U215" s="49" t="s">
        <v>124</v>
      </c>
      <c r="V215" s="49" t="s">
        <v>124</v>
      </c>
      <c r="W215" s="49" t="s">
        <v>124</v>
      </c>
      <c r="X215" s="49" t="s">
        <v>124</v>
      </c>
      <c r="Y215" s="50" t="str">
        <f>IF(CCUS_Projects_Database!$R213&lt;&gt;"",HYPERLINK(CCUS_Projects_Database!$R213,"Link 1"),"")</f>
        <v>Link 1</v>
      </c>
      <c r="Z215" s="50" t="str">
        <f>IF(CCUS_Projects_Database!$S213&lt;&gt;"",HYPERLINK(CCUS_Projects_Database!$S213,"Link 2"),"")</f>
        <v>Link 2</v>
      </c>
      <c r="AA215" s="50" t="str">
        <f>IF(CCUS_Projects_Database!$T213&lt;&gt;"",HYPERLINK(CCUS_Projects_Database!$T213,"Link 3"),"")</f>
        <v>Link 3</v>
      </c>
      <c r="AB215" s="50" t="str">
        <f>IF(CCUS_Projects_Database!$U213&lt;&gt;"",HYPERLINK(CCUS_Projects_Database!$U213,"Link 4"),"")</f>
        <v>Link 4</v>
      </c>
      <c r="AC215" s="50" t="str">
        <f>IF(CCUS_Projects_Database!$V213&lt;&gt;"",HYPERLINK(CCUS_Projects_Database!$V213,"Link 5"),"")</f>
        <v/>
      </c>
      <c r="AD215" s="50" t="str">
        <f>IF(CCUS_Projects_Database!$W213&lt;&gt;"",HYPERLINK(CCUS_Projects_Database!$W213,"Link 6"),"")</f>
        <v/>
      </c>
      <c r="AE215" s="50" t="str">
        <f>IF(CCUS_Projects_Database!$X213&lt;&gt;"",HYPERLINK(CCUS_Projects_Database!$X213,"Link 7"),"")</f>
        <v/>
      </c>
    </row>
    <row r="216" ht="15.75" customHeight="1">
      <c r="A216" s="37" t="s">
        <v>912</v>
      </c>
      <c r="B216" s="38">
        <v>103.0</v>
      </c>
      <c r="C216" s="38" t="s">
        <v>824</v>
      </c>
      <c r="D216" s="39" t="s">
        <v>907</v>
      </c>
      <c r="E216" s="38" t="s">
        <v>14</v>
      </c>
      <c r="F216" s="38">
        <v>2021.0</v>
      </c>
      <c r="G216" s="38" t="s">
        <v>124</v>
      </c>
      <c r="H216" s="38">
        <v>2028.0</v>
      </c>
      <c r="I216" s="38" t="s">
        <v>124</v>
      </c>
      <c r="J216" s="38" t="s">
        <v>28</v>
      </c>
      <c r="K216" s="40">
        <v>2.0</v>
      </c>
      <c r="L216" s="51">
        <v>0.8</v>
      </c>
      <c r="M216" s="40">
        <v>0.5</v>
      </c>
      <c r="N216" s="38" t="s">
        <v>14</v>
      </c>
      <c r="O216" s="41" t="s">
        <v>71</v>
      </c>
      <c r="P216" s="42" t="s">
        <v>908</v>
      </c>
      <c r="Q216" s="38" t="s">
        <v>125</v>
      </c>
      <c r="R216" s="42" t="s">
        <v>909</v>
      </c>
      <c r="S216" s="42" t="s">
        <v>910</v>
      </c>
      <c r="T216" s="42" t="s">
        <v>911</v>
      </c>
      <c r="U216" s="42" t="s">
        <v>124</v>
      </c>
      <c r="V216" s="42" t="s">
        <v>124</v>
      </c>
      <c r="W216" s="42" t="s">
        <v>124</v>
      </c>
      <c r="X216" s="42" t="s">
        <v>124</v>
      </c>
      <c r="Y216" s="43" t="str">
        <f>IF(CCUS_Projects_Database!$R214&lt;&gt;"",HYPERLINK(CCUS_Projects_Database!$R214,"Link 1"),"")</f>
        <v>Link 1</v>
      </c>
      <c r="Z216" s="43" t="str">
        <f>IF(CCUS_Projects_Database!$S214&lt;&gt;"",HYPERLINK(CCUS_Projects_Database!$S214,"Link 2"),"")</f>
        <v>Link 2</v>
      </c>
      <c r="AA216" s="43" t="str">
        <f>IF(CCUS_Projects_Database!$T214&lt;&gt;"",HYPERLINK(CCUS_Projects_Database!$T214,"Link 3"),"")</f>
        <v/>
      </c>
      <c r="AB216" s="43" t="str">
        <f>IF(CCUS_Projects_Database!$U214&lt;&gt;"",HYPERLINK(CCUS_Projects_Database!$U214,"Link 4"),"")</f>
        <v/>
      </c>
      <c r="AC216" s="43" t="str">
        <f>IF(CCUS_Projects_Database!$V214&lt;&gt;"",HYPERLINK(CCUS_Projects_Database!$V214,"Link 5"),"")</f>
        <v/>
      </c>
      <c r="AD216" s="43" t="str">
        <f>IF(CCUS_Projects_Database!$W214&lt;&gt;"",HYPERLINK(CCUS_Projects_Database!$W214,"Link 6"),"")</f>
        <v/>
      </c>
      <c r="AE216" s="43" t="str">
        <f>IF(CCUS_Projects_Database!$X214&lt;&gt;"",HYPERLINK(CCUS_Projects_Database!$X214,"Link 7"),"")</f>
        <v/>
      </c>
    </row>
    <row r="217" ht="15.75" customHeight="1">
      <c r="A217" s="44" t="s">
        <v>913</v>
      </c>
      <c r="B217" s="45">
        <v>104.0</v>
      </c>
      <c r="C217" s="45" t="s">
        <v>824</v>
      </c>
      <c r="D217" s="46" t="s">
        <v>907</v>
      </c>
      <c r="E217" s="45" t="s">
        <v>14</v>
      </c>
      <c r="F217" s="45">
        <v>2021.0</v>
      </c>
      <c r="G217" s="45" t="s">
        <v>124</v>
      </c>
      <c r="H217" s="45">
        <v>2031.0</v>
      </c>
      <c r="I217" s="45" t="s">
        <v>124</v>
      </c>
      <c r="J217" s="45" t="s">
        <v>28</v>
      </c>
      <c r="K217" s="47">
        <v>3.0</v>
      </c>
      <c r="L217" s="47"/>
      <c r="M217" s="47">
        <v>2.0</v>
      </c>
      <c r="N217" s="45" t="s">
        <v>14</v>
      </c>
      <c r="O217" s="48" t="s">
        <v>71</v>
      </c>
      <c r="P217" s="49" t="s">
        <v>908</v>
      </c>
      <c r="Q217" s="45" t="s">
        <v>125</v>
      </c>
      <c r="R217" s="49" t="s">
        <v>909</v>
      </c>
      <c r="S217" s="49" t="s">
        <v>910</v>
      </c>
      <c r="T217" s="49" t="s">
        <v>911</v>
      </c>
      <c r="U217" s="49" t="s">
        <v>124</v>
      </c>
      <c r="V217" s="49" t="s">
        <v>124</v>
      </c>
      <c r="W217" s="49" t="s">
        <v>124</v>
      </c>
      <c r="X217" s="49" t="s">
        <v>124</v>
      </c>
      <c r="Y217" s="50" t="str">
        <f>IF(CCUS_Projects_Database!$R215&lt;&gt;"",HYPERLINK(CCUS_Projects_Database!$R215,"Link 1"),"")</f>
        <v>Link 1</v>
      </c>
      <c r="Z217" s="50" t="str">
        <f>IF(CCUS_Projects_Database!$S215&lt;&gt;"",HYPERLINK(CCUS_Projects_Database!$S215,"Link 2"),"")</f>
        <v>Link 2</v>
      </c>
      <c r="AA217" s="50" t="str">
        <f>IF(CCUS_Projects_Database!$T215&lt;&gt;"",HYPERLINK(CCUS_Projects_Database!$T215,"Link 3"),"")</f>
        <v>Link 3</v>
      </c>
      <c r="AB217" s="50" t="str">
        <f>IF(CCUS_Projects_Database!$U215&lt;&gt;"",HYPERLINK(CCUS_Projects_Database!$U215,"Link 4"),"")</f>
        <v/>
      </c>
      <c r="AC217" s="50" t="str">
        <f>IF(CCUS_Projects_Database!$V215&lt;&gt;"",HYPERLINK(CCUS_Projects_Database!$V215,"Link 5"),"")</f>
        <v/>
      </c>
      <c r="AD217" s="50" t="str">
        <f>IF(CCUS_Projects_Database!$W215&lt;&gt;"",HYPERLINK(CCUS_Projects_Database!$W215,"Link 6"),"")</f>
        <v/>
      </c>
      <c r="AE217" s="50" t="str">
        <f>IF(CCUS_Projects_Database!$X215&lt;&gt;"",HYPERLINK(CCUS_Projects_Database!$X215,"Link 7"),"")</f>
        <v/>
      </c>
    </row>
    <row r="218" ht="15.75" customHeight="1">
      <c r="A218" s="37" t="s">
        <v>914</v>
      </c>
      <c r="B218" s="38">
        <v>105.0</v>
      </c>
      <c r="C218" s="38" t="s">
        <v>141</v>
      </c>
      <c r="D218" s="39" t="s">
        <v>915</v>
      </c>
      <c r="E218" s="38" t="s">
        <v>6</v>
      </c>
      <c r="F218" s="38">
        <v>2011.0</v>
      </c>
      <c r="G218" s="38">
        <v>2011.0</v>
      </c>
      <c r="H218" s="38">
        <v>2013.0</v>
      </c>
      <c r="I218" s="38" t="s">
        <v>124</v>
      </c>
      <c r="J218" s="38" t="s">
        <v>32</v>
      </c>
      <c r="K218" s="40" t="s">
        <v>124</v>
      </c>
      <c r="L218" s="40"/>
      <c r="M218" s="40">
        <v>0.9</v>
      </c>
      <c r="N218" s="38" t="s">
        <v>60</v>
      </c>
      <c r="O218" s="41" t="s">
        <v>73</v>
      </c>
      <c r="P218" s="42" t="s">
        <v>124</v>
      </c>
      <c r="Q218" s="38" t="s">
        <v>143</v>
      </c>
      <c r="R218" s="42" t="s">
        <v>916</v>
      </c>
      <c r="S218" s="42" t="s">
        <v>917</v>
      </c>
      <c r="T218" s="42" t="s">
        <v>918</v>
      </c>
      <c r="U218" s="42" t="s">
        <v>919</v>
      </c>
      <c r="V218" s="42" t="s">
        <v>124</v>
      </c>
      <c r="W218" s="42" t="s">
        <v>124</v>
      </c>
      <c r="X218" s="42" t="s">
        <v>124</v>
      </c>
      <c r="Y218" s="43" t="str">
        <f>IF(CCUS_Projects_Database!$R216&lt;&gt;"",HYPERLINK(CCUS_Projects_Database!$R216,"Link 1"),"")</f>
        <v>Link 1</v>
      </c>
      <c r="Z218" s="43" t="str">
        <f>IF(CCUS_Projects_Database!$S216&lt;&gt;"",HYPERLINK(CCUS_Projects_Database!$S216,"Link 2"),"")</f>
        <v>Link 2</v>
      </c>
      <c r="AA218" s="43" t="str">
        <f>IF(CCUS_Projects_Database!$T216&lt;&gt;"",HYPERLINK(CCUS_Projects_Database!$T216,"Link 3"),"")</f>
        <v>Link 3</v>
      </c>
      <c r="AB218" s="43" t="str">
        <f>IF(CCUS_Projects_Database!$U216&lt;&gt;"",HYPERLINK(CCUS_Projects_Database!$U216,"Link 4"),"")</f>
        <v/>
      </c>
      <c r="AC218" s="43" t="str">
        <f>IF(CCUS_Projects_Database!$V216&lt;&gt;"",HYPERLINK(CCUS_Projects_Database!$V216,"Link 5"),"")</f>
        <v/>
      </c>
      <c r="AD218" s="43" t="str">
        <f>IF(CCUS_Projects_Database!$W216&lt;&gt;"",HYPERLINK(CCUS_Projects_Database!$W216,"Link 6"),"")</f>
        <v/>
      </c>
      <c r="AE218" s="43" t="str">
        <f>IF(CCUS_Projects_Database!$X216&lt;&gt;"",HYPERLINK(CCUS_Projects_Database!$X216,"Link 7"),"")</f>
        <v/>
      </c>
    </row>
    <row r="219" ht="15.75" customHeight="1">
      <c r="A219" s="44" t="s">
        <v>920</v>
      </c>
      <c r="B219" s="45">
        <v>732.0</v>
      </c>
      <c r="C219" s="45" t="s">
        <v>574</v>
      </c>
      <c r="D219" s="46" t="s">
        <v>921</v>
      </c>
      <c r="E219" s="45" t="s">
        <v>8</v>
      </c>
      <c r="F219" s="45">
        <v>2018.0</v>
      </c>
      <c r="G219" s="45" t="s">
        <v>124</v>
      </c>
      <c r="H219" s="45" t="s">
        <v>124</v>
      </c>
      <c r="I219" s="45" t="s">
        <v>124</v>
      </c>
      <c r="J219" s="45" t="s">
        <v>28</v>
      </c>
      <c r="K219" s="47" t="s">
        <v>124</v>
      </c>
      <c r="L219" s="47"/>
      <c r="M219" s="47" t="s">
        <v>124</v>
      </c>
      <c r="N219" s="45" t="s">
        <v>56</v>
      </c>
      <c r="O219" s="48" t="s">
        <v>77</v>
      </c>
      <c r="P219" s="49" t="s">
        <v>124</v>
      </c>
      <c r="Q219" s="45" t="s">
        <v>125</v>
      </c>
      <c r="R219" s="49" t="s">
        <v>922</v>
      </c>
      <c r="S219" s="49" t="s">
        <v>124</v>
      </c>
      <c r="T219" s="49" t="s">
        <v>124</v>
      </c>
      <c r="U219" s="49" t="s">
        <v>124</v>
      </c>
      <c r="V219" s="49" t="s">
        <v>124</v>
      </c>
      <c r="W219" s="49" t="s">
        <v>124</v>
      </c>
      <c r="X219" s="49" t="s">
        <v>124</v>
      </c>
      <c r="Y219" s="50" t="str">
        <f>IF(CCUS_Projects_Database!$R217&lt;&gt;"",HYPERLINK(CCUS_Projects_Database!$R217,"Link 1"),"")</f>
        <v>Link 1</v>
      </c>
      <c r="Z219" s="50" t="str">
        <f>IF(CCUS_Projects_Database!$S217&lt;&gt;"",HYPERLINK(CCUS_Projects_Database!$S217,"Link 2"),"")</f>
        <v>Link 2</v>
      </c>
      <c r="AA219" s="50" t="str">
        <f>IF(CCUS_Projects_Database!$T217&lt;&gt;"",HYPERLINK(CCUS_Projects_Database!$T217,"Link 3"),"")</f>
        <v>Link 3</v>
      </c>
      <c r="AB219" s="50" t="str">
        <f>IF(CCUS_Projects_Database!$U217&lt;&gt;"",HYPERLINK(CCUS_Projects_Database!$U217,"Link 4"),"")</f>
        <v/>
      </c>
      <c r="AC219" s="50" t="str">
        <f>IF(CCUS_Projects_Database!$V217&lt;&gt;"",HYPERLINK(CCUS_Projects_Database!$V217,"Link 5"),"")</f>
        <v/>
      </c>
      <c r="AD219" s="50" t="str">
        <f>IF(CCUS_Projects_Database!$W217&lt;&gt;"",HYPERLINK(CCUS_Projects_Database!$W217,"Link 6"),"")</f>
        <v/>
      </c>
      <c r="AE219" s="50" t="str">
        <f>IF(CCUS_Projects_Database!$X217&lt;&gt;"",HYPERLINK(CCUS_Projects_Database!$X217,"Link 7"),"")</f>
        <v/>
      </c>
    </row>
    <row r="220" ht="15.75" customHeight="1">
      <c r="A220" s="37" t="s">
        <v>923</v>
      </c>
      <c r="B220" s="38">
        <v>749.0</v>
      </c>
      <c r="C220" s="38" t="s">
        <v>141</v>
      </c>
      <c r="D220" s="39" t="s">
        <v>924</v>
      </c>
      <c r="E220" s="38" t="s">
        <v>8</v>
      </c>
      <c r="F220" s="38">
        <v>2022.0</v>
      </c>
      <c r="G220" s="38" t="s">
        <v>124</v>
      </c>
      <c r="H220" s="38" t="s">
        <v>124</v>
      </c>
      <c r="I220" s="38" t="s">
        <v>124</v>
      </c>
      <c r="J220" s="38" t="s">
        <v>28</v>
      </c>
      <c r="K220" s="40" t="s">
        <v>124</v>
      </c>
      <c r="L220" s="40"/>
      <c r="M220" s="40" t="s">
        <v>124</v>
      </c>
      <c r="N220" s="38" t="s">
        <v>136</v>
      </c>
      <c r="O220" s="41" t="s">
        <v>77</v>
      </c>
      <c r="P220" s="42" t="s">
        <v>124</v>
      </c>
      <c r="Q220" s="38" t="s">
        <v>143</v>
      </c>
      <c r="R220" s="42" t="s">
        <v>633</v>
      </c>
      <c r="S220" s="42" t="s">
        <v>124</v>
      </c>
      <c r="T220" s="42" t="s">
        <v>124</v>
      </c>
      <c r="U220" s="42" t="s">
        <v>124</v>
      </c>
      <c r="V220" s="42" t="s">
        <v>124</v>
      </c>
      <c r="W220" s="42" t="s">
        <v>124</v>
      </c>
      <c r="X220" s="42" t="s">
        <v>124</v>
      </c>
      <c r="Y220" s="43" t="str">
        <f>IF(CCUS_Projects_Database!$R218&lt;&gt;"",HYPERLINK(CCUS_Projects_Database!$R218,"Link 1"),"")</f>
        <v>Link 1</v>
      </c>
      <c r="Z220" s="43" t="str">
        <f>IF(CCUS_Projects_Database!$S218&lt;&gt;"",HYPERLINK(CCUS_Projects_Database!$S218,"Link 2"),"")</f>
        <v>Link 2</v>
      </c>
      <c r="AA220" s="43" t="str">
        <f>IF(CCUS_Projects_Database!$T218&lt;&gt;"",HYPERLINK(CCUS_Projects_Database!$T218,"Link 3"),"")</f>
        <v>Link 3</v>
      </c>
      <c r="AB220" s="43" t="str">
        <f>IF(CCUS_Projects_Database!$U218&lt;&gt;"",HYPERLINK(CCUS_Projects_Database!$U218,"Link 4"),"")</f>
        <v>Link 4</v>
      </c>
      <c r="AC220" s="43" t="str">
        <f>IF(CCUS_Projects_Database!$V218&lt;&gt;"",HYPERLINK(CCUS_Projects_Database!$V218,"Link 5"),"")</f>
        <v/>
      </c>
      <c r="AD220" s="43" t="str">
        <f>IF(CCUS_Projects_Database!$W218&lt;&gt;"",HYPERLINK(CCUS_Projects_Database!$W218,"Link 6"),"")</f>
        <v/>
      </c>
      <c r="AE220" s="43" t="str">
        <f>IF(CCUS_Projects_Database!$X218&lt;&gt;"",HYPERLINK(CCUS_Projects_Database!$X218,"Link 7"),"")</f>
        <v/>
      </c>
    </row>
    <row r="221" ht="15.75" customHeight="1">
      <c r="A221" s="44" t="s">
        <v>925</v>
      </c>
      <c r="B221" s="45">
        <v>956.0</v>
      </c>
      <c r="C221" s="45" t="s">
        <v>141</v>
      </c>
      <c r="D221" s="46" t="s">
        <v>926</v>
      </c>
      <c r="E221" s="45" t="s">
        <v>8</v>
      </c>
      <c r="F221" s="45">
        <v>2023.0</v>
      </c>
      <c r="G221" s="45">
        <v>2024.0</v>
      </c>
      <c r="H221" s="45">
        <v>2027.0</v>
      </c>
      <c r="I221" s="45" t="s">
        <v>124</v>
      </c>
      <c r="J221" s="45" t="s">
        <v>28</v>
      </c>
      <c r="K221" s="47" t="s">
        <v>124</v>
      </c>
      <c r="L221" s="47"/>
      <c r="M221" s="47" t="s">
        <v>124</v>
      </c>
      <c r="N221" s="45" t="s">
        <v>48</v>
      </c>
      <c r="O221" s="48" t="s">
        <v>71</v>
      </c>
      <c r="P221" s="49" t="s">
        <v>927</v>
      </c>
      <c r="Q221" s="45" t="s">
        <v>143</v>
      </c>
      <c r="R221" s="49" t="s">
        <v>928</v>
      </c>
      <c r="S221" s="49" t="s">
        <v>124</v>
      </c>
      <c r="T221" s="49" t="s">
        <v>124</v>
      </c>
      <c r="U221" s="49" t="s">
        <v>124</v>
      </c>
      <c r="V221" s="49" t="s">
        <v>124</v>
      </c>
      <c r="W221" s="49" t="s">
        <v>124</v>
      </c>
      <c r="X221" s="49" t="s">
        <v>124</v>
      </c>
      <c r="Y221" s="50" t="str">
        <f>IF(CCUS_Projects_Database!$R219&lt;&gt;"",HYPERLINK(CCUS_Projects_Database!$R219,"Link 1"),"")</f>
        <v>Link 1</v>
      </c>
      <c r="Z221" s="50" t="str">
        <f>IF(CCUS_Projects_Database!$S219&lt;&gt;"",HYPERLINK(CCUS_Projects_Database!$S219,"Link 2"),"")</f>
        <v/>
      </c>
      <c r="AA221" s="50" t="str">
        <f>IF(CCUS_Projects_Database!$T219&lt;&gt;"",HYPERLINK(CCUS_Projects_Database!$T219,"Link 3"),"")</f>
        <v/>
      </c>
      <c r="AB221" s="50" t="str">
        <f>IF(CCUS_Projects_Database!$U219&lt;&gt;"",HYPERLINK(CCUS_Projects_Database!$U219,"Link 4"),"")</f>
        <v/>
      </c>
      <c r="AC221" s="50" t="str">
        <f>IF(CCUS_Projects_Database!$V219&lt;&gt;"",HYPERLINK(CCUS_Projects_Database!$V219,"Link 5"),"")</f>
        <v/>
      </c>
      <c r="AD221" s="50" t="str">
        <f>IF(CCUS_Projects_Database!$W219&lt;&gt;"",HYPERLINK(CCUS_Projects_Database!$W219,"Link 6"),"")</f>
        <v/>
      </c>
      <c r="AE221" s="50" t="str">
        <f>IF(CCUS_Projects_Database!$X219&lt;&gt;"",HYPERLINK(CCUS_Projects_Database!$X219,"Link 7"),"")</f>
        <v/>
      </c>
    </row>
    <row r="222" ht="15.75" customHeight="1">
      <c r="A222" s="37" t="s">
        <v>929</v>
      </c>
      <c r="B222" s="38">
        <v>518.0</v>
      </c>
      <c r="C222" s="38" t="s">
        <v>141</v>
      </c>
      <c r="D222" s="39" t="s">
        <v>930</v>
      </c>
      <c r="E222" s="38" t="s">
        <v>8</v>
      </c>
      <c r="F222" s="38">
        <v>2021.0</v>
      </c>
      <c r="G222" s="38" t="s">
        <v>124</v>
      </c>
      <c r="H222" s="38" t="s">
        <v>124</v>
      </c>
      <c r="I222" s="38" t="s">
        <v>124</v>
      </c>
      <c r="J222" s="38" t="s">
        <v>28</v>
      </c>
      <c r="K222" s="40" t="s">
        <v>124</v>
      </c>
      <c r="L222" s="40"/>
      <c r="M222" s="40" t="s">
        <v>124</v>
      </c>
      <c r="N222" s="38" t="s">
        <v>46</v>
      </c>
      <c r="O222" s="41" t="s">
        <v>77</v>
      </c>
      <c r="P222" s="42" t="s">
        <v>124</v>
      </c>
      <c r="Q222" s="38" t="s">
        <v>143</v>
      </c>
      <c r="R222" s="42" t="s">
        <v>931</v>
      </c>
      <c r="S222" s="42" t="s">
        <v>124</v>
      </c>
      <c r="T222" s="42" t="s">
        <v>124</v>
      </c>
      <c r="U222" s="42" t="s">
        <v>124</v>
      </c>
      <c r="V222" s="42" t="s">
        <v>124</v>
      </c>
      <c r="W222" s="42" t="s">
        <v>124</v>
      </c>
      <c r="X222" s="42" t="s">
        <v>124</v>
      </c>
      <c r="Y222" s="43" t="str">
        <f>IF(CCUS_Projects_Database!$R220&lt;&gt;"",HYPERLINK(CCUS_Projects_Database!$R220,"Link 1"),"")</f>
        <v>Link 1</v>
      </c>
      <c r="Z222" s="43" t="str">
        <f>IF(CCUS_Projects_Database!$S220&lt;&gt;"",HYPERLINK(CCUS_Projects_Database!$S220,"Link 2"),"")</f>
        <v/>
      </c>
      <c r="AA222" s="43" t="str">
        <f>IF(CCUS_Projects_Database!$T220&lt;&gt;"",HYPERLINK(CCUS_Projects_Database!$T220,"Link 3"),"")</f>
        <v/>
      </c>
      <c r="AB222" s="43" t="str">
        <f>IF(CCUS_Projects_Database!$U220&lt;&gt;"",HYPERLINK(CCUS_Projects_Database!$U220,"Link 4"),"")</f>
        <v/>
      </c>
      <c r="AC222" s="43" t="str">
        <f>IF(CCUS_Projects_Database!$V220&lt;&gt;"",HYPERLINK(CCUS_Projects_Database!$V220,"Link 5"),"")</f>
        <v/>
      </c>
      <c r="AD222" s="43" t="str">
        <f>IF(CCUS_Projects_Database!$W220&lt;&gt;"",HYPERLINK(CCUS_Projects_Database!$W220,"Link 6"),"")</f>
        <v/>
      </c>
      <c r="AE222" s="43" t="str">
        <f>IF(CCUS_Projects_Database!$X220&lt;&gt;"",HYPERLINK(CCUS_Projects_Database!$X220,"Link 7"),"")</f>
        <v/>
      </c>
    </row>
    <row r="223" ht="15.75" customHeight="1">
      <c r="A223" s="44" t="s">
        <v>932</v>
      </c>
      <c r="B223" s="45">
        <v>1110.0</v>
      </c>
      <c r="C223" s="45" t="s">
        <v>157</v>
      </c>
      <c r="D223" s="46" t="s">
        <v>933</v>
      </c>
      <c r="E223" s="45" t="s">
        <v>8</v>
      </c>
      <c r="F223" s="45">
        <v>2021.0</v>
      </c>
      <c r="G223" s="45" t="s">
        <v>124</v>
      </c>
      <c r="H223" s="45">
        <v>2030.0</v>
      </c>
      <c r="I223" s="45" t="s">
        <v>124</v>
      </c>
      <c r="J223" s="45" t="s">
        <v>28</v>
      </c>
      <c r="K223" s="47" t="s">
        <v>124</v>
      </c>
      <c r="L223" s="47"/>
      <c r="M223" s="47" t="s">
        <v>124</v>
      </c>
      <c r="N223" s="45" t="s">
        <v>46</v>
      </c>
      <c r="O223" s="48" t="s">
        <v>71</v>
      </c>
      <c r="P223" s="49" t="s">
        <v>571</v>
      </c>
      <c r="Q223" s="45" t="s">
        <v>125</v>
      </c>
      <c r="R223" s="49" t="s">
        <v>934</v>
      </c>
      <c r="S223" s="49" t="s">
        <v>124</v>
      </c>
      <c r="T223" s="49" t="s">
        <v>124</v>
      </c>
      <c r="U223" s="49" t="s">
        <v>124</v>
      </c>
      <c r="V223" s="49" t="s">
        <v>124</v>
      </c>
      <c r="W223" s="49" t="s">
        <v>124</v>
      </c>
      <c r="X223" s="49" t="s">
        <v>124</v>
      </c>
      <c r="Y223" s="50" t="str">
        <f>IF(CCUS_Projects_Database!$R221&lt;&gt;"",HYPERLINK(CCUS_Projects_Database!$R221,"Link 1"),"")</f>
        <v>Link 1</v>
      </c>
      <c r="Z223" s="50" t="str">
        <f>IF(CCUS_Projects_Database!$S221&lt;&gt;"",HYPERLINK(CCUS_Projects_Database!$S221,"Link 2"),"")</f>
        <v/>
      </c>
      <c r="AA223" s="50" t="str">
        <f>IF(CCUS_Projects_Database!$T221&lt;&gt;"",HYPERLINK(CCUS_Projects_Database!$T221,"Link 3"),"")</f>
        <v/>
      </c>
      <c r="AB223" s="50" t="str">
        <f>IF(CCUS_Projects_Database!$U221&lt;&gt;"",HYPERLINK(CCUS_Projects_Database!$U221,"Link 4"),"")</f>
        <v/>
      </c>
      <c r="AC223" s="50" t="str">
        <f>IF(CCUS_Projects_Database!$V221&lt;&gt;"",HYPERLINK(CCUS_Projects_Database!$V221,"Link 5"),"")</f>
        <v/>
      </c>
      <c r="AD223" s="50" t="str">
        <f>IF(CCUS_Projects_Database!$W221&lt;&gt;"",HYPERLINK(CCUS_Projects_Database!$W221,"Link 6"),"")</f>
        <v/>
      </c>
      <c r="AE223" s="50" t="str">
        <f>IF(CCUS_Projects_Database!$X221&lt;&gt;"",HYPERLINK(CCUS_Projects_Database!$X221,"Link 7"),"")</f>
        <v/>
      </c>
    </row>
    <row r="224" ht="15.75" customHeight="1">
      <c r="A224" s="37" t="s">
        <v>935</v>
      </c>
      <c r="B224" s="38">
        <v>106.0</v>
      </c>
      <c r="C224" s="38" t="s">
        <v>141</v>
      </c>
      <c r="D224" s="39" t="s">
        <v>936</v>
      </c>
      <c r="E224" s="38" t="s">
        <v>6</v>
      </c>
      <c r="F224" s="38"/>
      <c r="G224" s="38" t="s">
        <v>124</v>
      </c>
      <c r="H224" s="38">
        <v>2003.0</v>
      </c>
      <c r="I224" s="38" t="s">
        <v>124</v>
      </c>
      <c r="J224" s="38" t="s">
        <v>32</v>
      </c>
      <c r="K224" s="40" t="s">
        <v>124</v>
      </c>
      <c r="L224" s="51">
        <v>0.35</v>
      </c>
      <c r="M224" s="40">
        <v>0.35</v>
      </c>
      <c r="N224" s="38" t="s">
        <v>48</v>
      </c>
      <c r="O224" s="41" t="s">
        <v>73</v>
      </c>
      <c r="P224" s="42" t="s">
        <v>124</v>
      </c>
      <c r="Q224" s="38" t="s">
        <v>143</v>
      </c>
      <c r="R224" s="42" t="s">
        <v>937</v>
      </c>
      <c r="S224" s="42" t="s">
        <v>938</v>
      </c>
      <c r="T224" s="42" t="s">
        <v>124</v>
      </c>
      <c r="U224" s="42" t="s">
        <v>124</v>
      </c>
      <c r="V224" s="42" t="s">
        <v>124</v>
      </c>
      <c r="W224" s="42" t="s">
        <v>124</v>
      </c>
      <c r="X224" s="42" t="s">
        <v>124</v>
      </c>
      <c r="Y224" s="43" t="str">
        <f>IF(CCUS_Projects_Database!$R224&lt;&gt;"",HYPERLINK(CCUS_Projects_Database!$R224,"Link 1"),"")</f>
        <v>Link 1</v>
      </c>
      <c r="Z224" s="43" t="str">
        <f>IF(CCUS_Projects_Database!$S224&lt;&gt;"",HYPERLINK(CCUS_Projects_Database!$S224,"Link 2"),"")</f>
        <v>Link 2</v>
      </c>
      <c r="AA224" s="43" t="str">
        <f>IF(CCUS_Projects_Database!$T224&lt;&gt;"",HYPERLINK(CCUS_Projects_Database!$T224,"Link 3"),"")</f>
        <v/>
      </c>
      <c r="AB224" s="43" t="str">
        <f>IF(CCUS_Projects_Database!$U224&lt;&gt;"",HYPERLINK(CCUS_Projects_Database!$U224,"Link 4"),"")</f>
        <v/>
      </c>
      <c r="AC224" s="43" t="str">
        <f>IF(CCUS_Projects_Database!$V224&lt;&gt;"",HYPERLINK(CCUS_Projects_Database!$V224,"Link 5"),"")</f>
        <v/>
      </c>
      <c r="AD224" s="43" t="str">
        <f>IF(CCUS_Projects_Database!$W224&lt;&gt;"",HYPERLINK(CCUS_Projects_Database!$W224,"Link 6"),"")</f>
        <v/>
      </c>
      <c r="AE224" s="43" t="str">
        <f>IF(CCUS_Projects_Database!$X224&lt;&gt;"",HYPERLINK(CCUS_Projects_Database!$X224,"Link 7"),"")</f>
        <v/>
      </c>
    </row>
    <row r="225" ht="15.75" customHeight="1">
      <c r="A225" s="44" t="s">
        <v>939</v>
      </c>
      <c r="B225" s="45">
        <v>1020.0</v>
      </c>
      <c r="C225" s="45" t="s">
        <v>141</v>
      </c>
      <c r="D225" s="46" t="s">
        <v>940</v>
      </c>
      <c r="E225" s="45" t="s">
        <v>8</v>
      </c>
      <c r="F225" s="45">
        <v>2024.0</v>
      </c>
      <c r="G225" s="45">
        <v>2025.0</v>
      </c>
      <c r="H225" s="45">
        <v>2027.0</v>
      </c>
      <c r="I225" s="45" t="s">
        <v>124</v>
      </c>
      <c r="J225" s="45" t="s">
        <v>28</v>
      </c>
      <c r="K225" s="47" t="s">
        <v>124</v>
      </c>
      <c r="L225" s="52">
        <v>1.4</v>
      </c>
      <c r="M225" s="47">
        <v>1.4</v>
      </c>
      <c r="N225" s="45" t="s">
        <v>136</v>
      </c>
      <c r="O225" s="48" t="s">
        <v>71</v>
      </c>
      <c r="P225" s="49" t="s">
        <v>124</v>
      </c>
      <c r="Q225" s="45" t="s">
        <v>143</v>
      </c>
      <c r="R225" s="49" t="s">
        <v>941</v>
      </c>
      <c r="S225" s="49" t="s">
        <v>942</v>
      </c>
      <c r="T225" s="49" t="s">
        <v>124</v>
      </c>
      <c r="U225" s="49" t="s">
        <v>124</v>
      </c>
      <c r="V225" s="49" t="s">
        <v>124</v>
      </c>
      <c r="W225" s="49" t="s">
        <v>124</v>
      </c>
      <c r="X225" s="49" t="s">
        <v>124</v>
      </c>
      <c r="Y225" s="50" t="str">
        <f>IF(CCUS_Projects_Database!$R225&lt;&gt;"",HYPERLINK(CCUS_Projects_Database!$R225,"Link 1"),"")</f>
        <v>Link 1</v>
      </c>
      <c r="Z225" s="50" t="str">
        <f>IF(CCUS_Projects_Database!$S225&lt;&gt;"",HYPERLINK(CCUS_Projects_Database!$S225,"Link 2"),"")</f>
        <v>Link 2</v>
      </c>
      <c r="AA225" s="50" t="str">
        <f>IF(CCUS_Projects_Database!$T225&lt;&gt;"",HYPERLINK(CCUS_Projects_Database!$T225,"Link 3"),"")</f>
        <v/>
      </c>
      <c r="AB225" s="50" t="str">
        <f>IF(CCUS_Projects_Database!$U225&lt;&gt;"",HYPERLINK(CCUS_Projects_Database!$U225,"Link 4"),"")</f>
        <v/>
      </c>
      <c r="AC225" s="50" t="str">
        <f>IF(CCUS_Projects_Database!$V225&lt;&gt;"",HYPERLINK(CCUS_Projects_Database!$V225,"Link 5"),"")</f>
        <v/>
      </c>
      <c r="AD225" s="50" t="str">
        <f>IF(CCUS_Projects_Database!$W225&lt;&gt;"",HYPERLINK(CCUS_Projects_Database!$W225,"Link 6"),"")</f>
        <v/>
      </c>
      <c r="AE225" s="50" t="str">
        <f>IF(CCUS_Projects_Database!$X225&lt;&gt;"",HYPERLINK(CCUS_Projects_Database!$X225,"Link 7"),"")</f>
        <v/>
      </c>
    </row>
    <row r="226" ht="15.75" customHeight="1">
      <c r="A226" s="37" t="s">
        <v>943</v>
      </c>
      <c r="B226" s="38">
        <v>107.0</v>
      </c>
      <c r="C226" s="38" t="s">
        <v>141</v>
      </c>
      <c r="D226" s="39" t="s">
        <v>944</v>
      </c>
      <c r="E226" s="38" t="s">
        <v>8</v>
      </c>
      <c r="F226" s="38">
        <v>2021.0</v>
      </c>
      <c r="G226" s="38">
        <v>2024.0</v>
      </c>
      <c r="H226" s="38">
        <v>2025.0</v>
      </c>
      <c r="I226" s="38" t="s">
        <v>124</v>
      </c>
      <c r="J226" s="38" t="s">
        <v>28</v>
      </c>
      <c r="K226" s="40" t="s">
        <v>124</v>
      </c>
      <c r="L226" s="51">
        <v>0.2</v>
      </c>
      <c r="M226" s="40">
        <v>0.215</v>
      </c>
      <c r="N226" s="38" t="s">
        <v>50</v>
      </c>
      <c r="O226" s="41" t="s">
        <v>71</v>
      </c>
      <c r="P226" s="42" t="s">
        <v>567</v>
      </c>
      <c r="Q226" s="38" t="s">
        <v>143</v>
      </c>
      <c r="R226" s="42" t="s">
        <v>945</v>
      </c>
      <c r="S226" s="42" t="s">
        <v>946</v>
      </c>
      <c r="T226" s="42" t="s">
        <v>947</v>
      </c>
      <c r="U226" s="42" t="s">
        <v>124</v>
      </c>
      <c r="V226" s="42" t="s">
        <v>124</v>
      </c>
      <c r="W226" s="42" t="s">
        <v>124</v>
      </c>
      <c r="X226" s="42" t="s">
        <v>124</v>
      </c>
      <c r="Y226" s="43" t="str">
        <f>IF(CCUS_Projects_Database!$R226&lt;&gt;"",HYPERLINK(CCUS_Projects_Database!$R226,"Link 1"),"")</f>
        <v>Link 1</v>
      </c>
      <c r="Z226" s="43" t="str">
        <f>IF(CCUS_Projects_Database!$S226&lt;&gt;"",HYPERLINK(CCUS_Projects_Database!$S226,"Link 2"),"")</f>
        <v>Link 2</v>
      </c>
      <c r="AA226" s="43" t="str">
        <f>IF(CCUS_Projects_Database!$T226&lt;&gt;"",HYPERLINK(CCUS_Projects_Database!$T226,"Link 3"),"")</f>
        <v>Link 3</v>
      </c>
      <c r="AB226" s="43" t="str">
        <f>IF(CCUS_Projects_Database!$U226&lt;&gt;"",HYPERLINK(CCUS_Projects_Database!$U226,"Link 4"),"")</f>
        <v/>
      </c>
      <c r="AC226" s="43" t="str">
        <f>IF(CCUS_Projects_Database!$V226&lt;&gt;"",HYPERLINK(CCUS_Projects_Database!$V226,"Link 5"),"")</f>
        <v/>
      </c>
      <c r="AD226" s="43" t="str">
        <f>IF(CCUS_Projects_Database!$W226&lt;&gt;"",HYPERLINK(CCUS_Projects_Database!$W226,"Link 6"),"")</f>
        <v/>
      </c>
      <c r="AE226" s="43" t="str">
        <f>IF(CCUS_Projects_Database!$X226&lt;&gt;"",HYPERLINK(CCUS_Projects_Database!$X226,"Link 7"),"")</f>
        <v/>
      </c>
    </row>
    <row r="227" ht="15.75" customHeight="1">
      <c r="A227" s="44" t="s">
        <v>948</v>
      </c>
      <c r="B227" s="45">
        <v>108.0</v>
      </c>
      <c r="C227" s="45" t="s">
        <v>949</v>
      </c>
      <c r="D227" s="46" t="s">
        <v>950</v>
      </c>
      <c r="E227" s="45" t="s">
        <v>6</v>
      </c>
      <c r="F227" s="45">
        <v>2021.0</v>
      </c>
      <c r="G227" s="45" t="s">
        <v>124</v>
      </c>
      <c r="H227" s="45">
        <v>2025.0</v>
      </c>
      <c r="I227" s="45" t="s">
        <v>124</v>
      </c>
      <c r="J227" s="45" t="s">
        <v>28</v>
      </c>
      <c r="K227" s="47" t="s">
        <v>124</v>
      </c>
      <c r="L227" s="47"/>
      <c r="M227" s="47" t="s">
        <v>124</v>
      </c>
      <c r="N227" s="45" t="s">
        <v>136</v>
      </c>
      <c r="O227" s="48" t="s">
        <v>77</v>
      </c>
      <c r="P227" s="49" t="s">
        <v>124</v>
      </c>
      <c r="Q227" s="45" t="s">
        <v>951</v>
      </c>
      <c r="R227" s="49" t="s">
        <v>124</v>
      </c>
      <c r="S227" s="49" t="s">
        <v>124</v>
      </c>
      <c r="T227" s="49" t="s">
        <v>124</v>
      </c>
      <c r="U227" s="49" t="s">
        <v>124</v>
      </c>
      <c r="V227" s="49" t="s">
        <v>124</v>
      </c>
      <c r="W227" s="49" t="s">
        <v>124</v>
      </c>
      <c r="X227" s="49" t="s">
        <v>124</v>
      </c>
      <c r="Y227" s="50" t="str">
        <f>IF(CCUS_Projects_Database!$R227&lt;&gt;"",HYPERLINK(CCUS_Projects_Database!$R227,"Link 1"),"")</f>
        <v/>
      </c>
      <c r="Z227" s="50" t="str">
        <f>IF(CCUS_Projects_Database!$S227&lt;&gt;"",HYPERLINK(CCUS_Projects_Database!$S227,"Link 2"),"")</f>
        <v/>
      </c>
      <c r="AA227" s="50" t="str">
        <f>IF(CCUS_Projects_Database!$T227&lt;&gt;"",HYPERLINK(CCUS_Projects_Database!$T227,"Link 3"),"")</f>
        <v/>
      </c>
      <c r="AB227" s="50" t="str">
        <f>IF(CCUS_Projects_Database!$U227&lt;&gt;"",HYPERLINK(CCUS_Projects_Database!$U227,"Link 4"),"")</f>
        <v/>
      </c>
      <c r="AC227" s="50" t="str">
        <f>IF(CCUS_Projects_Database!$V227&lt;&gt;"",HYPERLINK(CCUS_Projects_Database!$V227,"Link 5"),"")</f>
        <v/>
      </c>
      <c r="AD227" s="50" t="str">
        <f>IF(CCUS_Projects_Database!$W227&lt;&gt;"",HYPERLINK(CCUS_Projects_Database!$W227,"Link 6"),"")</f>
        <v/>
      </c>
      <c r="AE227" s="50" t="str">
        <f>IF(CCUS_Projects_Database!$X227&lt;&gt;"",HYPERLINK(CCUS_Projects_Database!$X227,"Link 7"),"")</f>
        <v/>
      </c>
    </row>
    <row r="228" ht="15.75" customHeight="1">
      <c r="A228" s="37" t="s">
        <v>952</v>
      </c>
      <c r="B228" s="38">
        <v>109.0</v>
      </c>
      <c r="C228" s="38" t="s">
        <v>949</v>
      </c>
      <c r="D228" s="39" t="s">
        <v>950</v>
      </c>
      <c r="E228" s="38" t="s">
        <v>6</v>
      </c>
      <c r="F228" s="38">
        <v>2021.0</v>
      </c>
      <c r="G228" s="38" t="s">
        <v>124</v>
      </c>
      <c r="H228" s="38">
        <v>2026.0</v>
      </c>
      <c r="I228" s="38" t="s">
        <v>124</v>
      </c>
      <c r="J228" s="38" t="s">
        <v>28</v>
      </c>
      <c r="K228" s="40" t="s">
        <v>124</v>
      </c>
      <c r="L228" s="40"/>
      <c r="M228" s="40" t="s">
        <v>124</v>
      </c>
      <c r="N228" s="38" t="s">
        <v>136</v>
      </c>
      <c r="O228" s="41" t="s">
        <v>77</v>
      </c>
      <c r="P228" s="42" t="s">
        <v>124</v>
      </c>
      <c r="Q228" s="38" t="s">
        <v>951</v>
      </c>
      <c r="R228" s="42" t="s">
        <v>124</v>
      </c>
      <c r="S228" s="42" t="s">
        <v>124</v>
      </c>
      <c r="T228" s="42" t="s">
        <v>124</v>
      </c>
      <c r="U228" s="42" t="s">
        <v>124</v>
      </c>
      <c r="V228" s="42" t="s">
        <v>124</v>
      </c>
      <c r="W228" s="42" t="s">
        <v>124</v>
      </c>
      <c r="X228" s="42" t="s">
        <v>124</v>
      </c>
      <c r="Y228" s="43" t="str">
        <f>IF(CCUS_Projects_Database!$R228&lt;&gt;"",HYPERLINK(CCUS_Projects_Database!$R228,"Link 1"),"")</f>
        <v/>
      </c>
      <c r="Z228" s="43" t="str">
        <f>IF(CCUS_Projects_Database!$S228&lt;&gt;"",HYPERLINK(CCUS_Projects_Database!$S228,"Link 2"),"")</f>
        <v/>
      </c>
      <c r="AA228" s="43" t="str">
        <f>IF(CCUS_Projects_Database!$T228&lt;&gt;"",HYPERLINK(CCUS_Projects_Database!$T228,"Link 3"),"")</f>
        <v/>
      </c>
      <c r="AB228" s="43" t="str">
        <f>IF(CCUS_Projects_Database!$U228&lt;&gt;"",HYPERLINK(CCUS_Projects_Database!$U228,"Link 4"),"")</f>
        <v/>
      </c>
      <c r="AC228" s="43" t="str">
        <f>IF(CCUS_Projects_Database!$V228&lt;&gt;"",HYPERLINK(CCUS_Projects_Database!$V228,"Link 5"),"")</f>
        <v/>
      </c>
      <c r="AD228" s="43" t="str">
        <f>IF(CCUS_Projects_Database!$W228&lt;&gt;"",HYPERLINK(CCUS_Projects_Database!$W228,"Link 6"),"")</f>
        <v/>
      </c>
      <c r="AE228" s="43" t="str">
        <f>IF(CCUS_Projects_Database!$X228&lt;&gt;"",HYPERLINK(CCUS_Projects_Database!$X228,"Link 7"),"")</f>
        <v/>
      </c>
    </row>
    <row r="229" ht="15.75" customHeight="1">
      <c r="A229" s="44" t="s">
        <v>953</v>
      </c>
      <c r="B229" s="45">
        <v>863.0</v>
      </c>
      <c r="C229" s="45" t="s">
        <v>141</v>
      </c>
      <c r="D229" s="46" t="s">
        <v>954</v>
      </c>
      <c r="E229" s="45" t="s">
        <v>12</v>
      </c>
      <c r="F229" s="45">
        <v>2023.0</v>
      </c>
      <c r="G229" s="45" t="s">
        <v>124</v>
      </c>
      <c r="H229" s="45" t="s">
        <v>124</v>
      </c>
      <c r="I229" s="45" t="s">
        <v>124</v>
      </c>
      <c r="J229" s="45" t="s">
        <v>28</v>
      </c>
      <c r="K229" s="47" t="s">
        <v>124</v>
      </c>
      <c r="L229" s="52">
        <v>20.0</v>
      </c>
      <c r="M229" s="47">
        <v>20.0</v>
      </c>
      <c r="N229" s="45" t="s">
        <v>12</v>
      </c>
      <c r="O229" s="48" t="s">
        <v>71</v>
      </c>
      <c r="P229" s="49" t="s">
        <v>953</v>
      </c>
      <c r="Q229" s="45" t="s">
        <v>143</v>
      </c>
      <c r="R229" s="49" t="s">
        <v>124</v>
      </c>
      <c r="S229" s="49" t="s">
        <v>124</v>
      </c>
      <c r="T229" s="49" t="s">
        <v>124</v>
      </c>
      <c r="U229" s="49" t="s">
        <v>124</v>
      </c>
      <c r="V229" s="49" t="s">
        <v>124</v>
      </c>
      <c r="W229" s="49" t="s">
        <v>124</v>
      </c>
      <c r="X229" s="49" t="s">
        <v>124</v>
      </c>
      <c r="Y229" s="50" t="str">
        <f>IF(CCUS_Projects_Database!$R229&lt;&gt;"",HYPERLINK(CCUS_Projects_Database!$R229,"Link 1"),"")</f>
        <v/>
      </c>
      <c r="Z229" s="50" t="str">
        <f>IF(CCUS_Projects_Database!$S229&lt;&gt;"",HYPERLINK(CCUS_Projects_Database!$S229,"Link 2"),"")</f>
        <v/>
      </c>
      <c r="AA229" s="50" t="str">
        <f>IF(CCUS_Projects_Database!$T229&lt;&gt;"",HYPERLINK(CCUS_Projects_Database!$T229,"Link 3"),"")</f>
        <v/>
      </c>
      <c r="AB229" s="50" t="str">
        <f>IF(CCUS_Projects_Database!$U229&lt;&gt;"",HYPERLINK(CCUS_Projects_Database!$U229,"Link 4"),"")</f>
        <v/>
      </c>
      <c r="AC229" s="50" t="str">
        <f>IF(CCUS_Projects_Database!$V229&lt;&gt;"",HYPERLINK(CCUS_Projects_Database!$V229,"Link 5"),"")</f>
        <v/>
      </c>
      <c r="AD229" s="50" t="str">
        <f>IF(CCUS_Projects_Database!$W229&lt;&gt;"",HYPERLINK(CCUS_Projects_Database!$W229,"Link 6"),"")</f>
        <v/>
      </c>
      <c r="AE229" s="50" t="str">
        <f>IF(CCUS_Projects_Database!$X229&lt;&gt;"",HYPERLINK(CCUS_Projects_Database!$X229,"Link 7"),"")</f>
        <v/>
      </c>
    </row>
    <row r="230" ht="15.75" customHeight="1">
      <c r="A230" s="37" t="s">
        <v>955</v>
      </c>
      <c r="B230" s="38">
        <v>863.0</v>
      </c>
      <c r="C230" s="38" t="s">
        <v>141</v>
      </c>
      <c r="D230" s="39" t="s">
        <v>956</v>
      </c>
      <c r="E230" s="38" t="s">
        <v>10</v>
      </c>
      <c r="F230" s="38">
        <v>2022.0</v>
      </c>
      <c r="G230" s="38" t="s">
        <v>124</v>
      </c>
      <c r="H230" s="38">
        <v>2028.0</v>
      </c>
      <c r="I230" s="38" t="s">
        <v>124</v>
      </c>
      <c r="J230" s="38" t="s">
        <v>28</v>
      </c>
      <c r="K230" s="40" t="s">
        <v>124</v>
      </c>
      <c r="L230" s="40"/>
      <c r="M230" s="40" t="s">
        <v>124</v>
      </c>
      <c r="N230" s="38" t="s">
        <v>10</v>
      </c>
      <c r="O230" s="41" t="s">
        <v>77</v>
      </c>
      <c r="P230" s="42" t="s">
        <v>957</v>
      </c>
      <c r="Q230" s="38" t="s">
        <v>143</v>
      </c>
      <c r="R230" s="42" t="s">
        <v>124</v>
      </c>
      <c r="S230" s="42" t="s">
        <v>124</v>
      </c>
      <c r="T230" s="42" t="s">
        <v>124</v>
      </c>
      <c r="U230" s="42" t="s">
        <v>124</v>
      </c>
      <c r="V230" s="42" t="s">
        <v>124</v>
      </c>
      <c r="W230" s="42" t="s">
        <v>124</v>
      </c>
      <c r="X230" s="42" t="s">
        <v>124</v>
      </c>
      <c r="Y230" s="43" t="str">
        <f>IF(CCUS_Projects_Database!$R230&lt;&gt;"",HYPERLINK(CCUS_Projects_Database!$R230,"Link 1"),"")</f>
        <v/>
      </c>
      <c r="Z230" s="43" t="str">
        <f>IF(CCUS_Projects_Database!$S230&lt;&gt;"",HYPERLINK(CCUS_Projects_Database!$S230,"Link 2"),"")</f>
        <v/>
      </c>
      <c r="AA230" s="43" t="str">
        <f>IF(CCUS_Projects_Database!$T230&lt;&gt;"",HYPERLINK(CCUS_Projects_Database!$T230,"Link 3"),"")</f>
        <v/>
      </c>
      <c r="AB230" s="43" t="str">
        <f>IF(CCUS_Projects_Database!$U230&lt;&gt;"",HYPERLINK(CCUS_Projects_Database!$U230,"Link 4"),"")</f>
        <v/>
      </c>
      <c r="AC230" s="43" t="str">
        <f>IF(CCUS_Projects_Database!$V230&lt;&gt;"",HYPERLINK(CCUS_Projects_Database!$V230,"Link 5"),"")</f>
        <v/>
      </c>
      <c r="AD230" s="43" t="str">
        <f>IF(CCUS_Projects_Database!$W230&lt;&gt;"",HYPERLINK(CCUS_Projects_Database!$W230,"Link 6"),"")</f>
        <v/>
      </c>
      <c r="AE230" s="43" t="str">
        <f>IF(CCUS_Projects_Database!$X230&lt;&gt;"",HYPERLINK(CCUS_Projects_Database!$X230,"Link 7"),"")</f>
        <v/>
      </c>
    </row>
    <row r="231" ht="15.75" customHeight="1">
      <c r="A231" s="44" t="s">
        <v>958</v>
      </c>
      <c r="B231" s="45">
        <v>886.0</v>
      </c>
      <c r="C231" s="45" t="s">
        <v>141</v>
      </c>
      <c r="D231" s="46" t="s">
        <v>348</v>
      </c>
      <c r="E231" s="45" t="s">
        <v>12</v>
      </c>
      <c r="F231" s="45">
        <v>2022.0</v>
      </c>
      <c r="G231" s="45" t="s">
        <v>124</v>
      </c>
      <c r="H231" s="45">
        <v>2026.0</v>
      </c>
      <c r="I231" s="45" t="s">
        <v>124</v>
      </c>
      <c r="J231" s="45" t="s">
        <v>28</v>
      </c>
      <c r="K231" s="47" t="s">
        <v>124</v>
      </c>
      <c r="L231" s="52">
        <v>3.5</v>
      </c>
      <c r="M231" s="47">
        <v>5.0</v>
      </c>
      <c r="N231" s="45" t="s">
        <v>12</v>
      </c>
      <c r="O231" s="48" t="s">
        <v>77</v>
      </c>
      <c r="P231" s="49" t="s">
        <v>959</v>
      </c>
      <c r="Q231" s="45" t="s">
        <v>143</v>
      </c>
      <c r="R231" s="49" t="s">
        <v>349</v>
      </c>
      <c r="S231" s="49" t="s">
        <v>124</v>
      </c>
      <c r="T231" s="49" t="s">
        <v>124</v>
      </c>
      <c r="U231" s="49" t="s">
        <v>124</v>
      </c>
      <c r="V231" s="49" t="s">
        <v>124</v>
      </c>
      <c r="W231" s="49" t="s">
        <v>124</v>
      </c>
      <c r="X231" s="49" t="s">
        <v>124</v>
      </c>
      <c r="Y231" s="50" t="str">
        <f>IF(CCUS_Projects_Database!$R231&lt;&gt;"",HYPERLINK(CCUS_Projects_Database!$R231,"Link 1"),"")</f>
        <v>Link 1</v>
      </c>
      <c r="Z231" s="50" t="str">
        <f>IF(CCUS_Projects_Database!$S231&lt;&gt;"",HYPERLINK(CCUS_Projects_Database!$S231,"Link 2"),"")</f>
        <v/>
      </c>
      <c r="AA231" s="50" t="str">
        <f>IF(CCUS_Projects_Database!$T231&lt;&gt;"",HYPERLINK(CCUS_Projects_Database!$T231,"Link 3"),"")</f>
        <v/>
      </c>
      <c r="AB231" s="50" t="str">
        <f>IF(CCUS_Projects_Database!$U231&lt;&gt;"",HYPERLINK(CCUS_Projects_Database!$U231,"Link 4"),"")</f>
        <v/>
      </c>
      <c r="AC231" s="50" t="str">
        <f>IF(CCUS_Projects_Database!$V231&lt;&gt;"",HYPERLINK(CCUS_Projects_Database!$V231,"Link 5"),"")</f>
        <v/>
      </c>
      <c r="AD231" s="50" t="str">
        <f>IF(CCUS_Projects_Database!$W231&lt;&gt;"",HYPERLINK(CCUS_Projects_Database!$W231,"Link 6"),"")</f>
        <v/>
      </c>
      <c r="AE231" s="50" t="str">
        <f>IF(CCUS_Projects_Database!$X231&lt;&gt;"",HYPERLINK(CCUS_Projects_Database!$X231,"Link 7"),"")</f>
        <v/>
      </c>
    </row>
    <row r="232" ht="15.75" customHeight="1">
      <c r="A232" s="37" t="s">
        <v>960</v>
      </c>
      <c r="B232" s="38">
        <v>110.0</v>
      </c>
      <c r="C232" s="38" t="s">
        <v>157</v>
      </c>
      <c r="D232" s="39" t="s">
        <v>961</v>
      </c>
      <c r="E232" s="38" t="s">
        <v>6</v>
      </c>
      <c r="F232" s="38">
        <v>2021.0</v>
      </c>
      <c r="G232" s="38" t="s">
        <v>124</v>
      </c>
      <c r="H232" s="38">
        <v>2030.0</v>
      </c>
      <c r="I232" s="38" t="s">
        <v>124</v>
      </c>
      <c r="J232" s="38" t="s">
        <v>28</v>
      </c>
      <c r="K232" s="40" t="s">
        <v>124</v>
      </c>
      <c r="L232" s="51">
        <v>1.4</v>
      </c>
      <c r="M232" s="40">
        <v>1.3</v>
      </c>
      <c r="N232" s="38" t="s">
        <v>46</v>
      </c>
      <c r="O232" s="41" t="s">
        <v>71</v>
      </c>
      <c r="P232" s="42" t="s">
        <v>962</v>
      </c>
      <c r="Q232" s="38" t="s">
        <v>125</v>
      </c>
      <c r="R232" s="42" t="s">
        <v>963</v>
      </c>
      <c r="S232" s="42" t="s">
        <v>964</v>
      </c>
      <c r="T232" s="42" t="s">
        <v>965</v>
      </c>
      <c r="U232" s="42" t="s">
        <v>966</v>
      </c>
      <c r="V232" s="42" t="s">
        <v>966</v>
      </c>
      <c r="W232" s="42" t="s">
        <v>124</v>
      </c>
      <c r="X232" s="42" t="s">
        <v>124</v>
      </c>
      <c r="Y232" s="43" t="str">
        <f>IF(CCUS_Projects_Database!$R232&lt;&gt;"",HYPERLINK(CCUS_Projects_Database!$R232,"Link 1"),"")</f>
        <v>Link 1</v>
      </c>
      <c r="Z232" s="43" t="str">
        <f>IF(CCUS_Projects_Database!$S232&lt;&gt;"",HYPERLINK(CCUS_Projects_Database!$S232,"Link 2"),"")</f>
        <v>Link 2</v>
      </c>
      <c r="AA232" s="43" t="str">
        <f>IF(CCUS_Projects_Database!$T232&lt;&gt;"",HYPERLINK(CCUS_Projects_Database!$T232,"Link 3"),"")</f>
        <v>Link 3</v>
      </c>
      <c r="AB232" s="43" t="str">
        <f>IF(CCUS_Projects_Database!$U232&lt;&gt;"",HYPERLINK(CCUS_Projects_Database!$U232,"Link 4"),"")</f>
        <v>Link 4</v>
      </c>
      <c r="AC232" s="43" t="str">
        <f>IF(CCUS_Projects_Database!$V232&lt;&gt;"",HYPERLINK(CCUS_Projects_Database!$V232,"Link 5"),"")</f>
        <v>Link 5</v>
      </c>
      <c r="AD232" s="43" t="str">
        <f>IF(CCUS_Projects_Database!$W232&lt;&gt;"",HYPERLINK(CCUS_Projects_Database!$W232,"Link 6"),"")</f>
        <v/>
      </c>
      <c r="AE232" s="43" t="str">
        <f>IF(CCUS_Projects_Database!$X232&lt;&gt;"",HYPERLINK(CCUS_Projects_Database!$X232,"Link 7"),"")</f>
        <v/>
      </c>
    </row>
    <row r="233" ht="15.75" customHeight="1">
      <c r="A233" s="44" t="s">
        <v>967</v>
      </c>
      <c r="B233" s="45">
        <v>111.0</v>
      </c>
      <c r="C233" s="45" t="s">
        <v>141</v>
      </c>
      <c r="D233" s="46" t="s">
        <v>968</v>
      </c>
      <c r="E233" s="45" t="s">
        <v>6</v>
      </c>
      <c r="F233" s="45">
        <v>2021.0</v>
      </c>
      <c r="G233" s="45">
        <v>2024.0</v>
      </c>
      <c r="H233" s="45">
        <v>2025.0</v>
      </c>
      <c r="I233" s="45" t="s">
        <v>124</v>
      </c>
      <c r="J233" s="45" t="s">
        <v>28</v>
      </c>
      <c r="K233" s="47" t="s">
        <v>124</v>
      </c>
      <c r="L233" s="52">
        <v>0.865</v>
      </c>
      <c r="M233" s="47">
        <v>0.865</v>
      </c>
      <c r="N233" s="45" t="s">
        <v>46</v>
      </c>
      <c r="O233" s="48" t="s">
        <v>77</v>
      </c>
      <c r="P233" s="49" t="s">
        <v>124</v>
      </c>
      <c r="Q233" s="45" t="s">
        <v>143</v>
      </c>
      <c r="R233" s="49" t="s">
        <v>969</v>
      </c>
      <c r="S233" s="49" t="s">
        <v>124</v>
      </c>
      <c r="T233" s="49" t="s">
        <v>124</v>
      </c>
      <c r="U233" s="49" t="s">
        <v>124</v>
      </c>
      <c r="V233" s="49" t="s">
        <v>124</v>
      </c>
      <c r="W233" s="49" t="s">
        <v>124</v>
      </c>
      <c r="X233" s="49" t="s">
        <v>124</v>
      </c>
      <c r="Y233" s="50" t="str">
        <f>IF(CCUS_Projects_Database!$R233&lt;&gt;"",HYPERLINK(CCUS_Projects_Database!$R233,"Link 1"),"")</f>
        <v>Link 1</v>
      </c>
      <c r="Z233" s="50" t="str">
        <f>IF(CCUS_Projects_Database!$S233&lt;&gt;"",HYPERLINK(CCUS_Projects_Database!$S233,"Link 2"),"")</f>
        <v/>
      </c>
      <c r="AA233" s="50" t="str">
        <f>IF(CCUS_Projects_Database!$T233&lt;&gt;"",HYPERLINK(CCUS_Projects_Database!$T233,"Link 3"),"")</f>
        <v/>
      </c>
      <c r="AB233" s="50" t="str">
        <f>IF(CCUS_Projects_Database!$U233&lt;&gt;"",HYPERLINK(CCUS_Projects_Database!$U233,"Link 4"),"")</f>
        <v/>
      </c>
      <c r="AC233" s="50" t="str">
        <f>IF(CCUS_Projects_Database!$V233&lt;&gt;"",HYPERLINK(CCUS_Projects_Database!$V233,"Link 5"),"")</f>
        <v/>
      </c>
      <c r="AD233" s="50" t="str">
        <f>IF(CCUS_Projects_Database!$W233&lt;&gt;"",HYPERLINK(CCUS_Projects_Database!$W233,"Link 6"),"")</f>
        <v/>
      </c>
      <c r="AE233" s="50" t="str">
        <f>IF(CCUS_Projects_Database!$X233&lt;&gt;"",HYPERLINK(CCUS_Projects_Database!$X233,"Link 7"),"")</f>
        <v/>
      </c>
    </row>
    <row r="234" ht="15.75" customHeight="1">
      <c r="A234" s="37" t="s">
        <v>970</v>
      </c>
      <c r="B234" s="38">
        <v>931.0</v>
      </c>
      <c r="C234" s="38" t="s">
        <v>224</v>
      </c>
      <c r="D234" s="39" t="s">
        <v>971</v>
      </c>
      <c r="E234" s="38" t="s">
        <v>6</v>
      </c>
      <c r="F234" s="38">
        <v>2023.0</v>
      </c>
      <c r="G234" s="38">
        <v>2023.0</v>
      </c>
      <c r="H234" s="38">
        <v>2027.0</v>
      </c>
      <c r="I234" s="38" t="s">
        <v>124</v>
      </c>
      <c r="J234" s="38" t="s">
        <v>30</v>
      </c>
      <c r="K234" s="40" t="s">
        <v>124</v>
      </c>
      <c r="L234" s="51">
        <v>2.0</v>
      </c>
      <c r="M234" s="40">
        <v>2.0</v>
      </c>
      <c r="N234" s="38" t="s">
        <v>46</v>
      </c>
      <c r="O234" s="41" t="s">
        <v>73</v>
      </c>
      <c r="P234" s="42" t="s">
        <v>846</v>
      </c>
      <c r="Q234" s="38" t="s">
        <v>148</v>
      </c>
      <c r="R234" s="42" t="s">
        <v>972</v>
      </c>
      <c r="S234" s="42" t="s">
        <v>124</v>
      </c>
      <c r="T234" s="42" t="s">
        <v>124</v>
      </c>
      <c r="U234" s="42" t="s">
        <v>124</v>
      </c>
      <c r="V234" s="42" t="s">
        <v>124</v>
      </c>
      <c r="W234" s="42" t="s">
        <v>124</v>
      </c>
      <c r="X234" s="42" t="s">
        <v>124</v>
      </c>
      <c r="Y234" s="43" t="str">
        <f>IF(CCUS_Projects_Database!$R234&lt;&gt;"",HYPERLINK(CCUS_Projects_Database!$R234,"Link 1"),"")</f>
        <v>Link 1</v>
      </c>
      <c r="Z234" s="43" t="str">
        <f>IF(CCUS_Projects_Database!$S234&lt;&gt;"",HYPERLINK(CCUS_Projects_Database!$S234,"Link 2"),"")</f>
        <v/>
      </c>
      <c r="AA234" s="43" t="str">
        <f>IF(CCUS_Projects_Database!$T234&lt;&gt;"",HYPERLINK(CCUS_Projects_Database!$T234,"Link 3"),"")</f>
        <v/>
      </c>
      <c r="AB234" s="43" t="str">
        <f>IF(CCUS_Projects_Database!$U234&lt;&gt;"",HYPERLINK(CCUS_Projects_Database!$U234,"Link 4"),"")</f>
        <v/>
      </c>
      <c r="AC234" s="43" t="str">
        <f>IF(CCUS_Projects_Database!$V234&lt;&gt;"",HYPERLINK(CCUS_Projects_Database!$V234,"Link 5"),"")</f>
        <v/>
      </c>
      <c r="AD234" s="43" t="str">
        <f>IF(CCUS_Projects_Database!$W234&lt;&gt;"",HYPERLINK(CCUS_Projects_Database!$W234,"Link 6"),"")</f>
        <v/>
      </c>
      <c r="AE234" s="43" t="str">
        <f>IF(CCUS_Projects_Database!$X234&lt;&gt;"",HYPERLINK(CCUS_Projects_Database!$X234,"Link 7"),"")</f>
        <v/>
      </c>
    </row>
    <row r="235" ht="15.75" customHeight="1">
      <c r="A235" s="44" t="s">
        <v>973</v>
      </c>
      <c r="B235" s="45">
        <v>1119.0</v>
      </c>
      <c r="C235" s="45" t="s">
        <v>239</v>
      </c>
      <c r="D235" s="46" t="s">
        <v>974</v>
      </c>
      <c r="E235" s="45" t="s">
        <v>16</v>
      </c>
      <c r="F235" s="45">
        <v>2023.0</v>
      </c>
      <c r="G235" s="45">
        <v>2025.0</v>
      </c>
      <c r="H235" s="45" t="s">
        <v>124</v>
      </c>
      <c r="I235" s="45" t="s">
        <v>124</v>
      </c>
      <c r="J235" s="45" t="s">
        <v>28</v>
      </c>
      <c r="K235" s="47" t="s">
        <v>124</v>
      </c>
      <c r="L235" s="52">
        <v>1.5</v>
      </c>
      <c r="M235" s="47">
        <v>1.5</v>
      </c>
      <c r="N235" s="45" t="s">
        <v>62</v>
      </c>
      <c r="O235" s="48" t="s">
        <v>75</v>
      </c>
      <c r="P235" s="49" t="s">
        <v>124</v>
      </c>
      <c r="Q235" s="45" t="s">
        <v>143</v>
      </c>
      <c r="R235" s="49" t="s">
        <v>975</v>
      </c>
      <c r="S235" s="49" t="s">
        <v>976</v>
      </c>
      <c r="T235" s="49" t="s">
        <v>124</v>
      </c>
      <c r="U235" s="49" t="s">
        <v>124</v>
      </c>
      <c r="V235" s="49" t="s">
        <v>124</v>
      </c>
      <c r="W235" s="49" t="s">
        <v>124</v>
      </c>
      <c r="X235" s="49" t="s">
        <v>124</v>
      </c>
      <c r="Y235" s="50" t="str">
        <f>IF(CCUS_Projects_Database!$R235&lt;&gt;"",HYPERLINK(CCUS_Projects_Database!$R235,"Link 1"),"")</f>
        <v>Link 1</v>
      </c>
      <c r="Z235" s="50" t="str">
        <f>IF(CCUS_Projects_Database!$S235&lt;&gt;"",HYPERLINK(CCUS_Projects_Database!$S235,"Link 2"),"")</f>
        <v>Link 2</v>
      </c>
      <c r="AA235" s="50" t="str">
        <f>IF(CCUS_Projects_Database!$T235&lt;&gt;"",HYPERLINK(CCUS_Projects_Database!$T235,"Link 3"),"")</f>
        <v/>
      </c>
      <c r="AB235" s="50" t="str">
        <f>IF(CCUS_Projects_Database!$U235&lt;&gt;"",HYPERLINK(CCUS_Projects_Database!$U235,"Link 4"),"")</f>
        <v/>
      </c>
      <c r="AC235" s="50" t="str">
        <f>IF(CCUS_Projects_Database!$V235&lt;&gt;"",HYPERLINK(CCUS_Projects_Database!$V235,"Link 5"),"")</f>
        <v/>
      </c>
      <c r="AD235" s="50" t="str">
        <f>IF(CCUS_Projects_Database!$W235&lt;&gt;"",HYPERLINK(CCUS_Projects_Database!$W235,"Link 6"),"")</f>
        <v/>
      </c>
      <c r="AE235" s="50" t="str">
        <f>IF(CCUS_Projects_Database!$X235&lt;&gt;"",HYPERLINK(CCUS_Projects_Database!$X235,"Link 7"),"")</f>
        <v/>
      </c>
    </row>
    <row r="236" ht="15.75" customHeight="1">
      <c r="A236" s="37" t="s">
        <v>977</v>
      </c>
      <c r="B236" s="38">
        <v>112.0</v>
      </c>
      <c r="C236" s="38" t="s">
        <v>224</v>
      </c>
      <c r="D236" s="39" t="s">
        <v>978</v>
      </c>
      <c r="E236" s="38" t="s">
        <v>8</v>
      </c>
      <c r="F236" s="38">
        <v>2013.0</v>
      </c>
      <c r="G236" s="38" t="s">
        <v>124</v>
      </c>
      <c r="H236" s="38">
        <v>2030.0</v>
      </c>
      <c r="I236" s="38" t="s">
        <v>124</v>
      </c>
      <c r="J236" s="38" t="s">
        <v>28</v>
      </c>
      <c r="K236" s="40">
        <v>1.0</v>
      </c>
      <c r="L236" s="51">
        <v>1.0</v>
      </c>
      <c r="M236" s="40">
        <v>1.0</v>
      </c>
      <c r="N236" s="38" t="s">
        <v>46</v>
      </c>
      <c r="O236" s="41" t="s">
        <v>77</v>
      </c>
      <c r="P236" s="42" t="s">
        <v>124</v>
      </c>
      <c r="Q236" s="38" t="s">
        <v>148</v>
      </c>
      <c r="R236" s="42" t="s">
        <v>979</v>
      </c>
      <c r="S236" s="42" t="s">
        <v>980</v>
      </c>
      <c r="T236" s="42" t="s">
        <v>981</v>
      </c>
      <c r="U236" s="42" t="s">
        <v>124</v>
      </c>
      <c r="V236" s="42" t="s">
        <v>124</v>
      </c>
      <c r="W236" s="42" t="s">
        <v>124</v>
      </c>
      <c r="X236" s="42" t="s">
        <v>124</v>
      </c>
      <c r="Y236" s="43" t="str">
        <f>IF(CCUS_Projects_Database!$R236&lt;&gt;"",HYPERLINK(CCUS_Projects_Database!$R236,"Link 1"),"")</f>
        <v>Link 1</v>
      </c>
      <c r="Z236" s="43" t="str">
        <f>IF(CCUS_Projects_Database!$S236&lt;&gt;"",HYPERLINK(CCUS_Projects_Database!$S236,"Link 2"),"")</f>
        <v>Link 2</v>
      </c>
      <c r="AA236" s="43" t="str">
        <f>IF(CCUS_Projects_Database!$T236&lt;&gt;"",HYPERLINK(CCUS_Projects_Database!$T236,"Link 3"),"")</f>
        <v>Link 3</v>
      </c>
      <c r="AB236" s="43" t="str">
        <f>IF(CCUS_Projects_Database!$U236&lt;&gt;"",HYPERLINK(CCUS_Projects_Database!$U236,"Link 4"),"")</f>
        <v/>
      </c>
      <c r="AC236" s="43" t="str">
        <f>IF(CCUS_Projects_Database!$V236&lt;&gt;"",HYPERLINK(CCUS_Projects_Database!$V236,"Link 5"),"")</f>
        <v/>
      </c>
      <c r="AD236" s="43" t="str">
        <f>IF(CCUS_Projects_Database!$W236&lt;&gt;"",HYPERLINK(CCUS_Projects_Database!$W236,"Link 6"),"")</f>
        <v/>
      </c>
      <c r="AE236" s="43" t="str">
        <f>IF(CCUS_Projects_Database!$X236&lt;&gt;"",HYPERLINK(CCUS_Projects_Database!$X236,"Link 7"),"")</f>
        <v/>
      </c>
    </row>
    <row r="237" ht="15.75" customHeight="1">
      <c r="A237" s="44" t="s">
        <v>982</v>
      </c>
      <c r="B237" s="45">
        <v>520.0</v>
      </c>
      <c r="C237" s="45" t="s">
        <v>181</v>
      </c>
      <c r="D237" s="46" t="s">
        <v>983</v>
      </c>
      <c r="E237" s="45" t="s">
        <v>14</v>
      </c>
      <c r="F237" s="45">
        <v>2021.0</v>
      </c>
      <c r="G237" s="45" t="s">
        <v>124</v>
      </c>
      <c r="H237" s="45" t="s">
        <v>124</v>
      </c>
      <c r="I237" s="45" t="s">
        <v>124</v>
      </c>
      <c r="J237" s="45" t="s">
        <v>28</v>
      </c>
      <c r="K237" s="47" t="s">
        <v>124</v>
      </c>
      <c r="L237" s="52">
        <v>4.5</v>
      </c>
      <c r="M237" s="47">
        <v>7.5</v>
      </c>
      <c r="N237" s="45" t="s">
        <v>14</v>
      </c>
      <c r="O237" s="48" t="s">
        <v>71</v>
      </c>
      <c r="P237" s="49" t="s">
        <v>982</v>
      </c>
      <c r="Q237" s="45" t="s">
        <v>184</v>
      </c>
      <c r="R237" s="49" t="s">
        <v>984</v>
      </c>
      <c r="S237" s="49" t="s">
        <v>985</v>
      </c>
      <c r="T237" s="49" t="s">
        <v>986</v>
      </c>
      <c r="U237" s="49" t="s">
        <v>124</v>
      </c>
      <c r="V237" s="49" t="s">
        <v>124</v>
      </c>
      <c r="W237" s="49" t="s">
        <v>124</v>
      </c>
      <c r="X237" s="49" t="s">
        <v>124</v>
      </c>
      <c r="Y237" s="50" t="str">
        <f>IF(CCUS_Projects_Database!$R237&lt;&gt;"",HYPERLINK(CCUS_Projects_Database!$R237,"Link 1"),"")</f>
        <v>Link 1</v>
      </c>
      <c r="Z237" s="50" t="str">
        <f>IF(CCUS_Projects_Database!$S237&lt;&gt;"",HYPERLINK(CCUS_Projects_Database!$S237,"Link 2"),"")</f>
        <v>Link 2</v>
      </c>
      <c r="AA237" s="50" t="str">
        <f>IF(CCUS_Projects_Database!$T237&lt;&gt;"",HYPERLINK(CCUS_Projects_Database!$T237,"Link 3"),"")</f>
        <v>Link 3</v>
      </c>
      <c r="AB237" s="50" t="str">
        <f>IF(CCUS_Projects_Database!$U237&lt;&gt;"",HYPERLINK(CCUS_Projects_Database!$U237,"Link 4"),"")</f>
        <v/>
      </c>
      <c r="AC237" s="50" t="str">
        <f>IF(CCUS_Projects_Database!$V237&lt;&gt;"",HYPERLINK(CCUS_Projects_Database!$V237,"Link 5"),"")</f>
        <v/>
      </c>
      <c r="AD237" s="50" t="str">
        <f>IF(CCUS_Projects_Database!$W237&lt;&gt;"",HYPERLINK(CCUS_Projects_Database!$W237,"Link 6"),"")</f>
        <v/>
      </c>
      <c r="AE237" s="50" t="str">
        <f>IF(CCUS_Projects_Database!$X237&lt;&gt;"",HYPERLINK(CCUS_Projects_Database!$X237,"Link 7"),"")</f>
        <v/>
      </c>
    </row>
    <row r="238" ht="15.75" customHeight="1">
      <c r="A238" s="37" t="s">
        <v>987</v>
      </c>
      <c r="B238" s="38">
        <v>114.0</v>
      </c>
      <c r="C238" s="38" t="s">
        <v>181</v>
      </c>
      <c r="D238" s="39" t="s">
        <v>988</v>
      </c>
      <c r="E238" s="38" t="s">
        <v>6</v>
      </c>
      <c r="F238" s="38">
        <v>2010.0</v>
      </c>
      <c r="G238" s="38">
        <v>2022.0</v>
      </c>
      <c r="H238" s="38">
        <v>2026.0</v>
      </c>
      <c r="I238" s="38" t="s">
        <v>124</v>
      </c>
      <c r="J238" s="38" t="s">
        <v>30</v>
      </c>
      <c r="K238" s="40" t="s">
        <v>124</v>
      </c>
      <c r="L238" s="51">
        <v>0.11</v>
      </c>
      <c r="M238" s="40">
        <v>0.11</v>
      </c>
      <c r="N238" s="38" t="s">
        <v>46</v>
      </c>
      <c r="O238" s="41" t="s">
        <v>71</v>
      </c>
      <c r="P238" s="42" t="s">
        <v>124</v>
      </c>
      <c r="Q238" s="38" t="s">
        <v>184</v>
      </c>
      <c r="R238" s="42" t="s">
        <v>989</v>
      </c>
      <c r="S238" s="42" t="s">
        <v>674</v>
      </c>
      <c r="T238" s="42" t="s">
        <v>990</v>
      </c>
      <c r="U238" s="42" t="s">
        <v>124</v>
      </c>
      <c r="V238" s="42" t="s">
        <v>124</v>
      </c>
      <c r="W238" s="42" t="s">
        <v>124</v>
      </c>
      <c r="X238" s="42" t="s">
        <v>124</v>
      </c>
      <c r="Y238" s="43" t="str">
        <f>IF(CCUS_Projects_Database!$R238&lt;&gt;"",HYPERLINK(CCUS_Projects_Database!$R238,"Link 1"),"")</f>
        <v>Link 1</v>
      </c>
      <c r="Z238" s="43" t="str">
        <f>IF(CCUS_Projects_Database!$S238&lt;&gt;"",HYPERLINK(CCUS_Projects_Database!$S238,"Link 2"),"")</f>
        <v>Link 2</v>
      </c>
      <c r="AA238" s="43" t="str">
        <f>IF(CCUS_Projects_Database!$T238&lt;&gt;"",HYPERLINK(CCUS_Projects_Database!$T238,"Link 3"),"")</f>
        <v>Link 3</v>
      </c>
      <c r="AB238" s="43" t="str">
        <f>IF(CCUS_Projects_Database!$U238&lt;&gt;"",HYPERLINK(CCUS_Projects_Database!$U238,"Link 4"),"")</f>
        <v/>
      </c>
      <c r="AC238" s="43" t="str">
        <f>IF(CCUS_Projects_Database!$V238&lt;&gt;"",HYPERLINK(CCUS_Projects_Database!$V238,"Link 5"),"")</f>
        <v/>
      </c>
      <c r="AD238" s="43" t="str">
        <f>IF(CCUS_Projects_Database!$W238&lt;&gt;"",HYPERLINK(CCUS_Projects_Database!$W238,"Link 6"),"")</f>
        <v/>
      </c>
      <c r="AE238" s="43" t="str">
        <f>IF(CCUS_Projects_Database!$X238&lt;&gt;"",HYPERLINK(CCUS_Projects_Database!$X238,"Link 7"),"")</f>
        <v/>
      </c>
    </row>
    <row r="239" ht="15.75" customHeight="1">
      <c r="A239" s="44" t="s">
        <v>991</v>
      </c>
      <c r="B239" s="45">
        <v>887.0</v>
      </c>
      <c r="C239" s="45" t="s">
        <v>141</v>
      </c>
      <c r="D239" s="46" t="s">
        <v>348</v>
      </c>
      <c r="E239" s="45" t="s">
        <v>12</v>
      </c>
      <c r="F239" s="45">
        <v>2022.0</v>
      </c>
      <c r="G239" s="45" t="s">
        <v>124</v>
      </c>
      <c r="H239" s="45">
        <v>2027.0</v>
      </c>
      <c r="I239" s="45" t="s">
        <v>124</v>
      </c>
      <c r="J239" s="45" t="s">
        <v>28</v>
      </c>
      <c r="K239" s="47" t="s">
        <v>124</v>
      </c>
      <c r="L239" s="52">
        <v>3.5</v>
      </c>
      <c r="M239" s="47">
        <v>5.0</v>
      </c>
      <c r="N239" s="45" t="s">
        <v>12</v>
      </c>
      <c r="O239" s="48" t="s">
        <v>77</v>
      </c>
      <c r="P239" s="49" t="s">
        <v>959</v>
      </c>
      <c r="Q239" s="45" t="s">
        <v>143</v>
      </c>
      <c r="R239" s="49" t="s">
        <v>349</v>
      </c>
      <c r="S239" s="49" t="s">
        <v>124</v>
      </c>
      <c r="T239" s="49" t="s">
        <v>124</v>
      </c>
      <c r="U239" s="49" t="s">
        <v>124</v>
      </c>
      <c r="V239" s="49" t="s">
        <v>124</v>
      </c>
      <c r="W239" s="49" t="s">
        <v>124</v>
      </c>
      <c r="X239" s="49" t="s">
        <v>124</v>
      </c>
      <c r="Y239" s="50" t="str">
        <f>IF(CCUS_Projects_Database!$R239&lt;&gt;"",HYPERLINK(CCUS_Projects_Database!$R239,"Link 1"),"")</f>
        <v>Link 1</v>
      </c>
      <c r="Z239" s="50" t="str">
        <f>IF(CCUS_Projects_Database!$S239&lt;&gt;"",HYPERLINK(CCUS_Projects_Database!$S239,"Link 2"),"")</f>
        <v/>
      </c>
      <c r="AA239" s="50" t="str">
        <f>IF(CCUS_Projects_Database!$T239&lt;&gt;"",HYPERLINK(CCUS_Projects_Database!$T239,"Link 3"),"")</f>
        <v/>
      </c>
      <c r="AB239" s="50" t="str">
        <f>IF(CCUS_Projects_Database!$U239&lt;&gt;"",HYPERLINK(CCUS_Projects_Database!$U239,"Link 4"),"")</f>
        <v/>
      </c>
      <c r="AC239" s="50" t="str">
        <f>IF(CCUS_Projects_Database!$V239&lt;&gt;"",HYPERLINK(CCUS_Projects_Database!$V239,"Link 5"),"")</f>
        <v/>
      </c>
      <c r="AD239" s="50" t="str">
        <f>IF(CCUS_Projects_Database!$W239&lt;&gt;"",HYPERLINK(CCUS_Projects_Database!$W239,"Link 6"),"")</f>
        <v/>
      </c>
      <c r="AE239" s="50" t="str">
        <f>IF(CCUS_Projects_Database!$X239&lt;&gt;"",HYPERLINK(CCUS_Projects_Database!$X239,"Link 7"),"")</f>
        <v/>
      </c>
    </row>
    <row r="240" ht="15.75" customHeight="1">
      <c r="A240" s="37" t="s">
        <v>992</v>
      </c>
      <c r="B240" s="38">
        <v>1128.0</v>
      </c>
      <c r="C240" s="38" t="s">
        <v>141</v>
      </c>
      <c r="D240" s="39" t="s">
        <v>993</v>
      </c>
      <c r="E240" s="38" t="s">
        <v>8</v>
      </c>
      <c r="F240" s="38">
        <v>2023.0</v>
      </c>
      <c r="G240" s="38" t="s">
        <v>124</v>
      </c>
      <c r="H240" s="38" t="s">
        <v>124</v>
      </c>
      <c r="I240" s="38" t="s">
        <v>124</v>
      </c>
      <c r="J240" s="38" t="s">
        <v>28</v>
      </c>
      <c r="K240" s="40" t="s">
        <v>124</v>
      </c>
      <c r="L240" s="51">
        <v>2.6</v>
      </c>
      <c r="M240" s="40">
        <v>2.6</v>
      </c>
      <c r="N240" s="38" t="s">
        <v>46</v>
      </c>
      <c r="O240" s="41" t="s">
        <v>71</v>
      </c>
      <c r="P240" s="42" t="s">
        <v>124</v>
      </c>
      <c r="Q240" s="38" t="s">
        <v>143</v>
      </c>
      <c r="R240" s="42" t="s">
        <v>372</v>
      </c>
      <c r="S240" s="42" t="s">
        <v>124</v>
      </c>
      <c r="T240" s="42" t="s">
        <v>124</v>
      </c>
      <c r="U240" s="42" t="s">
        <v>124</v>
      </c>
      <c r="V240" s="42" t="s">
        <v>124</v>
      </c>
      <c r="W240" s="42" t="s">
        <v>124</v>
      </c>
      <c r="X240" s="42" t="s">
        <v>124</v>
      </c>
      <c r="Y240" s="43" t="str">
        <f>IF(CCUS_Projects_Database!$R240&lt;&gt;"",HYPERLINK(CCUS_Projects_Database!$R240,"Link 1"),"")</f>
        <v>Link 1</v>
      </c>
      <c r="Z240" s="43" t="str">
        <f>IF(CCUS_Projects_Database!$S240&lt;&gt;"",HYPERLINK(CCUS_Projects_Database!$S240,"Link 2"),"")</f>
        <v/>
      </c>
      <c r="AA240" s="43" t="str">
        <f>IF(CCUS_Projects_Database!$T240&lt;&gt;"",HYPERLINK(CCUS_Projects_Database!$T240,"Link 3"),"")</f>
        <v/>
      </c>
      <c r="AB240" s="43" t="str">
        <f>IF(CCUS_Projects_Database!$U240&lt;&gt;"",HYPERLINK(CCUS_Projects_Database!$U240,"Link 4"),"")</f>
        <v/>
      </c>
      <c r="AC240" s="43" t="str">
        <f>IF(CCUS_Projects_Database!$V240&lt;&gt;"",HYPERLINK(CCUS_Projects_Database!$V240,"Link 5"),"")</f>
        <v/>
      </c>
      <c r="AD240" s="43" t="str">
        <f>IF(CCUS_Projects_Database!$W240&lt;&gt;"",HYPERLINK(CCUS_Projects_Database!$W240,"Link 6"),"")</f>
        <v/>
      </c>
      <c r="AE240" s="43" t="str">
        <f>IF(CCUS_Projects_Database!$X240&lt;&gt;"",HYPERLINK(CCUS_Projects_Database!$X240,"Link 7"),"")</f>
        <v/>
      </c>
    </row>
    <row r="241" ht="15.75" customHeight="1">
      <c r="A241" s="44" t="s">
        <v>994</v>
      </c>
      <c r="B241" s="45">
        <v>747.0</v>
      </c>
      <c r="C241" s="45" t="s">
        <v>141</v>
      </c>
      <c r="D241" s="46" t="s">
        <v>995</v>
      </c>
      <c r="E241" s="45" t="s">
        <v>8</v>
      </c>
      <c r="F241" s="45">
        <v>2023.0</v>
      </c>
      <c r="G241" s="45" t="s">
        <v>124</v>
      </c>
      <c r="H241" s="45">
        <v>2030.0</v>
      </c>
      <c r="I241" s="45" t="s">
        <v>124</v>
      </c>
      <c r="J241" s="45" t="s">
        <v>28</v>
      </c>
      <c r="K241" s="47" t="s">
        <v>124</v>
      </c>
      <c r="L241" s="52">
        <v>1.0</v>
      </c>
      <c r="M241" s="47">
        <v>1.0</v>
      </c>
      <c r="N241" s="45" t="s">
        <v>64</v>
      </c>
      <c r="O241" s="48" t="s">
        <v>71</v>
      </c>
      <c r="P241" s="49" t="s">
        <v>996</v>
      </c>
      <c r="Q241" s="45" t="s">
        <v>143</v>
      </c>
      <c r="R241" s="49" t="s">
        <v>997</v>
      </c>
      <c r="S241" s="49" t="s">
        <v>124</v>
      </c>
      <c r="T241" s="49" t="s">
        <v>124</v>
      </c>
      <c r="U241" s="49" t="s">
        <v>124</v>
      </c>
      <c r="V241" s="49" t="s">
        <v>124</v>
      </c>
      <c r="W241" s="49" t="s">
        <v>124</v>
      </c>
      <c r="X241" s="49" t="s">
        <v>124</v>
      </c>
      <c r="Y241" s="50" t="str">
        <f>IF(CCUS_Projects_Database!$R241&lt;&gt;"",HYPERLINK(CCUS_Projects_Database!$R241,"Link 1"),"")</f>
        <v>Link 1</v>
      </c>
      <c r="Z241" s="50" t="str">
        <f>IF(CCUS_Projects_Database!$S241&lt;&gt;"",HYPERLINK(CCUS_Projects_Database!$S241,"Link 2"),"")</f>
        <v/>
      </c>
      <c r="AA241" s="50" t="str">
        <f>IF(CCUS_Projects_Database!$T241&lt;&gt;"",HYPERLINK(CCUS_Projects_Database!$T241,"Link 3"),"")</f>
        <v/>
      </c>
      <c r="AB241" s="50" t="str">
        <f>IF(CCUS_Projects_Database!$U241&lt;&gt;"",HYPERLINK(CCUS_Projects_Database!$U241,"Link 4"),"")</f>
        <v/>
      </c>
      <c r="AC241" s="50" t="str">
        <f>IF(CCUS_Projects_Database!$V241&lt;&gt;"",HYPERLINK(CCUS_Projects_Database!$V241,"Link 5"),"")</f>
        <v/>
      </c>
      <c r="AD241" s="50" t="str">
        <f>IF(CCUS_Projects_Database!$W241&lt;&gt;"",HYPERLINK(CCUS_Projects_Database!$W241,"Link 6"),"")</f>
        <v/>
      </c>
      <c r="AE241" s="50" t="str">
        <f>IF(CCUS_Projects_Database!$X241&lt;&gt;"",HYPERLINK(CCUS_Projects_Database!$X241,"Link 7"),"")</f>
        <v/>
      </c>
    </row>
    <row r="242" ht="15.75" customHeight="1">
      <c r="A242" s="37" t="s">
        <v>998</v>
      </c>
      <c r="B242" s="38">
        <v>121.0</v>
      </c>
      <c r="C242" s="38" t="s">
        <v>122</v>
      </c>
      <c r="D242" s="39" t="s">
        <v>999</v>
      </c>
      <c r="E242" s="38" t="s">
        <v>10</v>
      </c>
      <c r="F242" s="38">
        <v>2021.0</v>
      </c>
      <c r="G242" s="38" t="s">
        <v>124</v>
      </c>
      <c r="H242" s="38">
        <v>2027.0</v>
      </c>
      <c r="I242" s="38" t="s">
        <v>124</v>
      </c>
      <c r="J242" s="38" t="s">
        <v>28</v>
      </c>
      <c r="K242" s="40">
        <v>1.0</v>
      </c>
      <c r="L242" s="51">
        <v>0.24</v>
      </c>
      <c r="M242" s="40">
        <v>3.0</v>
      </c>
      <c r="N242" s="38" t="s">
        <v>10</v>
      </c>
      <c r="O242" s="41" t="s">
        <v>71</v>
      </c>
      <c r="P242" s="42" t="s">
        <v>1000</v>
      </c>
      <c r="Q242" s="38" t="s">
        <v>125</v>
      </c>
      <c r="R242" s="42" t="s">
        <v>1001</v>
      </c>
      <c r="S242" s="42" t="s">
        <v>1002</v>
      </c>
      <c r="T242" s="42" t="s">
        <v>316</v>
      </c>
      <c r="U242" s="42" t="s">
        <v>331</v>
      </c>
      <c r="V242" s="42" t="s">
        <v>124</v>
      </c>
      <c r="W242" s="42" t="s">
        <v>124</v>
      </c>
      <c r="X242" s="42" t="s">
        <v>124</v>
      </c>
      <c r="Y242" s="43" t="str">
        <f>IF(CCUS_Projects_Database!$R246&lt;&gt;"",HYPERLINK(CCUS_Projects_Database!$R246,"Link 1"),"")</f>
        <v>Link 1</v>
      </c>
      <c r="Z242" s="43" t="str">
        <f>IF(CCUS_Projects_Database!$S246&lt;&gt;"",HYPERLINK(CCUS_Projects_Database!$S246,"Link 2"),"")</f>
        <v>Link 2</v>
      </c>
      <c r="AA242" s="43" t="str">
        <f>IF(CCUS_Projects_Database!$T246&lt;&gt;"",HYPERLINK(CCUS_Projects_Database!$T246,"Link 3"),"")</f>
        <v>Link 3</v>
      </c>
      <c r="AB242" s="43" t="str">
        <f>IF(CCUS_Projects_Database!$U246&lt;&gt;"",HYPERLINK(CCUS_Projects_Database!$U246,"Link 4"),"")</f>
        <v/>
      </c>
      <c r="AC242" s="43" t="str">
        <f>IF(CCUS_Projects_Database!$V246&lt;&gt;"",HYPERLINK(CCUS_Projects_Database!$V246,"Link 5"),"")</f>
        <v/>
      </c>
      <c r="AD242" s="43" t="str">
        <f>IF(CCUS_Projects_Database!$W246&lt;&gt;"",HYPERLINK(CCUS_Projects_Database!$W246,"Link 6"),"")</f>
        <v/>
      </c>
      <c r="AE242" s="43" t="str">
        <f>IF(CCUS_Projects_Database!$X246&lt;&gt;"",HYPERLINK(CCUS_Projects_Database!$X246,"Link 7"),"")</f>
        <v/>
      </c>
    </row>
    <row r="243" ht="15.75" customHeight="1">
      <c r="A243" s="44" t="s">
        <v>1003</v>
      </c>
      <c r="B243" s="45">
        <v>122.0</v>
      </c>
      <c r="C243" s="45" t="s">
        <v>122</v>
      </c>
      <c r="D243" s="46" t="s">
        <v>999</v>
      </c>
      <c r="E243" s="45" t="s">
        <v>10</v>
      </c>
      <c r="F243" s="45">
        <v>2021.0</v>
      </c>
      <c r="G243" s="45" t="s">
        <v>124</v>
      </c>
      <c r="H243" s="45">
        <v>2031.0</v>
      </c>
      <c r="I243" s="45" t="s">
        <v>124</v>
      </c>
      <c r="J243" s="45" t="s">
        <v>28</v>
      </c>
      <c r="K243" s="47">
        <v>2.0</v>
      </c>
      <c r="L243" s="47"/>
      <c r="M243" s="47">
        <v>1.4</v>
      </c>
      <c r="N243" s="45" t="s">
        <v>10</v>
      </c>
      <c r="O243" s="48" t="s">
        <v>71</v>
      </c>
      <c r="P243" s="49" t="s">
        <v>1000</v>
      </c>
      <c r="Q243" s="45" t="s">
        <v>125</v>
      </c>
      <c r="R243" s="49" t="s">
        <v>1001</v>
      </c>
      <c r="S243" s="49" t="s">
        <v>1002</v>
      </c>
      <c r="T243" s="49" t="s">
        <v>316</v>
      </c>
      <c r="U243" s="49" t="s">
        <v>331</v>
      </c>
      <c r="V243" s="49" t="s">
        <v>124</v>
      </c>
      <c r="W243" s="49" t="s">
        <v>124</v>
      </c>
      <c r="X243" s="49" t="s">
        <v>124</v>
      </c>
      <c r="Y243" s="50" t="str">
        <f>IF(CCUS_Projects_Database!$R247&lt;&gt;"",HYPERLINK(CCUS_Projects_Database!$R247,"Link 1"),"")</f>
        <v>Link 1</v>
      </c>
      <c r="Z243" s="50" t="str">
        <f>IF(CCUS_Projects_Database!$S247&lt;&gt;"",HYPERLINK(CCUS_Projects_Database!$S247,"Link 2"),"")</f>
        <v/>
      </c>
      <c r="AA243" s="50" t="str">
        <f>IF(CCUS_Projects_Database!$T247&lt;&gt;"",HYPERLINK(CCUS_Projects_Database!$T247,"Link 3"),"")</f>
        <v/>
      </c>
      <c r="AB243" s="50" t="str">
        <f>IF(CCUS_Projects_Database!$U247&lt;&gt;"",HYPERLINK(CCUS_Projects_Database!$U247,"Link 4"),"")</f>
        <v/>
      </c>
      <c r="AC243" s="50" t="str">
        <f>IF(CCUS_Projects_Database!$V247&lt;&gt;"",HYPERLINK(CCUS_Projects_Database!$V247,"Link 5"),"")</f>
        <v/>
      </c>
      <c r="AD243" s="50" t="str">
        <f>IF(CCUS_Projects_Database!$W247&lt;&gt;"",HYPERLINK(CCUS_Projects_Database!$W247,"Link 6"),"")</f>
        <v/>
      </c>
      <c r="AE243" s="50" t="str">
        <f>IF(CCUS_Projects_Database!$X247&lt;&gt;"",HYPERLINK(CCUS_Projects_Database!$X247,"Link 7"),"")</f>
        <v/>
      </c>
    </row>
    <row r="244" ht="15.75" customHeight="1">
      <c r="A244" s="37" t="s">
        <v>1004</v>
      </c>
      <c r="B244" s="38">
        <v>123.0</v>
      </c>
      <c r="C244" s="38" t="s">
        <v>122</v>
      </c>
      <c r="D244" s="39" t="s">
        <v>999</v>
      </c>
      <c r="E244" s="38" t="s">
        <v>10</v>
      </c>
      <c r="F244" s="38">
        <v>2021.0</v>
      </c>
      <c r="G244" s="38" t="s">
        <v>124</v>
      </c>
      <c r="H244" s="38">
        <v>2035.0</v>
      </c>
      <c r="I244" s="38" t="s">
        <v>124</v>
      </c>
      <c r="J244" s="38" t="s">
        <v>28</v>
      </c>
      <c r="K244" s="40">
        <v>3.0</v>
      </c>
      <c r="L244" s="40"/>
      <c r="M244" s="40">
        <v>5.6</v>
      </c>
      <c r="N244" s="38" t="s">
        <v>10</v>
      </c>
      <c r="O244" s="41" t="s">
        <v>71</v>
      </c>
      <c r="P244" s="42" t="s">
        <v>1000</v>
      </c>
      <c r="Q244" s="38" t="s">
        <v>125</v>
      </c>
      <c r="R244" s="42" t="s">
        <v>1001</v>
      </c>
      <c r="S244" s="42" t="s">
        <v>1002</v>
      </c>
      <c r="T244" s="42" t="s">
        <v>316</v>
      </c>
      <c r="U244" s="42" t="s">
        <v>331</v>
      </c>
      <c r="V244" s="42" t="s">
        <v>124</v>
      </c>
      <c r="W244" s="42" t="s">
        <v>124</v>
      </c>
      <c r="X244" s="42" t="s">
        <v>124</v>
      </c>
      <c r="Y244" s="43" t="str">
        <f>IF(CCUS_Projects_Database!$R248&lt;&gt;"",HYPERLINK(CCUS_Projects_Database!$R248,"Link 1"),"")</f>
        <v>Link 1</v>
      </c>
      <c r="Z244" s="43" t="str">
        <f>IF(CCUS_Projects_Database!$S248&lt;&gt;"",HYPERLINK(CCUS_Projects_Database!$S248,"Link 2"),"")</f>
        <v/>
      </c>
      <c r="AA244" s="43" t="str">
        <f>IF(CCUS_Projects_Database!$T248&lt;&gt;"",HYPERLINK(CCUS_Projects_Database!$T248,"Link 3"),"")</f>
        <v/>
      </c>
      <c r="AB244" s="43" t="str">
        <f>IF(CCUS_Projects_Database!$U248&lt;&gt;"",HYPERLINK(CCUS_Projects_Database!$U248,"Link 4"),"")</f>
        <v/>
      </c>
      <c r="AC244" s="43" t="str">
        <f>IF(CCUS_Projects_Database!$V248&lt;&gt;"",HYPERLINK(CCUS_Projects_Database!$V248,"Link 5"),"")</f>
        <v/>
      </c>
      <c r="AD244" s="43" t="str">
        <f>IF(CCUS_Projects_Database!$W248&lt;&gt;"",HYPERLINK(CCUS_Projects_Database!$W248,"Link 6"),"")</f>
        <v/>
      </c>
      <c r="AE244" s="43" t="str">
        <f>IF(CCUS_Projects_Database!$X248&lt;&gt;"",HYPERLINK(CCUS_Projects_Database!$X248,"Link 7"),"")</f>
        <v/>
      </c>
    </row>
    <row r="245" ht="15.75" customHeight="1">
      <c r="A245" s="44" t="s">
        <v>1005</v>
      </c>
      <c r="B245" s="45">
        <v>117.0</v>
      </c>
      <c r="C245" s="45" t="s">
        <v>141</v>
      </c>
      <c r="D245" s="46" t="s">
        <v>1006</v>
      </c>
      <c r="E245" s="45" t="s">
        <v>8</v>
      </c>
      <c r="F245" s="45">
        <v>2021.0</v>
      </c>
      <c r="G245" s="45">
        <v>2024.0</v>
      </c>
      <c r="H245" s="45">
        <v>2025.0</v>
      </c>
      <c r="I245" s="45" t="s">
        <v>124</v>
      </c>
      <c r="J245" s="45" t="s">
        <v>28</v>
      </c>
      <c r="K245" s="47" t="s">
        <v>124</v>
      </c>
      <c r="L245" s="47"/>
      <c r="M245" s="47">
        <v>0.257</v>
      </c>
      <c r="N245" s="45" t="s">
        <v>50</v>
      </c>
      <c r="O245" s="48" t="s">
        <v>71</v>
      </c>
      <c r="P245" s="49" t="s">
        <v>567</v>
      </c>
      <c r="Q245" s="45" t="s">
        <v>143</v>
      </c>
      <c r="R245" s="49" t="s">
        <v>945</v>
      </c>
      <c r="S245" s="49" t="s">
        <v>946</v>
      </c>
      <c r="T245" s="49" t="s">
        <v>947</v>
      </c>
      <c r="U245" s="49" t="s">
        <v>124</v>
      </c>
      <c r="V245" s="49" t="s">
        <v>124</v>
      </c>
      <c r="W245" s="49" t="s">
        <v>124</v>
      </c>
      <c r="X245" s="49" t="s">
        <v>124</v>
      </c>
      <c r="Y245" s="50" t="str">
        <f>IF(CCUS_Projects_Database!$R242&lt;&gt;"",HYPERLINK(CCUS_Projects_Database!$R242,"Link 1"),"")</f>
        <v>Link 1</v>
      </c>
      <c r="Z245" s="50" t="str">
        <f>IF(CCUS_Projects_Database!$S242&lt;&gt;"",HYPERLINK(CCUS_Projects_Database!$S242,"Link 2"),"")</f>
        <v>Link 2</v>
      </c>
      <c r="AA245" s="50" t="str">
        <f>IF(CCUS_Projects_Database!$T242&lt;&gt;"",HYPERLINK(CCUS_Projects_Database!$T242,"Link 3"),"")</f>
        <v>Link 3</v>
      </c>
      <c r="AB245" s="50" t="str">
        <f>IF(CCUS_Projects_Database!$U242&lt;&gt;"",HYPERLINK(CCUS_Projects_Database!$U242,"Link 4"),"")</f>
        <v>Link 4</v>
      </c>
      <c r="AC245" s="50" t="str">
        <f>IF(CCUS_Projects_Database!$V242&lt;&gt;"",HYPERLINK(CCUS_Projects_Database!$V242,"Link 5"),"")</f>
        <v/>
      </c>
      <c r="AD245" s="50" t="str">
        <f>IF(CCUS_Projects_Database!$W242&lt;&gt;"",HYPERLINK(CCUS_Projects_Database!$W242,"Link 6"),"")</f>
        <v/>
      </c>
      <c r="AE245" s="50" t="str">
        <f>IF(CCUS_Projects_Database!$X242&lt;&gt;"",HYPERLINK(CCUS_Projects_Database!$X242,"Link 7"),"")</f>
        <v/>
      </c>
    </row>
    <row r="246" ht="15.75" customHeight="1">
      <c r="A246" s="37" t="s">
        <v>1007</v>
      </c>
      <c r="B246" s="38">
        <v>118.0</v>
      </c>
      <c r="C246" s="38" t="s">
        <v>141</v>
      </c>
      <c r="D246" s="39" t="s">
        <v>1008</v>
      </c>
      <c r="E246" s="38" t="s">
        <v>6</v>
      </c>
      <c r="F246" s="38">
        <v>2021.0</v>
      </c>
      <c r="G246" s="38" t="s">
        <v>124</v>
      </c>
      <c r="H246" s="38">
        <v>2027.0</v>
      </c>
      <c r="I246" s="38" t="s">
        <v>124</v>
      </c>
      <c r="J246" s="38" t="s">
        <v>28</v>
      </c>
      <c r="K246" s="40" t="s">
        <v>124</v>
      </c>
      <c r="L246" s="51">
        <v>3.0</v>
      </c>
      <c r="M246" s="40" t="s">
        <v>124</v>
      </c>
      <c r="N246" s="38" t="s">
        <v>136</v>
      </c>
      <c r="O246" s="41" t="s">
        <v>71</v>
      </c>
      <c r="P246" s="42" t="s">
        <v>124</v>
      </c>
      <c r="Q246" s="38" t="s">
        <v>143</v>
      </c>
      <c r="R246" s="42" t="s">
        <v>1009</v>
      </c>
      <c r="S246" s="42" t="s">
        <v>1010</v>
      </c>
      <c r="T246" s="42" t="s">
        <v>1011</v>
      </c>
      <c r="U246" s="42" t="s">
        <v>124</v>
      </c>
      <c r="V246" s="42" t="s">
        <v>124</v>
      </c>
      <c r="W246" s="42" t="s">
        <v>124</v>
      </c>
      <c r="X246" s="42" t="s">
        <v>124</v>
      </c>
      <c r="Y246" s="43" t="str">
        <f>IF(CCUS_Projects_Database!$R243&lt;&gt;"",HYPERLINK(CCUS_Projects_Database!$R243,"Link 1"),"")</f>
        <v>Link 1</v>
      </c>
      <c r="Z246" s="43" t="str">
        <f>IF(CCUS_Projects_Database!$S243&lt;&gt;"",HYPERLINK(CCUS_Projects_Database!$S243,"Link 2"),"")</f>
        <v>Link 2</v>
      </c>
      <c r="AA246" s="43" t="str">
        <f>IF(CCUS_Projects_Database!$T243&lt;&gt;"",HYPERLINK(CCUS_Projects_Database!$T243,"Link 3"),"")</f>
        <v>Link 3</v>
      </c>
      <c r="AB246" s="43" t="str">
        <f>IF(CCUS_Projects_Database!$U243&lt;&gt;"",HYPERLINK(CCUS_Projects_Database!$U243,"Link 4"),"")</f>
        <v>Link 4</v>
      </c>
      <c r="AC246" s="43" t="str">
        <f>IF(CCUS_Projects_Database!$V243&lt;&gt;"",HYPERLINK(CCUS_Projects_Database!$V243,"Link 5"),"")</f>
        <v/>
      </c>
      <c r="AD246" s="43" t="str">
        <f>IF(CCUS_Projects_Database!$W243&lt;&gt;"",HYPERLINK(CCUS_Projects_Database!$W243,"Link 6"),"")</f>
        <v/>
      </c>
      <c r="AE246" s="43" t="str">
        <f>IF(CCUS_Projects_Database!$X243&lt;&gt;"",HYPERLINK(CCUS_Projects_Database!$X243,"Link 7"),"")</f>
        <v/>
      </c>
    </row>
    <row r="247" ht="15.75" customHeight="1">
      <c r="A247" s="44" t="s">
        <v>1012</v>
      </c>
      <c r="B247" s="45">
        <v>120.0</v>
      </c>
      <c r="C247" s="45" t="s">
        <v>1013</v>
      </c>
      <c r="D247" s="46" t="s">
        <v>1014</v>
      </c>
      <c r="E247" s="45" t="s">
        <v>8</v>
      </c>
      <c r="F247" s="45">
        <v>2022.0</v>
      </c>
      <c r="G247" s="45" t="s">
        <v>124</v>
      </c>
      <c r="H247" s="45" t="s">
        <v>124</v>
      </c>
      <c r="I247" s="45" t="s">
        <v>124</v>
      </c>
      <c r="J247" s="45" t="s">
        <v>28</v>
      </c>
      <c r="K247" s="47" t="s">
        <v>124</v>
      </c>
      <c r="L247" s="52">
        <v>1.4</v>
      </c>
      <c r="M247" s="47" t="s">
        <v>124</v>
      </c>
      <c r="N247" s="45" t="s">
        <v>136</v>
      </c>
      <c r="O247" s="48" t="s">
        <v>77</v>
      </c>
      <c r="P247" s="49" t="s">
        <v>124</v>
      </c>
      <c r="Q247" s="45" t="s">
        <v>148</v>
      </c>
      <c r="R247" s="49" t="s">
        <v>1015</v>
      </c>
      <c r="S247" s="49" t="s">
        <v>124</v>
      </c>
      <c r="T247" s="49" t="s">
        <v>124</v>
      </c>
      <c r="U247" s="49" t="s">
        <v>124</v>
      </c>
      <c r="V247" s="49" t="s">
        <v>124</v>
      </c>
      <c r="W247" s="49" t="s">
        <v>124</v>
      </c>
      <c r="X247" s="49" t="s">
        <v>124</v>
      </c>
      <c r="Y247" s="50" t="str">
        <f>IF(CCUS_Projects_Database!$R244&lt;&gt;"",HYPERLINK(CCUS_Projects_Database!$R244,"Link 1"),"")</f>
        <v>Link 1</v>
      </c>
      <c r="Z247" s="50" t="str">
        <f>IF(CCUS_Projects_Database!$S244&lt;&gt;"",HYPERLINK(CCUS_Projects_Database!$S244,"Link 2"),"")</f>
        <v>Link 2</v>
      </c>
      <c r="AA247" s="50" t="str">
        <f>IF(CCUS_Projects_Database!$T244&lt;&gt;"",HYPERLINK(CCUS_Projects_Database!$T244,"Link 3"),"")</f>
        <v>Link 3</v>
      </c>
      <c r="AB247" s="50" t="str">
        <f>IF(CCUS_Projects_Database!$U244&lt;&gt;"",HYPERLINK(CCUS_Projects_Database!$U244,"Link 4"),"")</f>
        <v>Link 4</v>
      </c>
      <c r="AC247" s="50" t="str">
        <f>IF(CCUS_Projects_Database!$V244&lt;&gt;"",HYPERLINK(CCUS_Projects_Database!$V244,"Link 5"),"")</f>
        <v/>
      </c>
      <c r="AD247" s="50" t="str">
        <f>IF(CCUS_Projects_Database!$W244&lt;&gt;"",HYPERLINK(CCUS_Projects_Database!$W244,"Link 6"),"")</f>
        <v/>
      </c>
      <c r="AE247" s="50" t="str">
        <f>IF(CCUS_Projects_Database!$X244&lt;&gt;"",HYPERLINK(CCUS_Projects_Database!$X244,"Link 7"),"")</f>
        <v/>
      </c>
    </row>
    <row r="248" ht="15.75" customHeight="1">
      <c r="A248" s="37" t="s">
        <v>1016</v>
      </c>
      <c r="B248" s="38">
        <v>569.0</v>
      </c>
      <c r="C248" s="38" t="s">
        <v>157</v>
      </c>
      <c r="D248" s="39" t="s">
        <v>1017</v>
      </c>
      <c r="E248" s="38" t="s">
        <v>8</v>
      </c>
      <c r="F248" s="38">
        <v>2022.0</v>
      </c>
      <c r="G248" s="38" t="s">
        <v>124</v>
      </c>
      <c r="H248" s="38" t="s">
        <v>124</v>
      </c>
      <c r="I248" s="38" t="s">
        <v>124</v>
      </c>
      <c r="J248" s="38" t="s">
        <v>28</v>
      </c>
      <c r="K248" s="40" t="s">
        <v>124</v>
      </c>
      <c r="L248" s="51">
        <v>5.6</v>
      </c>
      <c r="M248" s="40" t="s">
        <v>124</v>
      </c>
      <c r="N248" s="38" t="s">
        <v>46</v>
      </c>
      <c r="O248" s="41" t="s">
        <v>71</v>
      </c>
      <c r="P248" s="42" t="s">
        <v>1018</v>
      </c>
      <c r="Q248" s="38" t="s">
        <v>125</v>
      </c>
      <c r="R248" s="42" t="s">
        <v>1019</v>
      </c>
      <c r="S248" s="42" t="s">
        <v>124</v>
      </c>
      <c r="T248" s="42" t="s">
        <v>124</v>
      </c>
      <c r="U248" s="42" t="s">
        <v>124</v>
      </c>
      <c r="V248" s="42" t="s">
        <v>124</v>
      </c>
      <c r="W248" s="42" t="s">
        <v>124</v>
      </c>
      <c r="X248" s="42" t="s">
        <v>124</v>
      </c>
      <c r="Y248" s="43" t="str">
        <f>IF(CCUS_Projects_Database!$R245&lt;&gt;"",HYPERLINK(CCUS_Projects_Database!$R245,"Link 1"),"")</f>
        <v>Link 1</v>
      </c>
      <c r="Z248" s="43" t="str">
        <f>IF(CCUS_Projects_Database!$S245&lt;&gt;"",HYPERLINK(CCUS_Projects_Database!$S245,"Link 2"),"")</f>
        <v>Link 2</v>
      </c>
      <c r="AA248" s="43" t="str">
        <f>IF(CCUS_Projects_Database!$T245&lt;&gt;"",HYPERLINK(CCUS_Projects_Database!$T245,"Link 3"),"")</f>
        <v>Link 3</v>
      </c>
      <c r="AB248" s="43" t="str">
        <f>IF(CCUS_Projects_Database!$U245&lt;&gt;"",HYPERLINK(CCUS_Projects_Database!$U245,"Link 4"),"")</f>
        <v/>
      </c>
      <c r="AC248" s="43" t="str">
        <f>IF(CCUS_Projects_Database!$V245&lt;&gt;"",HYPERLINK(CCUS_Projects_Database!$V245,"Link 5"),"")</f>
        <v/>
      </c>
      <c r="AD248" s="43" t="str">
        <f>IF(CCUS_Projects_Database!$W245&lt;&gt;"",HYPERLINK(CCUS_Projects_Database!$W245,"Link 6"),"")</f>
        <v/>
      </c>
      <c r="AE248" s="43" t="str">
        <f>IF(CCUS_Projects_Database!$X245&lt;&gt;"",HYPERLINK(CCUS_Projects_Database!$X245,"Link 7"),"")</f>
        <v/>
      </c>
    </row>
    <row r="249" ht="15.75" customHeight="1">
      <c r="A249" s="44" t="s">
        <v>1020</v>
      </c>
      <c r="B249" s="45">
        <v>442.0</v>
      </c>
      <c r="C249" s="45" t="s">
        <v>224</v>
      </c>
      <c r="D249" s="46" t="s">
        <v>1021</v>
      </c>
      <c r="E249" s="45" t="s">
        <v>14</v>
      </c>
      <c r="F249" s="45">
        <v>2022.0</v>
      </c>
      <c r="G249" s="45" t="s">
        <v>124</v>
      </c>
      <c r="H249" s="45" t="s">
        <v>124</v>
      </c>
      <c r="I249" s="45" t="s">
        <v>124</v>
      </c>
      <c r="J249" s="45" t="s">
        <v>28</v>
      </c>
      <c r="K249" s="47" t="s">
        <v>124</v>
      </c>
      <c r="L249" s="52">
        <v>10.0</v>
      </c>
      <c r="M249" s="47">
        <v>10.0</v>
      </c>
      <c r="N249" s="45" t="s">
        <v>14</v>
      </c>
      <c r="O249" s="48" t="s">
        <v>71</v>
      </c>
      <c r="P249" s="49" t="s">
        <v>1022</v>
      </c>
      <c r="Q249" s="45" t="s">
        <v>148</v>
      </c>
      <c r="R249" s="49" t="s">
        <v>1023</v>
      </c>
      <c r="S249" s="49" t="s">
        <v>1024</v>
      </c>
      <c r="T249" s="49" t="s">
        <v>124</v>
      </c>
      <c r="U249" s="49" t="s">
        <v>124</v>
      </c>
      <c r="V249" s="49" t="s">
        <v>124</v>
      </c>
      <c r="W249" s="49" t="s">
        <v>124</v>
      </c>
      <c r="X249" s="49" t="s">
        <v>124</v>
      </c>
      <c r="Y249" s="50" t="str">
        <f>IF(CCUS_Projects_Database!$R249&lt;&gt;"",HYPERLINK(CCUS_Projects_Database!$R249,"Link 1"),"")</f>
        <v>Link 1</v>
      </c>
      <c r="Z249" s="50" t="str">
        <f>IF(CCUS_Projects_Database!$S249&lt;&gt;"",HYPERLINK(CCUS_Projects_Database!$S249,"Link 2"),"")</f>
        <v>Link 2</v>
      </c>
      <c r="AA249" s="50" t="str">
        <f>IF(CCUS_Projects_Database!$T249&lt;&gt;"",HYPERLINK(CCUS_Projects_Database!$T249,"Link 3"),"")</f>
        <v/>
      </c>
      <c r="AB249" s="50" t="str">
        <f>IF(CCUS_Projects_Database!$U249&lt;&gt;"",HYPERLINK(CCUS_Projects_Database!$U249,"Link 4"),"")</f>
        <v/>
      </c>
      <c r="AC249" s="50" t="str">
        <f>IF(CCUS_Projects_Database!$V249&lt;&gt;"",HYPERLINK(CCUS_Projects_Database!$V249,"Link 5"),"")</f>
        <v/>
      </c>
      <c r="AD249" s="50" t="str">
        <f>IF(CCUS_Projects_Database!$W249&lt;&gt;"",HYPERLINK(CCUS_Projects_Database!$W249,"Link 6"),"")</f>
        <v/>
      </c>
      <c r="AE249" s="50" t="str">
        <f>IF(CCUS_Projects_Database!$X249&lt;&gt;"",HYPERLINK(CCUS_Projects_Database!$X249,"Link 7"),"")</f>
        <v/>
      </c>
    </row>
    <row r="250" ht="15.75" customHeight="1">
      <c r="A250" s="37" t="s">
        <v>1025</v>
      </c>
      <c r="B250" s="38">
        <v>996.0</v>
      </c>
      <c r="C250" s="38" t="s">
        <v>141</v>
      </c>
      <c r="D250" s="39" t="s">
        <v>1026</v>
      </c>
      <c r="E250" s="38" t="s">
        <v>12</v>
      </c>
      <c r="F250" s="38">
        <v>2023.0</v>
      </c>
      <c r="G250" s="38" t="s">
        <v>124</v>
      </c>
      <c r="H250" s="38" t="s">
        <v>124</v>
      </c>
      <c r="I250" s="38" t="s">
        <v>124</v>
      </c>
      <c r="J250" s="38" t="s">
        <v>28</v>
      </c>
      <c r="K250" s="40" t="s">
        <v>124</v>
      </c>
      <c r="L250" s="40"/>
      <c r="M250" s="40" t="s">
        <v>124</v>
      </c>
      <c r="N250" s="38" t="s">
        <v>12</v>
      </c>
      <c r="O250" s="41" t="s">
        <v>71</v>
      </c>
      <c r="P250" s="42" t="s">
        <v>1025</v>
      </c>
      <c r="Q250" s="38" t="s">
        <v>143</v>
      </c>
      <c r="R250" s="42" t="s">
        <v>1027</v>
      </c>
      <c r="S250" s="42" t="s">
        <v>124</v>
      </c>
      <c r="T250" s="42" t="s">
        <v>124</v>
      </c>
      <c r="U250" s="42" t="s">
        <v>124</v>
      </c>
      <c r="V250" s="42" t="s">
        <v>124</v>
      </c>
      <c r="W250" s="42" t="s">
        <v>124</v>
      </c>
      <c r="X250" s="42" t="s">
        <v>124</v>
      </c>
      <c r="Y250" s="43" t="str">
        <f>IF(CCUS_Projects_Database!$R250&lt;&gt;"",HYPERLINK(CCUS_Projects_Database!$R250,"Link 1"),"")</f>
        <v>Link 1</v>
      </c>
      <c r="Z250" s="43" t="str">
        <f>IF(CCUS_Projects_Database!$S250&lt;&gt;"",HYPERLINK(CCUS_Projects_Database!$S250,"Link 2"),"")</f>
        <v/>
      </c>
      <c r="AA250" s="43" t="str">
        <f>IF(CCUS_Projects_Database!$T250&lt;&gt;"",HYPERLINK(CCUS_Projects_Database!$T250,"Link 3"),"")</f>
        <v/>
      </c>
      <c r="AB250" s="43" t="str">
        <f>IF(CCUS_Projects_Database!$U250&lt;&gt;"",HYPERLINK(CCUS_Projects_Database!$U250,"Link 4"),"")</f>
        <v/>
      </c>
      <c r="AC250" s="43" t="str">
        <f>IF(CCUS_Projects_Database!$V250&lt;&gt;"",HYPERLINK(CCUS_Projects_Database!$V250,"Link 5"),"")</f>
        <v/>
      </c>
      <c r="AD250" s="43" t="str">
        <f>IF(CCUS_Projects_Database!$W250&lt;&gt;"",HYPERLINK(CCUS_Projects_Database!$W250,"Link 6"),"")</f>
        <v/>
      </c>
      <c r="AE250" s="43" t="str">
        <f>IF(CCUS_Projects_Database!$X250&lt;&gt;"",HYPERLINK(CCUS_Projects_Database!$X250,"Link 7"),"")</f>
        <v/>
      </c>
    </row>
    <row r="251" ht="15.75" customHeight="1">
      <c r="A251" s="44" t="s">
        <v>1028</v>
      </c>
      <c r="B251" s="45">
        <v>126.0</v>
      </c>
      <c r="C251" s="45" t="s">
        <v>1029</v>
      </c>
      <c r="D251" s="46" t="s">
        <v>1030</v>
      </c>
      <c r="E251" s="45" t="s">
        <v>10</v>
      </c>
      <c r="F251" s="45">
        <v>2021.0</v>
      </c>
      <c r="G251" s="45">
        <v>2024.0</v>
      </c>
      <c r="H251" s="45">
        <v>2027.0</v>
      </c>
      <c r="I251" s="45" t="s">
        <v>124</v>
      </c>
      <c r="J251" s="45" t="s">
        <v>28</v>
      </c>
      <c r="K251" s="47" t="s">
        <v>124</v>
      </c>
      <c r="L251" s="52">
        <v>22.0</v>
      </c>
      <c r="M251" s="47">
        <v>22.0</v>
      </c>
      <c r="N251" s="45" t="s">
        <v>10</v>
      </c>
      <c r="O251" s="48" t="s">
        <v>71</v>
      </c>
      <c r="P251" s="49" t="s">
        <v>124</v>
      </c>
      <c r="Q251" s="45" t="s">
        <v>125</v>
      </c>
      <c r="R251" s="49" t="s">
        <v>1031</v>
      </c>
      <c r="S251" s="49" t="s">
        <v>1031</v>
      </c>
      <c r="T251" s="49" t="s">
        <v>124</v>
      </c>
      <c r="U251" s="49" t="s">
        <v>124</v>
      </c>
      <c r="V251" s="49" t="s">
        <v>124</v>
      </c>
      <c r="W251" s="49" t="s">
        <v>124</v>
      </c>
      <c r="X251" s="49" t="s">
        <v>124</v>
      </c>
      <c r="Y251" s="50" t="str">
        <f>IF(CCUS_Projects_Database!$R251&lt;&gt;"",HYPERLINK(CCUS_Projects_Database!$R251,"Link 1"),"")</f>
        <v>Link 1</v>
      </c>
      <c r="Z251" s="50" t="str">
        <f>IF(CCUS_Projects_Database!$S251&lt;&gt;"",HYPERLINK(CCUS_Projects_Database!$S251,"Link 2"),"")</f>
        <v>Link 2</v>
      </c>
      <c r="AA251" s="50" t="str">
        <f>IF(CCUS_Projects_Database!$T251&lt;&gt;"",HYPERLINK(CCUS_Projects_Database!$T251,"Link 3"),"")</f>
        <v/>
      </c>
      <c r="AB251" s="50" t="str">
        <f>IF(CCUS_Projects_Database!$U251&lt;&gt;"",HYPERLINK(CCUS_Projects_Database!$U251,"Link 4"),"")</f>
        <v/>
      </c>
      <c r="AC251" s="50" t="str">
        <f>IF(CCUS_Projects_Database!$V251&lt;&gt;"",HYPERLINK(CCUS_Projects_Database!$V251,"Link 5"),"")</f>
        <v/>
      </c>
      <c r="AD251" s="50" t="str">
        <f>IF(CCUS_Projects_Database!$W251&lt;&gt;"",HYPERLINK(CCUS_Projects_Database!$W251,"Link 6"),"")</f>
        <v/>
      </c>
      <c r="AE251" s="50" t="str">
        <f>IF(CCUS_Projects_Database!$X251&lt;&gt;"",HYPERLINK(CCUS_Projects_Database!$X251,"Link 7"),"")</f>
        <v/>
      </c>
    </row>
    <row r="252" ht="15.75" customHeight="1">
      <c r="A252" s="37" t="s">
        <v>1032</v>
      </c>
      <c r="B252" s="38">
        <v>127.0</v>
      </c>
      <c r="C252" s="38" t="s">
        <v>141</v>
      </c>
      <c r="D252" s="39" t="s">
        <v>1033</v>
      </c>
      <c r="E252" s="38" t="s">
        <v>14</v>
      </c>
      <c r="F252" s="38">
        <v>2021.0</v>
      </c>
      <c r="G252" s="38" t="s">
        <v>124</v>
      </c>
      <c r="H252" s="38" t="s">
        <v>124</v>
      </c>
      <c r="I252" s="38" t="s">
        <v>124</v>
      </c>
      <c r="J252" s="38" t="s">
        <v>28</v>
      </c>
      <c r="K252" s="40" t="s">
        <v>124</v>
      </c>
      <c r="L252" s="51">
        <v>1.8</v>
      </c>
      <c r="M252" s="40">
        <v>1.8</v>
      </c>
      <c r="N252" s="38" t="s">
        <v>14</v>
      </c>
      <c r="O252" s="41" t="s">
        <v>71</v>
      </c>
      <c r="P252" s="42" t="s">
        <v>124</v>
      </c>
      <c r="Q252" s="38" t="s">
        <v>143</v>
      </c>
      <c r="R252" s="42" t="s">
        <v>1034</v>
      </c>
      <c r="S252" s="42" t="s">
        <v>1035</v>
      </c>
      <c r="T252" s="42" t="s">
        <v>124</v>
      </c>
      <c r="U252" s="42" t="s">
        <v>124</v>
      </c>
      <c r="V252" s="42" t="s">
        <v>124</v>
      </c>
      <c r="W252" s="42" t="s">
        <v>124</v>
      </c>
      <c r="X252" s="42" t="s">
        <v>124</v>
      </c>
      <c r="Y252" s="43" t="str">
        <f>IF(CCUS_Projects_Database!$R252&lt;&gt;"",HYPERLINK(CCUS_Projects_Database!$R252,"Link 1"),"")</f>
        <v>Link 1</v>
      </c>
      <c r="Z252" s="43" t="str">
        <f>IF(CCUS_Projects_Database!$S252&lt;&gt;"",HYPERLINK(CCUS_Projects_Database!$S252,"Link 2"),"")</f>
        <v>Link 2</v>
      </c>
      <c r="AA252" s="43" t="str">
        <f>IF(CCUS_Projects_Database!$T252&lt;&gt;"",HYPERLINK(CCUS_Projects_Database!$T252,"Link 3"),"")</f>
        <v/>
      </c>
      <c r="AB252" s="43" t="str">
        <f>IF(CCUS_Projects_Database!$U252&lt;&gt;"",HYPERLINK(CCUS_Projects_Database!$U252,"Link 4"),"")</f>
        <v/>
      </c>
      <c r="AC252" s="43" t="str">
        <f>IF(CCUS_Projects_Database!$V252&lt;&gt;"",HYPERLINK(CCUS_Projects_Database!$V252,"Link 5"),"")</f>
        <v/>
      </c>
      <c r="AD252" s="43" t="str">
        <f>IF(CCUS_Projects_Database!$W252&lt;&gt;"",HYPERLINK(CCUS_Projects_Database!$W252,"Link 6"),"")</f>
        <v/>
      </c>
      <c r="AE252" s="43" t="str">
        <f>IF(CCUS_Projects_Database!$X252&lt;&gt;"",HYPERLINK(CCUS_Projects_Database!$X252,"Link 7"),"")</f>
        <v/>
      </c>
    </row>
    <row r="253" ht="15.75" customHeight="1">
      <c r="A253" s="44" t="s">
        <v>1036</v>
      </c>
      <c r="B253" s="45">
        <v>879.0</v>
      </c>
      <c r="C253" s="45" t="s">
        <v>141</v>
      </c>
      <c r="D253" s="46" t="s">
        <v>1037</v>
      </c>
      <c r="E253" s="45" t="s">
        <v>12</v>
      </c>
      <c r="F253" s="45">
        <v>2023.0</v>
      </c>
      <c r="G253" s="45" t="s">
        <v>124</v>
      </c>
      <c r="H253" s="45" t="s">
        <v>124</v>
      </c>
      <c r="I253" s="45" t="s">
        <v>124</v>
      </c>
      <c r="J253" s="45" t="s">
        <v>28</v>
      </c>
      <c r="K253" s="47" t="s">
        <v>124</v>
      </c>
      <c r="L253" s="52">
        <v>3.5</v>
      </c>
      <c r="M253" s="47">
        <v>3.5</v>
      </c>
      <c r="N253" s="45" t="s">
        <v>12</v>
      </c>
      <c r="O253" s="48" t="s">
        <v>71</v>
      </c>
      <c r="P253" s="49" t="s">
        <v>124</v>
      </c>
      <c r="Q253" s="45" t="s">
        <v>143</v>
      </c>
      <c r="R253" s="49" t="s">
        <v>1038</v>
      </c>
      <c r="S253" s="49" t="s">
        <v>124</v>
      </c>
      <c r="T253" s="49" t="s">
        <v>124</v>
      </c>
      <c r="U253" s="49" t="s">
        <v>124</v>
      </c>
      <c r="V253" s="49" t="s">
        <v>124</v>
      </c>
      <c r="W253" s="49" t="s">
        <v>124</v>
      </c>
      <c r="X253" s="49" t="s">
        <v>124</v>
      </c>
      <c r="Y253" s="50" t="str">
        <f>IF(CCUS_Projects_Database!$R253&lt;&gt;"",HYPERLINK(CCUS_Projects_Database!$R253,"Link 1"),"")</f>
        <v>Link 1</v>
      </c>
      <c r="Z253" s="50" t="str">
        <f>IF(CCUS_Projects_Database!$S253&lt;&gt;"",HYPERLINK(CCUS_Projects_Database!$S253,"Link 2"),"")</f>
        <v/>
      </c>
      <c r="AA253" s="50" t="str">
        <f>IF(CCUS_Projects_Database!$T253&lt;&gt;"",HYPERLINK(CCUS_Projects_Database!$T253,"Link 3"),"")</f>
        <v/>
      </c>
      <c r="AB253" s="50" t="str">
        <f>IF(CCUS_Projects_Database!$U253&lt;&gt;"",HYPERLINK(CCUS_Projects_Database!$U253,"Link 4"),"")</f>
        <v/>
      </c>
      <c r="AC253" s="50" t="str">
        <f>IF(CCUS_Projects_Database!$V253&lt;&gt;"",HYPERLINK(CCUS_Projects_Database!$V253,"Link 5"),"")</f>
        <v/>
      </c>
      <c r="AD253" s="50" t="str">
        <f>IF(CCUS_Projects_Database!$W253&lt;&gt;"",HYPERLINK(CCUS_Projects_Database!$W253,"Link 6"),"")</f>
        <v/>
      </c>
      <c r="AE253" s="50" t="str">
        <f>IF(CCUS_Projects_Database!$X253&lt;&gt;"",HYPERLINK(CCUS_Projects_Database!$X253,"Link 7"),"")</f>
        <v/>
      </c>
    </row>
    <row r="254" ht="15.75" customHeight="1">
      <c r="A254" s="37" t="s">
        <v>1039</v>
      </c>
      <c r="B254" s="38">
        <v>373.0</v>
      </c>
      <c r="C254" s="38" t="s">
        <v>521</v>
      </c>
      <c r="D254" s="39" t="s">
        <v>1040</v>
      </c>
      <c r="E254" s="38" t="s">
        <v>14</v>
      </c>
      <c r="F254" s="38">
        <v>2022.0</v>
      </c>
      <c r="G254" s="38">
        <v>2024.0</v>
      </c>
      <c r="H254" s="38">
        <v>2025.0</v>
      </c>
      <c r="I254" s="38" t="s">
        <v>124</v>
      </c>
      <c r="J254" s="38" t="s">
        <v>28</v>
      </c>
      <c r="K254" s="40" t="s">
        <v>124</v>
      </c>
      <c r="L254" s="51">
        <v>1.2</v>
      </c>
      <c r="M254" s="40">
        <v>1.2</v>
      </c>
      <c r="N254" s="38" t="s">
        <v>14</v>
      </c>
      <c r="O254" s="41" t="s">
        <v>71</v>
      </c>
      <c r="P254" s="42" t="s">
        <v>124</v>
      </c>
      <c r="Q254" s="38" t="s">
        <v>148</v>
      </c>
      <c r="R254" s="42" t="s">
        <v>1041</v>
      </c>
      <c r="S254" s="42" t="s">
        <v>1042</v>
      </c>
      <c r="T254" s="42" t="s">
        <v>1043</v>
      </c>
      <c r="U254" s="42" t="s">
        <v>1044</v>
      </c>
      <c r="V254" s="42" t="s">
        <v>1045</v>
      </c>
      <c r="W254" s="42" t="s">
        <v>1046</v>
      </c>
      <c r="X254" s="42" t="s">
        <v>1047</v>
      </c>
      <c r="Y254" s="43" t="str">
        <f>IF(CCUS_Projects_Database!$R254&lt;&gt;"",HYPERLINK(CCUS_Projects_Database!$R254,"Link 1"),"")</f>
        <v>Link 1</v>
      </c>
      <c r="Z254" s="43" t="str">
        <f>IF(CCUS_Projects_Database!$S254&lt;&gt;"",HYPERLINK(CCUS_Projects_Database!$S254,"Link 2"),"")</f>
        <v>Link 2</v>
      </c>
      <c r="AA254" s="43" t="str">
        <f>IF(CCUS_Projects_Database!$T254&lt;&gt;"",HYPERLINK(CCUS_Projects_Database!$T254,"Link 3"),"")</f>
        <v>Link 3</v>
      </c>
      <c r="AB254" s="43" t="str">
        <f>IF(CCUS_Projects_Database!$U254&lt;&gt;"",HYPERLINK(CCUS_Projects_Database!$U254,"Link 4"),"")</f>
        <v>Link 4</v>
      </c>
      <c r="AC254" s="43" t="str">
        <f>IF(CCUS_Projects_Database!$V254&lt;&gt;"",HYPERLINK(CCUS_Projects_Database!$V254,"Link 5"),"")</f>
        <v>Link 5</v>
      </c>
      <c r="AD254" s="43" t="str">
        <f>IF(CCUS_Projects_Database!$W254&lt;&gt;"",HYPERLINK(CCUS_Projects_Database!$W254,"Link 6"),"")</f>
        <v>Link 6</v>
      </c>
      <c r="AE254" s="43" t="str">
        <f>IF(CCUS_Projects_Database!$X254&lt;&gt;"",HYPERLINK(CCUS_Projects_Database!$X254,"Link 7"),"")</f>
        <v>Link 7</v>
      </c>
    </row>
    <row r="255" ht="15.75" customHeight="1">
      <c r="A255" s="44" t="s">
        <v>1048</v>
      </c>
      <c r="B255" s="45">
        <v>884.0</v>
      </c>
      <c r="C255" s="45" t="s">
        <v>141</v>
      </c>
      <c r="D255" s="46" t="s">
        <v>1049</v>
      </c>
      <c r="E255" s="45" t="s">
        <v>12</v>
      </c>
      <c r="F255" s="45">
        <v>2022.0</v>
      </c>
      <c r="G255" s="45" t="s">
        <v>124</v>
      </c>
      <c r="H255" s="45">
        <v>2026.0</v>
      </c>
      <c r="I255" s="45" t="s">
        <v>124</v>
      </c>
      <c r="J255" s="45" t="s">
        <v>28</v>
      </c>
      <c r="K255" s="47" t="s">
        <v>124</v>
      </c>
      <c r="L255" s="52">
        <v>7.5</v>
      </c>
      <c r="M255" s="47">
        <v>5.0</v>
      </c>
      <c r="N255" s="45" t="s">
        <v>12</v>
      </c>
      <c r="O255" s="48" t="s">
        <v>71</v>
      </c>
      <c r="P255" s="49" t="s">
        <v>1048</v>
      </c>
      <c r="Q255" s="45" t="s">
        <v>143</v>
      </c>
      <c r="R255" s="49" t="s">
        <v>349</v>
      </c>
      <c r="S255" s="49" t="s">
        <v>350</v>
      </c>
      <c r="T255" s="49" t="s">
        <v>124</v>
      </c>
      <c r="U255" s="49" t="s">
        <v>124</v>
      </c>
      <c r="V255" s="49" t="s">
        <v>124</v>
      </c>
      <c r="W255" s="49" t="s">
        <v>124</v>
      </c>
      <c r="X255" s="49" t="s">
        <v>124</v>
      </c>
      <c r="Y255" s="50" t="str">
        <f>IF(CCUS_Projects_Database!$R255&lt;&gt;"",HYPERLINK(CCUS_Projects_Database!$R255,"Link 1"),"")</f>
        <v>Link 1</v>
      </c>
      <c r="Z255" s="50" t="str">
        <f>IF(CCUS_Projects_Database!$S255&lt;&gt;"",HYPERLINK(CCUS_Projects_Database!$S255,"Link 2"),"")</f>
        <v>Link 2</v>
      </c>
      <c r="AA255" s="50" t="str">
        <f>IF(CCUS_Projects_Database!$T255&lt;&gt;"",HYPERLINK(CCUS_Projects_Database!$T255,"Link 3"),"")</f>
        <v/>
      </c>
      <c r="AB255" s="50" t="str">
        <f>IF(CCUS_Projects_Database!$U255&lt;&gt;"",HYPERLINK(CCUS_Projects_Database!$U255,"Link 4"),"")</f>
        <v/>
      </c>
      <c r="AC255" s="50" t="str">
        <f>IF(CCUS_Projects_Database!$V255&lt;&gt;"",HYPERLINK(CCUS_Projects_Database!$V255,"Link 5"),"")</f>
        <v/>
      </c>
      <c r="AD255" s="50" t="str">
        <f>IF(CCUS_Projects_Database!$W255&lt;&gt;"",HYPERLINK(CCUS_Projects_Database!$W255,"Link 6"),"")</f>
        <v/>
      </c>
      <c r="AE255" s="50" t="str">
        <f>IF(CCUS_Projects_Database!$X255&lt;&gt;"",HYPERLINK(CCUS_Projects_Database!$X255,"Link 7"),"")</f>
        <v/>
      </c>
    </row>
    <row r="256" ht="15.75" customHeight="1">
      <c r="A256" s="37" t="s">
        <v>1050</v>
      </c>
      <c r="B256" s="38">
        <v>453.0</v>
      </c>
      <c r="C256" s="38" t="s">
        <v>1051</v>
      </c>
      <c r="D256" s="39" t="s">
        <v>1052</v>
      </c>
      <c r="E256" s="38" t="s">
        <v>8</v>
      </c>
      <c r="F256" s="38" t="s">
        <v>124</v>
      </c>
      <c r="G256" s="38" t="s">
        <v>124</v>
      </c>
      <c r="H256" s="38" t="s">
        <v>124</v>
      </c>
      <c r="I256" s="38" t="s">
        <v>124</v>
      </c>
      <c r="J256" s="38" t="s">
        <v>28</v>
      </c>
      <c r="K256" s="40" t="s">
        <v>124</v>
      </c>
      <c r="L256" s="40"/>
      <c r="M256" s="40" t="s">
        <v>124</v>
      </c>
      <c r="N256" s="38" t="s">
        <v>54</v>
      </c>
      <c r="O256" s="41" t="s">
        <v>77</v>
      </c>
      <c r="P256" s="42" t="s">
        <v>124</v>
      </c>
      <c r="Q256" s="38" t="s">
        <v>143</v>
      </c>
      <c r="R256" s="42" t="s">
        <v>124</v>
      </c>
      <c r="S256" s="42" t="s">
        <v>124</v>
      </c>
      <c r="T256" s="42" t="s">
        <v>124</v>
      </c>
      <c r="U256" s="42" t="s">
        <v>124</v>
      </c>
      <c r="V256" s="42" t="s">
        <v>124</v>
      </c>
      <c r="W256" s="42" t="s">
        <v>124</v>
      </c>
      <c r="X256" s="42" t="s">
        <v>124</v>
      </c>
      <c r="Y256" s="43" t="str">
        <f>IF(CCUS_Projects_Database!$R256&lt;&gt;"",HYPERLINK(CCUS_Projects_Database!$R256,"Link 1"),"")</f>
        <v/>
      </c>
      <c r="Z256" s="43" t="str">
        <f>IF(CCUS_Projects_Database!$S256&lt;&gt;"",HYPERLINK(CCUS_Projects_Database!$S256,"Link 2"),"")</f>
        <v/>
      </c>
      <c r="AA256" s="43" t="str">
        <f>IF(CCUS_Projects_Database!$T256&lt;&gt;"",HYPERLINK(CCUS_Projects_Database!$T256,"Link 3"),"")</f>
        <v/>
      </c>
      <c r="AB256" s="43" t="str">
        <f>IF(CCUS_Projects_Database!$U256&lt;&gt;"",HYPERLINK(CCUS_Projects_Database!$U256,"Link 4"),"")</f>
        <v/>
      </c>
      <c r="AC256" s="43" t="str">
        <f>IF(CCUS_Projects_Database!$V256&lt;&gt;"",HYPERLINK(CCUS_Projects_Database!$V256,"Link 5"),"")</f>
        <v/>
      </c>
      <c r="AD256" s="43" t="str">
        <f>IF(CCUS_Projects_Database!$W256&lt;&gt;"",HYPERLINK(CCUS_Projects_Database!$W256,"Link 6"),"")</f>
        <v/>
      </c>
      <c r="AE256" s="43" t="str">
        <f>IF(CCUS_Projects_Database!$X256&lt;&gt;"",HYPERLINK(CCUS_Projects_Database!$X256,"Link 7"),"")</f>
        <v/>
      </c>
    </row>
    <row r="257" ht="15.75" customHeight="1">
      <c r="A257" s="44" t="s">
        <v>1053</v>
      </c>
      <c r="B257" s="45">
        <v>129.0</v>
      </c>
      <c r="C257" s="45" t="s">
        <v>239</v>
      </c>
      <c r="D257" s="46" t="s">
        <v>1054</v>
      </c>
      <c r="E257" s="45" t="s">
        <v>8</v>
      </c>
      <c r="F257" s="45">
        <v>2021.0</v>
      </c>
      <c r="G257" s="45">
        <v>2023.0</v>
      </c>
      <c r="H257" s="45">
        <v>2029.0</v>
      </c>
      <c r="I257" s="45" t="s">
        <v>124</v>
      </c>
      <c r="J257" s="45" t="s">
        <v>30</v>
      </c>
      <c r="K257" s="47" t="s">
        <v>124</v>
      </c>
      <c r="L257" s="47"/>
      <c r="M257" s="47" t="s">
        <v>124</v>
      </c>
      <c r="N257" s="45" t="s">
        <v>60</v>
      </c>
      <c r="O257" s="48" t="s">
        <v>77</v>
      </c>
      <c r="P257" s="49" t="s">
        <v>272</v>
      </c>
      <c r="Q257" s="45" t="s">
        <v>143</v>
      </c>
      <c r="R257" s="49" t="s">
        <v>1055</v>
      </c>
      <c r="S257" s="49" t="s">
        <v>1056</v>
      </c>
      <c r="T257" s="49" t="s">
        <v>1057</v>
      </c>
      <c r="U257" s="49" t="s">
        <v>1058</v>
      </c>
      <c r="V257" s="49" t="s">
        <v>1059</v>
      </c>
      <c r="W257" s="49" t="s">
        <v>1060</v>
      </c>
      <c r="X257" s="49" t="s">
        <v>124</v>
      </c>
      <c r="Y257" s="50" t="str">
        <f>IF(CCUS_Projects_Database!$R257&lt;&gt;"",HYPERLINK(CCUS_Projects_Database!$R257,"Link 1"),"")</f>
        <v>Link 1</v>
      </c>
      <c r="Z257" s="50" t="str">
        <f>IF(CCUS_Projects_Database!$S257&lt;&gt;"",HYPERLINK(CCUS_Projects_Database!$S257,"Link 2"),"")</f>
        <v>Link 2</v>
      </c>
      <c r="AA257" s="50" t="str">
        <f>IF(CCUS_Projects_Database!$T257&lt;&gt;"",HYPERLINK(CCUS_Projects_Database!$T257,"Link 3"),"")</f>
        <v>Link 3</v>
      </c>
      <c r="AB257" s="50" t="str">
        <f>IF(CCUS_Projects_Database!$U257&lt;&gt;"",HYPERLINK(CCUS_Projects_Database!$U257,"Link 4"),"")</f>
        <v>Link 4</v>
      </c>
      <c r="AC257" s="50" t="str">
        <f>IF(CCUS_Projects_Database!$V257&lt;&gt;"",HYPERLINK(CCUS_Projects_Database!$V257,"Link 5"),"")</f>
        <v>Link 5</v>
      </c>
      <c r="AD257" s="50" t="str">
        <f>IF(CCUS_Projects_Database!$W257&lt;&gt;"",HYPERLINK(CCUS_Projects_Database!$W257,"Link 6"),"")</f>
        <v>Link 6</v>
      </c>
      <c r="AE257" s="50" t="str">
        <f>IF(CCUS_Projects_Database!$X257&lt;&gt;"",HYPERLINK(CCUS_Projects_Database!$X257,"Link 7"),"")</f>
        <v/>
      </c>
    </row>
    <row r="258" ht="15.75" customHeight="1">
      <c r="A258" s="37" t="s">
        <v>1061</v>
      </c>
      <c r="B258" s="38">
        <v>880.0</v>
      </c>
      <c r="C258" s="38" t="s">
        <v>141</v>
      </c>
      <c r="D258" s="39" t="s">
        <v>348</v>
      </c>
      <c r="E258" s="38" t="s">
        <v>12</v>
      </c>
      <c r="F258" s="38">
        <v>2022.0</v>
      </c>
      <c r="G258" s="38" t="s">
        <v>124</v>
      </c>
      <c r="H258" s="38">
        <v>2026.0</v>
      </c>
      <c r="I258" s="38" t="s">
        <v>124</v>
      </c>
      <c r="J258" s="38" t="s">
        <v>28</v>
      </c>
      <c r="K258" s="40" t="s">
        <v>124</v>
      </c>
      <c r="L258" s="51">
        <v>7.5</v>
      </c>
      <c r="M258" s="40">
        <v>5.0</v>
      </c>
      <c r="N258" s="38" t="s">
        <v>12</v>
      </c>
      <c r="O258" s="41" t="s">
        <v>77</v>
      </c>
      <c r="P258" s="42" t="s">
        <v>124</v>
      </c>
      <c r="Q258" s="38" t="s">
        <v>143</v>
      </c>
      <c r="R258" s="42" t="s">
        <v>1062</v>
      </c>
      <c r="S258" s="42" t="s">
        <v>1063</v>
      </c>
      <c r="T258" s="42" t="s">
        <v>349</v>
      </c>
      <c r="U258" s="42" t="s">
        <v>350</v>
      </c>
      <c r="V258" s="42" t="s">
        <v>124</v>
      </c>
      <c r="W258" s="42" t="s">
        <v>124</v>
      </c>
      <c r="X258" s="42" t="s">
        <v>124</v>
      </c>
      <c r="Y258" s="43" t="str">
        <f>IF(CCUS_Projects_Database!$R258&lt;&gt;"",HYPERLINK(CCUS_Projects_Database!$R258,"Link 1"),"")</f>
        <v>Link 1</v>
      </c>
      <c r="Z258" s="43" t="str">
        <f>IF(CCUS_Projects_Database!$S258&lt;&gt;"",HYPERLINK(CCUS_Projects_Database!$S258,"Link 2"),"")</f>
        <v>Link 2</v>
      </c>
      <c r="AA258" s="43" t="str">
        <f>IF(CCUS_Projects_Database!$T258&lt;&gt;"",HYPERLINK(CCUS_Projects_Database!$T258,"Link 3"),"")</f>
        <v>Link 3</v>
      </c>
      <c r="AB258" s="43" t="str">
        <f>IF(CCUS_Projects_Database!$U258&lt;&gt;"",HYPERLINK(CCUS_Projects_Database!$U258,"Link 4"),"")</f>
        <v>Link 4</v>
      </c>
      <c r="AC258" s="43" t="str">
        <f>IF(CCUS_Projects_Database!$V258&lt;&gt;"",HYPERLINK(CCUS_Projects_Database!$V258,"Link 5"),"")</f>
        <v/>
      </c>
      <c r="AD258" s="43" t="str">
        <f>IF(CCUS_Projects_Database!$W258&lt;&gt;"",HYPERLINK(CCUS_Projects_Database!$W258,"Link 6"),"")</f>
        <v/>
      </c>
      <c r="AE258" s="43" t="str">
        <f>IF(CCUS_Projects_Database!$X258&lt;&gt;"",HYPERLINK(CCUS_Projects_Database!$X258,"Link 7"),"")</f>
        <v/>
      </c>
    </row>
    <row r="259" ht="15.75" customHeight="1">
      <c r="A259" s="44" t="s">
        <v>1064</v>
      </c>
      <c r="B259" s="45">
        <v>130.0</v>
      </c>
      <c r="C259" s="45" t="s">
        <v>157</v>
      </c>
      <c r="D259" s="46" t="s">
        <v>1065</v>
      </c>
      <c r="E259" s="45" t="s">
        <v>8</v>
      </c>
      <c r="F259" s="45">
        <v>2019.0</v>
      </c>
      <c r="G259" s="45">
        <v>2024.0</v>
      </c>
      <c r="H259" s="45">
        <v>2027.0</v>
      </c>
      <c r="I259" s="45" t="s">
        <v>124</v>
      </c>
      <c r="J259" s="45" t="s">
        <v>28</v>
      </c>
      <c r="K259" s="47">
        <v>1.0</v>
      </c>
      <c r="L259" s="52">
        <v>4.3</v>
      </c>
      <c r="M259" s="47">
        <v>4.3</v>
      </c>
      <c r="N259" s="45" t="s">
        <v>46</v>
      </c>
      <c r="O259" s="48" t="s">
        <v>71</v>
      </c>
      <c r="P259" s="49" t="s">
        <v>281</v>
      </c>
      <c r="Q259" s="45" t="s">
        <v>125</v>
      </c>
      <c r="R259" s="49" t="s">
        <v>1066</v>
      </c>
      <c r="S259" s="49" t="s">
        <v>1067</v>
      </c>
      <c r="T259" s="49" t="s">
        <v>1068</v>
      </c>
      <c r="U259" s="49" t="s">
        <v>1069</v>
      </c>
      <c r="V259" s="49" t="s">
        <v>1070</v>
      </c>
      <c r="W259" s="49" t="s">
        <v>124</v>
      </c>
      <c r="X259" s="49" t="s">
        <v>124</v>
      </c>
      <c r="Y259" s="50" t="str">
        <f>IF(CCUS_Projects_Database!$R259&lt;&gt;"",HYPERLINK(CCUS_Projects_Database!$R259,"Link 1"),"")</f>
        <v>Link 1</v>
      </c>
      <c r="Z259" s="50" t="str">
        <f>IF(CCUS_Projects_Database!$S259&lt;&gt;"",HYPERLINK(CCUS_Projects_Database!$S259,"Link 2"),"")</f>
        <v>Link 2</v>
      </c>
      <c r="AA259" s="50" t="str">
        <f>IF(CCUS_Projects_Database!$T259&lt;&gt;"",HYPERLINK(CCUS_Projects_Database!$T259,"Link 3"),"")</f>
        <v>Link 3</v>
      </c>
      <c r="AB259" s="50" t="str">
        <f>IF(CCUS_Projects_Database!$U259&lt;&gt;"",HYPERLINK(CCUS_Projects_Database!$U259,"Link 4"),"")</f>
        <v>Link 4</v>
      </c>
      <c r="AC259" s="50" t="str">
        <f>IF(CCUS_Projects_Database!$V259&lt;&gt;"",HYPERLINK(CCUS_Projects_Database!$V259,"Link 5"),"")</f>
        <v>Link 5</v>
      </c>
      <c r="AD259" s="50" t="str">
        <f>IF(CCUS_Projects_Database!$W259&lt;&gt;"",HYPERLINK(CCUS_Projects_Database!$W259,"Link 6"),"")</f>
        <v/>
      </c>
      <c r="AE259" s="50" t="str">
        <f>IF(CCUS_Projects_Database!$X259&lt;&gt;"",HYPERLINK(CCUS_Projects_Database!$X259,"Link 7"),"")</f>
        <v/>
      </c>
    </row>
    <row r="260" ht="15.75" customHeight="1">
      <c r="A260" s="37" t="s">
        <v>1071</v>
      </c>
      <c r="B260" s="38">
        <v>131.0</v>
      </c>
      <c r="C260" s="38" t="s">
        <v>157</v>
      </c>
      <c r="D260" s="39" t="s">
        <v>1065</v>
      </c>
      <c r="E260" s="38" t="s">
        <v>8</v>
      </c>
      <c r="F260" s="38">
        <v>2019.0</v>
      </c>
      <c r="G260" s="38">
        <v>2024.0</v>
      </c>
      <c r="H260" s="38">
        <v>2030.0</v>
      </c>
      <c r="I260" s="38" t="s">
        <v>124</v>
      </c>
      <c r="J260" s="38" t="s">
        <v>28</v>
      </c>
      <c r="K260" s="40">
        <v>2.0</v>
      </c>
      <c r="L260" s="51">
        <v>3.7</v>
      </c>
      <c r="M260" s="40">
        <v>3.7</v>
      </c>
      <c r="N260" s="38" t="s">
        <v>46</v>
      </c>
      <c r="O260" s="41" t="s">
        <v>71</v>
      </c>
      <c r="P260" s="42" t="s">
        <v>281</v>
      </c>
      <c r="Q260" s="38" t="s">
        <v>125</v>
      </c>
      <c r="R260" s="42" t="s">
        <v>1066</v>
      </c>
      <c r="S260" s="42" t="s">
        <v>1067</v>
      </c>
      <c r="T260" s="42" t="s">
        <v>1069</v>
      </c>
      <c r="U260" s="42" t="s">
        <v>124</v>
      </c>
      <c r="V260" s="42" t="s">
        <v>124</v>
      </c>
      <c r="W260" s="42" t="s">
        <v>124</v>
      </c>
      <c r="X260" s="42" t="s">
        <v>124</v>
      </c>
      <c r="Y260" s="43" t="str">
        <f>IF(CCUS_Projects_Database!$R260&lt;&gt;"",HYPERLINK(CCUS_Projects_Database!$R260,"Link 1"),"")</f>
        <v>Link 1</v>
      </c>
      <c r="Z260" s="43" t="str">
        <f>IF(CCUS_Projects_Database!$S260&lt;&gt;"",HYPERLINK(CCUS_Projects_Database!$S260,"Link 2"),"")</f>
        <v>Link 2</v>
      </c>
      <c r="AA260" s="43" t="str">
        <f>IF(CCUS_Projects_Database!$T260&lt;&gt;"",HYPERLINK(CCUS_Projects_Database!$T260,"Link 3"),"")</f>
        <v>Link 3</v>
      </c>
      <c r="AB260" s="43" t="str">
        <f>IF(CCUS_Projects_Database!$U260&lt;&gt;"",HYPERLINK(CCUS_Projects_Database!$U260,"Link 4"),"")</f>
        <v/>
      </c>
      <c r="AC260" s="43" t="str">
        <f>IF(CCUS_Projects_Database!$V260&lt;&gt;"",HYPERLINK(CCUS_Projects_Database!$V260,"Link 5"),"")</f>
        <v/>
      </c>
      <c r="AD260" s="43" t="str">
        <f>IF(CCUS_Projects_Database!$W260&lt;&gt;"",HYPERLINK(CCUS_Projects_Database!$W260,"Link 6"),"")</f>
        <v/>
      </c>
      <c r="AE260" s="43" t="str">
        <f>IF(CCUS_Projects_Database!$X260&lt;&gt;"",HYPERLINK(CCUS_Projects_Database!$X260,"Link 7"),"")</f>
        <v/>
      </c>
    </row>
    <row r="261" ht="15.75" customHeight="1">
      <c r="A261" s="44" t="s">
        <v>1072</v>
      </c>
      <c r="B261" s="45">
        <v>770.0</v>
      </c>
      <c r="C261" s="45" t="s">
        <v>141</v>
      </c>
      <c r="D261" s="46" t="s">
        <v>1073</v>
      </c>
      <c r="E261" s="45" t="s">
        <v>8</v>
      </c>
      <c r="F261" s="45">
        <v>2023.0</v>
      </c>
      <c r="G261" s="45">
        <v>2026.0</v>
      </c>
      <c r="H261" s="45">
        <v>2030.0</v>
      </c>
      <c r="I261" s="45" t="s">
        <v>124</v>
      </c>
      <c r="J261" s="45" t="s">
        <v>28</v>
      </c>
      <c r="K261" s="47" t="s">
        <v>124</v>
      </c>
      <c r="L261" s="52">
        <v>3.0</v>
      </c>
      <c r="M261" s="47">
        <v>3.0</v>
      </c>
      <c r="N261" s="45" t="s">
        <v>46</v>
      </c>
      <c r="O261" s="48" t="s">
        <v>71</v>
      </c>
      <c r="P261" s="49" t="s">
        <v>124</v>
      </c>
      <c r="Q261" s="45" t="s">
        <v>143</v>
      </c>
      <c r="R261" s="49" t="s">
        <v>1074</v>
      </c>
      <c r="S261" s="49" t="s">
        <v>124</v>
      </c>
      <c r="T261" s="49" t="s">
        <v>124</v>
      </c>
      <c r="U261" s="49" t="s">
        <v>124</v>
      </c>
      <c r="V261" s="49" t="s">
        <v>124</v>
      </c>
      <c r="W261" s="49" t="s">
        <v>124</v>
      </c>
      <c r="X261" s="49" t="s">
        <v>124</v>
      </c>
      <c r="Y261" s="50" t="str">
        <f>IF(CCUS_Projects_Database!$R261&lt;&gt;"",HYPERLINK(CCUS_Projects_Database!$R261,"Link 1"),"")</f>
        <v>Link 1</v>
      </c>
      <c r="Z261" s="50" t="str">
        <f>IF(CCUS_Projects_Database!$S261&lt;&gt;"",HYPERLINK(CCUS_Projects_Database!$S261,"Link 2"),"")</f>
        <v/>
      </c>
      <c r="AA261" s="50" t="str">
        <f>IF(CCUS_Projects_Database!$T261&lt;&gt;"",HYPERLINK(CCUS_Projects_Database!$T261,"Link 3"),"")</f>
        <v/>
      </c>
      <c r="AB261" s="50" t="str">
        <f>IF(CCUS_Projects_Database!$U261&lt;&gt;"",HYPERLINK(CCUS_Projects_Database!$U261,"Link 4"),"")</f>
        <v/>
      </c>
      <c r="AC261" s="50" t="str">
        <f>IF(CCUS_Projects_Database!$V261&lt;&gt;"",HYPERLINK(CCUS_Projects_Database!$V261,"Link 5"),"")</f>
        <v/>
      </c>
      <c r="AD261" s="50" t="str">
        <f>IF(CCUS_Projects_Database!$W261&lt;&gt;"",HYPERLINK(CCUS_Projects_Database!$W261,"Link 6"),"")</f>
        <v/>
      </c>
      <c r="AE261" s="50" t="str">
        <f>IF(CCUS_Projects_Database!$X261&lt;&gt;"",HYPERLINK(CCUS_Projects_Database!$X261,"Link 7"),"")</f>
        <v/>
      </c>
    </row>
    <row r="262" ht="15.75" customHeight="1">
      <c r="A262" s="37" t="s">
        <v>1075</v>
      </c>
      <c r="B262" s="38">
        <v>771.0</v>
      </c>
      <c r="C262" s="38" t="s">
        <v>141</v>
      </c>
      <c r="D262" s="39" t="s">
        <v>1073</v>
      </c>
      <c r="E262" s="38" t="s">
        <v>8</v>
      </c>
      <c r="F262" s="38">
        <v>2023.0</v>
      </c>
      <c r="G262" s="38">
        <v>2026.0</v>
      </c>
      <c r="H262" s="38">
        <v>2030.0</v>
      </c>
      <c r="I262" s="38" t="s">
        <v>124</v>
      </c>
      <c r="J262" s="38" t="s">
        <v>28</v>
      </c>
      <c r="K262" s="40" t="s">
        <v>124</v>
      </c>
      <c r="L262" s="51">
        <v>3.0</v>
      </c>
      <c r="M262" s="40">
        <v>3.0</v>
      </c>
      <c r="N262" s="38" t="s">
        <v>46</v>
      </c>
      <c r="O262" s="41" t="s">
        <v>71</v>
      </c>
      <c r="P262" s="42" t="s">
        <v>124</v>
      </c>
      <c r="Q262" s="38" t="s">
        <v>143</v>
      </c>
      <c r="R262" s="42" t="s">
        <v>1074</v>
      </c>
      <c r="S262" s="42" t="s">
        <v>124</v>
      </c>
      <c r="T262" s="42" t="s">
        <v>124</v>
      </c>
      <c r="U262" s="42" t="s">
        <v>124</v>
      </c>
      <c r="V262" s="42" t="s">
        <v>124</v>
      </c>
      <c r="W262" s="42" t="s">
        <v>124</v>
      </c>
      <c r="X262" s="42" t="s">
        <v>124</v>
      </c>
      <c r="Y262" s="43" t="str">
        <f>IF(CCUS_Projects_Database!$R262&lt;&gt;"",HYPERLINK(CCUS_Projects_Database!$R262,"Link 1"),"")</f>
        <v>Link 1</v>
      </c>
      <c r="Z262" s="43" t="str">
        <f>IF(CCUS_Projects_Database!$S262&lt;&gt;"",HYPERLINK(CCUS_Projects_Database!$S262,"Link 2"),"")</f>
        <v/>
      </c>
      <c r="AA262" s="43" t="str">
        <f>IF(CCUS_Projects_Database!$T262&lt;&gt;"",HYPERLINK(CCUS_Projects_Database!$T262,"Link 3"),"")</f>
        <v/>
      </c>
      <c r="AB262" s="43" t="str">
        <f>IF(CCUS_Projects_Database!$U262&lt;&gt;"",HYPERLINK(CCUS_Projects_Database!$U262,"Link 4"),"")</f>
        <v/>
      </c>
      <c r="AC262" s="43" t="str">
        <f>IF(CCUS_Projects_Database!$V262&lt;&gt;"",HYPERLINK(CCUS_Projects_Database!$V262,"Link 5"),"")</f>
        <v/>
      </c>
      <c r="AD262" s="43" t="str">
        <f>IF(CCUS_Projects_Database!$W262&lt;&gt;"",HYPERLINK(CCUS_Projects_Database!$W262,"Link 6"),"")</f>
        <v/>
      </c>
      <c r="AE262" s="43" t="str">
        <f>IF(CCUS_Projects_Database!$X262&lt;&gt;"",HYPERLINK(CCUS_Projects_Database!$X262,"Link 7"),"")</f>
        <v/>
      </c>
    </row>
    <row r="263" ht="15.75" customHeight="1">
      <c r="A263" s="44" t="s">
        <v>1076</v>
      </c>
      <c r="B263" s="45">
        <v>132.0</v>
      </c>
      <c r="C263" s="45" t="s">
        <v>141</v>
      </c>
      <c r="D263" s="46" t="s">
        <v>1077</v>
      </c>
      <c r="E263" s="45" t="s">
        <v>6</v>
      </c>
      <c r="F263" s="45">
        <v>2016.0</v>
      </c>
      <c r="G263" s="45" t="s">
        <v>124</v>
      </c>
      <c r="H263" s="45">
        <v>2025.0</v>
      </c>
      <c r="I263" s="45" t="s">
        <v>124</v>
      </c>
      <c r="J263" s="45" t="s">
        <v>28</v>
      </c>
      <c r="K263" s="47">
        <v>1.0</v>
      </c>
      <c r="L263" s="52">
        <v>3.0</v>
      </c>
      <c r="M263" s="47">
        <v>3.0</v>
      </c>
      <c r="N263" s="45" t="s">
        <v>46</v>
      </c>
      <c r="O263" s="48" t="s">
        <v>71</v>
      </c>
      <c r="P263" s="49" t="s">
        <v>1078</v>
      </c>
      <c r="Q263" s="45" t="s">
        <v>143</v>
      </c>
      <c r="R263" s="49" t="s">
        <v>1079</v>
      </c>
      <c r="S263" s="49" t="s">
        <v>1080</v>
      </c>
      <c r="T263" s="49" t="s">
        <v>1081</v>
      </c>
      <c r="U263" s="49" t="s">
        <v>1082</v>
      </c>
      <c r="V263" s="49" t="s">
        <v>1083</v>
      </c>
      <c r="W263" s="49" t="s">
        <v>1084</v>
      </c>
      <c r="X263" s="49" t="s">
        <v>1085</v>
      </c>
      <c r="Y263" s="50" t="str">
        <f>IF(CCUS_Projects_Database!$R263&lt;&gt;"",HYPERLINK(CCUS_Projects_Database!$R263,"Link 1"),"")</f>
        <v>Link 1</v>
      </c>
      <c r="Z263" s="50" t="str">
        <f>IF(CCUS_Projects_Database!$S263&lt;&gt;"",HYPERLINK(CCUS_Projects_Database!$S263,"Link 2"),"")</f>
        <v>Link 2</v>
      </c>
      <c r="AA263" s="50" t="str">
        <f>IF(CCUS_Projects_Database!$T263&lt;&gt;"",HYPERLINK(CCUS_Projects_Database!$T263,"Link 3"),"")</f>
        <v>Link 3</v>
      </c>
      <c r="AB263" s="50" t="str">
        <f>IF(CCUS_Projects_Database!$U263&lt;&gt;"",HYPERLINK(CCUS_Projects_Database!$U263,"Link 4"),"")</f>
        <v>Link 4</v>
      </c>
      <c r="AC263" s="50" t="str">
        <f>IF(CCUS_Projects_Database!$V263&lt;&gt;"",HYPERLINK(CCUS_Projects_Database!$V263,"Link 5"),"")</f>
        <v>Link 5</v>
      </c>
      <c r="AD263" s="50" t="str">
        <f>IF(CCUS_Projects_Database!$W263&lt;&gt;"",HYPERLINK(CCUS_Projects_Database!$W263,"Link 6"),"")</f>
        <v>Link 6</v>
      </c>
      <c r="AE263" s="50" t="str">
        <f>IF(CCUS_Projects_Database!$X263&lt;&gt;"",HYPERLINK(CCUS_Projects_Database!$X263,"Link 7"),"")</f>
        <v>Link 7</v>
      </c>
    </row>
    <row r="264" ht="15.75" customHeight="1">
      <c r="A264" s="37" t="s">
        <v>1086</v>
      </c>
      <c r="B264" s="38">
        <v>1127.0</v>
      </c>
      <c r="C264" s="38" t="s">
        <v>141</v>
      </c>
      <c r="D264" s="39" t="s">
        <v>1087</v>
      </c>
      <c r="E264" s="38" t="s">
        <v>8</v>
      </c>
      <c r="F264" s="38">
        <v>2023.0</v>
      </c>
      <c r="G264" s="38" t="s">
        <v>124</v>
      </c>
      <c r="H264" s="38" t="s">
        <v>124</v>
      </c>
      <c r="I264" s="38" t="s">
        <v>124</v>
      </c>
      <c r="J264" s="38" t="s">
        <v>28</v>
      </c>
      <c r="K264" s="40" t="s">
        <v>124</v>
      </c>
      <c r="L264" s="51">
        <v>3.6</v>
      </c>
      <c r="M264" s="40">
        <v>3.6</v>
      </c>
      <c r="N264" s="38" t="s">
        <v>46</v>
      </c>
      <c r="O264" s="41" t="s">
        <v>71</v>
      </c>
      <c r="P264" s="42" t="s">
        <v>124</v>
      </c>
      <c r="Q264" s="38" t="s">
        <v>143</v>
      </c>
      <c r="R264" s="42" t="s">
        <v>372</v>
      </c>
      <c r="S264" s="42" t="s">
        <v>124</v>
      </c>
      <c r="T264" s="42" t="s">
        <v>124</v>
      </c>
      <c r="U264" s="42" t="s">
        <v>124</v>
      </c>
      <c r="V264" s="42" t="s">
        <v>124</v>
      </c>
      <c r="W264" s="42" t="s">
        <v>124</v>
      </c>
      <c r="X264" s="42" t="s">
        <v>124</v>
      </c>
      <c r="Y264" s="43" t="str">
        <f>IF(CCUS_Projects_Database!$R264&lt;&gt;"",HYPERLINK(CCUS_Projects_Database!$R264,"Link 1"),"")</f>
        <v>Link 1</v>
      </c>
      <c r="Z264" s="43" t="str">
        <f>IF(CCUS_Projects_Database!$S264&lt;&gt;"",HYPERLINK(CCUS_Projects_Database!$S264,"Link 2"),"")</f>
        <v/>
      </c>
      <c r="AA264" s="43" t="str">
        <f>IF(CCUS_Projects_Database!$T264&lt;&gt;"",HYPERLINK(CCUS_Projects_Database!$T264,"Link 3"),"")</f>
        <v/>
      </c>
      <c r="AB264" s="43" t="str">
        <f>IF(CCUS_Projects_Database!$U264&lt;&gt;"",HYPERLINK(CCUS_Projects_Database!$U264,"Link 4"),"")</f>
        <v/>
      </c>
      <c r="AC264" s="43" t="str">
        <f>IF(CCUS_Projects_Database!$V264&lt;&gt;"",HYPERLINK(CCUS_Projects_Database!$V264,"Link 5"),"")</f>
        <v/>
      </c>
      <c r="AD264" s="43" t="str">
        <f>IF(CCUS_Projects_Database!$W264&lt;&gt;"",HYPERLINK(CCUS_Projects_Database!$W264,"Link 6"),"")</f>
        <v/>
      </c>
      <c r="AE264" s="43" t="str">
        <f>IF(CCUS_Projects_Database!$X264&lt;&gt;"",HYPERLINK(CCUS_Projects_Database!$X264,"Link 7"),"")</f>
        <v/>
      </c>
    </row>
    <row r="265" ht="15.75" customHeight="1">
      <c r="A265" s="44" t="s">
        <v>1088</v>
      </c>
      <c r="B265" s="45">
        <v>752.0</v>
      </c>
      <c r="C265" s="45" t="s">
        <v>157</v>
      </c>
      <c r="D265" s="46" t="s">
        <v>1089</v>
      </c>
      <c r="E265" s="45" t="s">
        <v>16</v>
      </c>
      <c r="F265" s="45">
        <v>2022.0</v>
      </c>
      <c r="G265" s="45" t="s">
        <v>124</v>
      </c>
      <c r="H265" s="45" t="s">
        <v>124</v>
      </c>
      <c r="I265" s="45" t="s">
        <v>124</v>
      </c>
      <c r="J265" s="45" t="s">
        <v>28</v>
      </c>
      <c r="K265" s="47" t="s">
        <v>124</v>
      </c>
      <c r="L265" s="47"/>
      <c r="M265" s="47" t="s">
        <v>124</v>
      </c>
      <c r="N265" s="45" t="s">
        <v>50</v>
      </c>
      <c r="O265" s="48" t="s">
        <v>75</v>
      </c>
      <c r="P265" s="49" t="s">
        <v>124</v>
      </c>
      <c r="Q265" s="45" t="s">
        <v>125</v>
      </c>
      <c r="R265" s="49" t="s">
        <v>1090</v>
      </c>
      <c r="S265" s="49" t="s">
        <v>124</v>
      </c>
      <c r="T265" s="49" t="s">
        <v>124</v>
      </c>
      <c r="U265" s="49" t="s">
        <v>124</v>
      </c>
      <c r="V265" s="49" t="s">
        <v>124</v>
      </c>
      <c r="W265" s="49" t="s">
        <v>124</v>
      </c>
      <c r="X265" s="49" t="s">
        <v>124</v>
      </c>
      <c r="Y265" s="50" t="str">
        <f>IF(CCUS_Projects_Database!$R265&lt;&gt;"",HYPERLINK(CCUS_Projects_Database!$R265,"Link 1"),"")</f>
        <v>Link 1</v>
      </c>
      <c r="Z265" s="50" t="str">
        <f>IF(CCUS_Projects_Database!$S265&lt;&gt;"",HYPERLINK(CCUS_Projects_Database!$S265,"Link 2"),"")</f>
        <v/>
      </c>
      <c r="AA265" s="50" t="str">
        <f>IF(CCUS_Projects_Database!$T265&lt;&gt;"",HYPERLINK(CCUS_Projects_Database!$T265,"Link 3"),"")</f>
        <v/>
      </c>
      <c r="AB265" s="50" t="str">
        <f>IF(CCUS_Projects_Database!$U265&lt;&gt;"",HYPERLINK(CCUS_Projects_Database!$U265,"Link 4"),"")</f>
        <v/>
      </c>
      <c r="AC265" s="50" t="str">
        <f>IF(CCUS_Projects_Database!$V265&lt;&gt;"",HYPERLINK(CCUS_Projects_Database!$V265,"Link 5"),"")</f>
        <v/>
      </c>
      <c r="AD265" s="50" t="str">
        <f>IF(CCUS_Projects_Database!$W265&lt;&gt;"",HYPERLINK(CCUS_Projects_Database!$W265,"Link 6"),"")</f>
        <v/>
      </c>
      <c r="AE265" s="50" t="str">
        <f>IF(CCUS_Projects_Database!$X265&lt;&gt;"",HYPERLINK(CCUS_Projects_Database!$X265,"Link 7"),"")</f>
        <v/>
      </c>
    </row>
    <row r="266" ht="15.75" customHeight="1">
      <c r="A266" s="37" t="s">
        <v>1091</v>
      </c>
      <c r="B266" s="38">
        <v>501.0</v>
      </c>
      <c r="C266" s="38" t="s">
        <v>239</v>
      </c>
      <c r="D266" s="39" t="s">
        <v>1092</v>
      </c>
      <c r="E266" s="38" t="s">
        <v>12</v>
      </c>
      <c r="F266" s="38">
        <v>2022.0</v>
      </c>
      <c r="G266" s="38" t="s">
        <v>124</v>
      </c>
      <c r="H266" s="38" t="s">
        <v>124</v>
      </c>
      <c r="I266" s="38" t="s">
        <v>124</v>
      </c>
      <c r="J266" s="38" t="s">
        <v>28</v>
      </c>
      <c r="K266" s="40" t="s">
        <v>124</v>
      </c>
      <c r="L266" s="51">
        <v>7.5</v>
      </c>
      <c r="M266" s="40">
        <v>10.0</v>
      </c>
      <c r="N266" s="38" t="s">
        <v>12</v>
      </c>
      <c r="O266" s="41" t="s">
        <v>71</v>
      </c>
      <c r="P266" s="42" t="s">
        <v>1091</v>
      </c>
      <c r="Q266" s="38" t="s">
        <v>143</v>
      </c>
      <c r="R266" s="42" t="s">
        <v>464</v>
      </c>
      <c r="S266" s="42" t="s">
        <v>1093</v>
      </c>
      <c r="T266" s="42" t="s">
        <v>1094</v>
      </c>
      <c r="U266" s="42" t="s">
        <v>1095</v>
      </c>
      <c r="V266" s="42" t="s">
        <v>124</v>
      </c>
      <c r="W266" s="42" t="s">
        <v>124</v>
      </c>
      <c r="X266" s="42" t="s">
        <v>124</v>
      </c>
      <c r="Y266" s="43" t="str">
        <f>IF(CCUS_Projects_Database!$R266&lt;&gt;"",HYPERLINK(CCUS_Projects_Database!$R266,"Link 1"),"")</f>
        <v>Link 1</v>
      </c>
      <c r="Z266" s="43" t="str">
        <f>IF(CCUS_Projects_Database!$S266&lt;&gt;"",HYPERLINK(CCUS_Projects_Database!$S266,"Link 2"),"")</f>
        <v>Link 2</v>
      </c>
      <c r="AA266" s="43" t="str">
        <f>IF(CCUS_Projects_Database!$T266&lt;&gt;"",HYPERLINK(CCUS_Projects_Database!$T266,"Link 3"),"")</f>
        <v>Link 3</v>
      </c>
      <c r="AB266" s="43" t="str">
        <f>IF(CCUS_Projects_Database!$U266&lt;&gt;"",HYPERLINK(CCUS_Projects_Database!$U266,"Link 4"),"")</f>
        <v>Link 4</v>
      </c>
      <c r="AC266" s="43" t="str">
        <f>IF(CCUS_Projects_Database!$V266&lt;&gt;"",HYPERLINK(CCUS_Projects_Database!$V266,"Link 5"),"")</f>
        <v/>
      </c>
      <c r="AD266" s="43" t="str">
        <f>IF(CCUS_Projects_Database!$W266&lt;&gt;"",HYPERLINK(CCUS_Projects_Database!$W266,"Link 6"),"")</f>
        <v/>
      </c>
      <c r="AE266" s="43" t="str">
        <f>IF(CCUS_Projects_Database!$X266&lt;&gt;"",HYPERLINK(CCUS_Projects_Database!$X266,"Link 7"),"")</f>
        <v/>
      </c>
    </row>
    <row r="267" ht="15.75" customHeight="1">
      <c r="A267" s="44" t="s">
        <v>1096</v>
      </c>
      <c r="B267" s="45">
        <v>947.0</v>
      </c>
      <c r="C267" s="45" t="s">
        <v>146</v>
      </c>
      <c r="D267" s="46" t="s">
        <v>1097</v>
      </c>
      <c r="E267" s="45" t="s">
        <v>12</v>
      </c>
      <c r="F267" s="45">
        <v>2022.0</v>
      </c>
      <c r="G267" s="45" t="s">
        <v>124</v>
      </c>
      <c r="H267" s="45">
        <v>2030.0</v>
      </c>
      <c r="I267" s="45" t="s">
        <v>124</v>
      </c>
      <c r="J267" s="45" t="s">
        <v>28</v>
      </c>
      <c r="K267" s="47" t="s">
        <v>124</v>
      </c>
      <c r="L267" s="52">
        <v>1.0</v>
      </c>
      <c r="M267" s="47">
        <v>1.0</v>
      </c>
      <c r="N267" s="45" t="s">
        <v>12</v>
      </c>
      <c r="O267" s="48" t="s">
        <v>71</v>
      </c>
      <c r="P267" s="49" t="s">
        <v>1096</v>
      </c>
      <c r="Q267" s="45" t="s">
        <v>148</v>
      </c>
      <c r="R267" s="49" t="s">
        <v>365</v>
      </c>
      <c r="S267" s="49" t="s">
        <v>124</v>
      </c>
      <c r="T267" s="49" t="s">
        <v>124</v>
      </c>
      <c r="U267" s="49" t="s">
        <v>124</v>
      </c>
      <c r="V267" s="49" t="s">
        <v>124</v>
      </c>
      <c r="W267" s="49" t="s">
        <v>124</v>
      </c>
      <c r="X267" s="49" t="s">
        <v>124</v>
      </c>
      <c r="Y267" s="50" t="str">
        <f>IF(CCUS_Projects_Database!$R267&lt;&gt;"",HYPERLINK(CCUS_Projects_Database!$R267,"Link 1"),"")</f>
        <v>Link 1</v>
      </c>
      <c r="Z267" s="50" t="str">
        <f>IF(CCUS_Projects_Database!$S267&lt;&gt;"",HYPERLINK(CCUS_Projects_Database!$S267,"Link 2"),"")</f>
        <v/>
      </c>
      <c r="AA267" s="50" t="str">
        <f>IF(CCUS_Projects_Database!$T267&lt;&gt;"",HYPERLINK(CCUS_Projects_Database!$T267,"Link 3"),"")</f>
        <v/>
      </c>
      <c r="AB267" s="50" t="str">
        <f>IF(CCUS_Projects_Database!$U267&lt;&gt;"",HYPERLINK(CCUS_Projects_Database!$U267,"Link 4"),"")</f>
        <v/>
      </c>
      <c r="AC267" s="50" t="str">
        <f>IF(CCUS_Projects_Database!$V267&lt;&gt;"",HYPERLINK(CCUS_Projects_Database!$V267,"Link 5"),"")</f>
        <v/>
      </c>
      <c r="AD267" s="50" t="str">
        <f>IF(CCUS_Projects_Database!$W267&lt;&gt;"",HYPERLINK(CCUS_Projects_Database!$W267,"Link 6"),"")</f>
        <v/>
      </c>
      <c r="AE267" s="50" t="str">
        <f>IF(CCUS_Projects_Database!$X267&lt;&gt;"",HYPERLINK(CCUS_Projects_Database!$X267,"Link 7"),"")</f>
        <v/>
      </c>
    </row>
    <row r="268" ht="15.75" customHeight="1">
      <c r="A268" s="37" t="s">
        <v>1098</v>
      </c>
      <c r="B268" s="38">
        <v>1134.0</v>
      </c>
      <c r="C268" s="38" t="s">
        <v>1099</v>
      </c>
      <c r="D268" s="39" t="s">
        <v>1100</v>
      </c>
      <c r="E268" s="38" t="s">
        <v>8</v>
      </c>
      <c r="F268" s="38">
        <v>2023.0</v>
      </c>
      <c r="G268" s="38" t="s">
        <v>124</v>
      </c>
      <c r="H268" s="38">
        <v>2030.0</v>
      </c>
      <c r="I268" s="38" t="s">
        <v>124</v>
      </c>
      <c r="J268" s="38" t="s">
        <v>28</v>
      </c>
      <c r="K268" s="40" t="s">
        <v>124</v>
      </c>
      <c r="L268" s="40"/>
      <c r="M268" s="40" t="s">
        <v>124</v>
      </c>
      <c r="N268" s="38" t="s">
        <v>62</v>
      </c>
      <c r="O268" s="41" t="s">
        <v>71</v>
      </c>
      <c r="P268" s="42" t="s">
        <v>1101</v>
      </c>
      <c r="Q268" s="38" t="s">
        <v>148</v>
      </c>
      <c r="R268" s="42" t="s">
        <v>1102</v>
      </c>
      <c r="S268" s="42" t="s">
        <v>124</v>
      </c>
      <c r="T268" s="42" t="s">
        <v>124</v>
      </c>
      <c r="U268" s="42" t="s">
        <v>124</v>
      </c>
      <c r="V268" s="42" t="s">
        <v>124</v>
      </c>
      <c r="W268" s="42" t="s">
        <v>124</v>
      </c>
      <c r="X268" s="42" t="s">
        <v>124</v>
      </c>
      <c r="Y268" s="43" t="str">
        <f>IF(CCUS_Projects_Database!$R268&lt;&gt;"",HYPERLINK(CCUS_Projects_Database!$R268,"Link 1"),"")</f>
        <v>Link 1</v>
      </c>
      <c r="Z268" s="43" t="str">
        <f>IF(CCUS_Projects_Database!$S268&lt;&gt;"",HYPERLINK(CCUS_Projects_Database!$S268,"Link 2"),"")</f>
        <v/>
      </c>
      <c r="AA268" s="43" t="str">
        <f>IF(CCUS_Projects_Database!$T268&lt;&gt;"",HYPERLINK(CCUS_Projects_Database!$T268,"Link 3"),"")</f>
        <v/>
      </c>
      <c r="AB268" s="43" t="str">
        <f>IF(CCUS_Projects_Database!$U268&lt;&gt;"",HYPERLINK(CCUS_Projects_Database!$U268,"Link 4"),"")</f>
        <v/>
      </c>
      <c r="AC268" s="43" t="str">
        <f>IF(CCUS_Projects_Database!$V268&lt;&gt;"",HYPERLINK(CCUS_Projects_Database!$V268,"Link 5"),"")</f>
        <v/>
      </c>
      <c r="AD268" s="43" t="str">
        <f>IF(CCUS_Projects_Database!$W268&lt;&gt;"",HYPERLINK(CCUS_Projects_Database!$W268,"Link 6"),"")</f>
        <v/>
      </c>
      <c r="AE268" s="43" t="str">
        <f>IF(CCUS_Projects_Database!$X268&lt;&gt;"",HYPERLINK(CCUS_Projects_Database!$X268,"Link 7"),"")</f>
        <v/>
      </c>
    </row>
    <row r="269" ht="15.75" customHeight="1">
      <c r="A269" s="44" t="s">
        <v>1103</v>
      </c>
      <c r="B269" s="45">
        <v>1133.0</v>
      </c>
      <c r="C269" s="45" t="s">
        <v>1099</v>
      </c>
      <c r="D269" s="46" t="s">
        <v>1104</v>
      </c>
      <c r="E269" s="45" t="s">
        <v>8</v>
      </c>
      <c r="F269" s="45">
        <v>2023.0</v>
      </c>
      <c r="G269" s="45" t="s">
        <v>124</v>
      </c>
      <c r="H269" s="45">
        <v>2030.0</v>
      </c>
      <c r="I269" s="45" t="s">
        <v>124</v>
      </c>
      <c r="J269" s="45" t="s">
        <v>28</v>
      </c>
      <c r="K269" s="47" t="s">
        <v>124</v>
      </c>
      <c r="L269" s="47"/>
      <c r="M269" s="47" t="s">
        <v>124</v>
      </c>
      <c r="N269" s="45" t="s">
        <v>60</v>
      </c>
      <c r="O269" s="48" t="s">
        <v>71</v>
      </c>
      <c r="P269" s="49" t="s">
        <v>1101</v>
      </c>
      <c r="Q269" s="45" t="s">
        <v>148</v>
      </c>
      <c r="R269" s="49" t="s">
        <v>1102</v>
      </c>
      <c r="S269" s="49" t="s">
        <v>124</v>
      </c>
      <c r="T269" s="49" t="s">
        <v>124</v>
      </c>
      <c r="U269" s="49" t="s">
        <v>124</v>
      </c>
      <c r="V269" s="49" t="s">
        <v>124</v>
      </c>
      <c r="W269" s="49" t="s">
        <v>124</v>
      </c>
      <c r="X269" s="49" t="s">
        <v>124</v>
      </c>
      <c r="Y269" s="50" t="str">
        <f>IF(CCUS_Projects_Database!$R269&lt;&gt;"",HYPERLINK(CCUS_Projects_Database!$R269,"Link 1"),"")</f>
        <v>Link 1</v>
      </c>
      <c r="Z269" s="50" t="str">
        <f>IF(CCUS_Projects_Database!$S269&lt;&gt;"",HYPERLINK(CCUS_Projects_Database!$S269,"Link 2"),"")</f>
        <v/>
      </c>
      <c r="AA269" s="50" t="str">
        <f>IF(CCUS_Projects_Database!$T269&lt;&gt;"",HYPERLINK(CCUS_Projects_Database!$T269,"Link 3"),"")</f>
        <v/>
      </c>
      <c r="AB269" s="50" t="str">
        <f>IF(CCUS_Projects_Database!$U269&lt;&gt;"",HYPERLINK(CCUS_Projects_Database!$U269,"Link 4"),"")</f>
        <v/>
      </c>
      <c r="AC269" s="50" t="str">
        <f>IF(CCUS_Projects_Database!$V269&lt;&gt;"",HYPERLINK(CCUS_Projects_Database!$V269,"Link 5"),"")</f>
        <v/>
      </c>
      <c r="AD269" s="50" t="str">
        <f>IF(CCUS_Projects_Database!$W269&lt;&gt;"",HYPERLINK(CCUS_Projects_Database!$W269,"Link 6"),"")</f>
        <v/>
      </c>
      <c r="AE269" s="50" t="str">
        <f>IF(CCUS_Projects_Database!$X269&lt;&gt;"",HYPERLINK(CCUS_Projects_Database!$X269,"Link 7"),"")</f>
        <v/>
      </c>
    </row>
    <row r="270" ht="15.75" customHeight="1">
      <c r="A270" s="37" t="s">
        <v>1105</v>
      </c>
      <c r="B270" s="38">
        <v>1132.0</v>
      </c>
      <c r="C270" s="38" t="s">
        <v>1099</v>
      </c>
      <c r="D270" s="39" t="s">
        <v>1106</v>
      </c>
      <c r="E270" s="38" t="s">
        <v>8</v>
      </c>
      <c r="F270" s="38">
        <v>2023.0</v>
      </c>
      <c r="G270" s="38" t="s">
        <v>124</v>
      </c>
      <c r="H270" s="38">
        <v>2030.0</v>
      </c>
      <c r="I270" s="38" t="s">
        <v>124</v>
      </c>
      <c r="J270" s="38" t="s">
        <v>28</v>
      </c>
      <c r="K270" s="40" t="s">
        <v>124</v>
      </c>
      <c r="L270" s="40"/>
      <c r="M270" s="40" t="s">
        <v>124</v>
      </c>
      <c r="N270" s="38" t="s">
        <v>46</v>
      </c>
      <c r="O270" s="41" t="s">
        <v>71</v>
      </c>
      <c r="P270" s="42" t="s">
        <v>1101</v>
      </c>
      <c r="Q270" s="38" t="s">
        <v>148</v>
      </c>
      <c r="R270" s="42" t="s">
        <v>372</v>
      </c>
      <c r="S270" s="42" t="s">
        <v>124</v>
      </c>
      <c r="T270" s="42" t="s">
        <v>124</v>
      </c>
      <c r="U270" s="42" t="s">
        <v>124</v>
      </c>
      <c r="V270" s="42" t="s">
        <v>124</v>
      </c>
      <c r="W270" s="42" t="s">
        <v>124</v>
      </c>
      <c r="X270" s="42" t="s">
        <v>124</v>
      </c>
      <c r="Y270" s="43" t="str">
        <f>IF(CCUS_Projects_Database!$R270&lt;&gt;"",HYPERLINK(CCUS_Projects_Database!$R270,"Link 1"),"")</f>
        <v>Link 1</v>
      </c>
      <c r="Z270" s="43" t="str">
        <f>IF(CCUS_Projects_Database!$S270&lt;&gt;"",HYPERLINK(CCUS_Projects_Database!$S270,"Link 2"),"")</f>
        <v/>
      </c>
      <c r="AA270" s="43" t="str">
        <f>IF(CCUS_Projects_Database!$T270&lt;&gt;"",HYPERLINK(CCUS_Projects_Database!$T270,"Link 3"),"")</f>
        <v/>
      </c>
      <c r="AB270" s="43" t="str">
        <f>IF(CCUS_Projects_Database!$U270&lt;&gt;"",HYPERLINK(CCUS_Projects_Database!$U270,"Link 4"),"")</f>
        <v/>
      </c>
      <c r="AC270" s="43" t="str">
        <f>IF(CCUS_Projects_Database!$V270&lt;&gt;"",HYPERLINK(CCUS_Projects_Database!$V270,"Link 5"),"")</f>
        <v/>
      </c>
      <c r="AD270" s="43" t="str">
        <f>IF(CCUS_Projects_Database!$W270&lt;&gt;"",HYPERLINK(CCUS_Projects_Database!$W270,"Link 6"),"")</f>
        <v/>
      </c>
      <c r="AE270" s="43" t="str">
        <f>IF(CCUS_Projects_Database!$X270&lt;&gt;"",HYPERLINK(CCUS_Projects_Database!$X270,"Link 7"),"")</f>
        <v/>
      </c>
    </row>
    <row r="271" ht="15.75" customHeight="1">
      <c r="A271" s="44" t="s">
        <v>1107</v>
      </c>
      <c r="B271" s="45">
        <v>289.0</v>
      </c>
      <c r="C271" s="45" t="s">
        <v>1099</v>
      </c>
      <c r="D271" s="46" t="s">
        <v>1108</v>
      </c>
      <c r="E271" s="45" t="s">
        <v>14</v>
      </c>
      <c r="F271" s="45">
        <v>2023.0</v>
      </c>
      <c r="G271" s="45" t="s">
        <v>124</v>
      </c>
      <c r="H271" s="45">
        <v>2030.0</v>
      </c>
      <c r="I271" s="45" t="s">
        <v>124</v>
      </c>
      <c r="J271" s="45" t="s">
        <v>28</v>
      </c>
      <c r="K271" s="47" t="s">
        <v>124</v>
      </c>
      <c r="L271" s="52">
        <v>1.5</v>
      </c>
      <c r="M271" s="47">
        <v>1.5</v>
      </c>
      <c r="N271" s="45" t="s">
        <v>14</v>
      </c>
      <c r="O271" s="48" t="s">
        <v>71</v>
      </c>
      <c r="P271" s="49" t="s">
        <v>1101</v>
      </c>
      <c r="Q271" s="45" t="s">
        <v>148</v>
      </c>
      <c r="R271" s="49" t="s">
        <v>1109</v>
      </c>
      <c r="S271" s="49" t="s">
        <v>1110</v>
      </c>
      <c r="T271" s="49" t="s">
        <v>124</v>
      </c>
      <c r="U271" s="49" t="s">
        <v>124</v>
      </c>
      <c r="V271" s="49" t="s">
        <v>124</v>
      </c>
      <c r="W271" s="49" t="s">
        <v>124</v>
      </c>
      <c r="X271" s="49" t="s">
        <v>124</v>
      </c>
      <c r="Y271" s="50" t="str">
        <f>IF(CCUS_Projects_Database!$R271&lt;&gt;"",HYPERLINK(CCUS_Projects_Database!$R271,"Link 1"),"")</f>
        <v>Link 1</v>
      </c>
      <c r="Z271" s="50" t="str">
        <f>IF(CCUS_Projects_Database!$S271&lt;&gt;"",HYPERLINK(CCUS_Projects_Database!$S271,"Link 2"),"")</f>
        <v>Link 2</v>
      </c>
      <c r="AA271" s="50" t="str">
        <f>IF(CCUS_Projects_Database!$T271&lt;&gt;"",HYPERLINK(CCUS_Projects_Database!$T271,"Link 3"),"")</f>
        <v/>
      </c>
      <c r="AB271" s="50" t="str">
        <f>IF(CCUS_Projects_Database!$U271&lt;&gt;"",HYPERLINK(CCUS_Projects_Database!$U271,"Link 4"),"")</f>
        <v/>
      </c>
      <c r="AC271" s="50" t="str">
        <f>IF(CCUS_Projects_Database!$V271&lt;&gt;"",HYPERLINK(CCUS_Projects_Database!$V271,"Link 5"),"")</f>
        <v/>
      </c>
      <c r="AD271" s="50" t="str">
        <f>IF(CCUS_Projects_Database!$W271&lt;&gt;"",HYPERLINK(CCUS_Projects_Database!$W271,"Link 6"),"")</f>
        <v/>
      </c>
      <c r="AE271" s="50" t="str">
        <f>IF(CCUS_Projects_Database!$X271&lt;&gt;"",HYPERLINK(CCUS_Projects_Database!$X271,"Link 7"),"")</f>
        <v/>
      </c>
    </row>
    <row r="272" ht="15.75" customHeight="1">
      <c r="A272" s="37" t="s">
        <v>1111</v>
      </c>
      <c r="B272" s="38">
        <v>38.0</v>
      </c>
      <c r="C272" s="38" t="s">
        <v>141</v>
      </c>
      <c r="D272" s="39" t="s">
        <v>1112</v>
      </c>
      <c r="E272" s="38" t="s">
        <v>6</v>
      </c>
      <c r="F272" s="38">
        <v>2021.0</v>
      </c>
      <c r="G272" s="38">
        <v>2023.0</v>
      </c>
      <c r="H272" s="38">
        <v>2026.0</v>
      </c>
      <c r="I272" s="38" t="s">
        <v>124</v>
      </c>
      <c r="J272" s="38" t="s">
        <v>30</v>
      </c>
      <c r="K272" s="40" t="s">
        <v>124</v>
      </c>
      <c r="L272" s="51">
        <v>5.0</v>
      </c>
      <c r="M272" s="40">
        <v>5.0</v>
      </c>
      <c r="N272" s="38" t="s">
        <v>136</v>
      </c>
      <c r="O272" s="41" t="s">
        <v>71</v>
      </c>
      <c r="P272" s="42" t="s">
        <v>124</v>
      </c>
      <c r="Q272" s="38" t="s">
        <v>143</v>
      </c>
      <c r="R272" s="42" t="s">
        <v>1113</v>
      </c>
      <c r="S272" s="42" t="s">
        <v>1114</v>
      </c>
      <c r="T272" s="42" t="s">
        <v>124</v>
      </c>
      <c r="U272" s="42" t="s">
        <v>124</v>
      </c>
      <c r="V272" s="42" t="s">
        <v>124</v>
      </c>
      <c r="W272" s="42" t="s">
        <v>124</v>
      </c>
      <c r="X272" s="42" t="s">
        <v>124</v>
      </c>
      <c r="Y272" s="43" t="str">
        <f>IF(CCUS_Projects_Database!$R272&lt;&gt;"",HYPERLINK(CCUS_Projects_Database!$R272,"Link 1"),"")</f>
        <v>Link 1</v>
      </c>
      <c r="Z272" s="43" t="str">
        <f>IF(CCUS_Projects_Database!$S272&lt;&gt;"",HYPERLINK(CCUS_Projects_Database!$S272,"Link 2"),"")</f>
        <v>Link 2</v>
      </c>
      <c r="AA272" s="43" t="str">
        <f>IF(CCUS_Projects_Database!$T272&lt;&gt;"",HYPERLINK(CCUS_Projects_Database!$T272,"Link 3"),"")</f>
        <v/>
      </c>
      <c r="AB272" s="43" t="str">
        <f>IF(CCUS_Projects_Database!$U272&lt;&gt;"",HYPERLINK(CCUS_Projects_Database!$U272,"Link 4"),"")</f>
        <v/>
      </c>
      <c r="AC272" s="43" t="str">
        <f>IF(CCUS_Projects_Database!$V272&lt;&gt;"",HYPERLINK(CCUS_Projects_Database!$V272,"Link 5"),"")</f>
        <v/>
      </c>
      <c r="AD272" s="43" t="str">
        <f>IF(CCUS_Projects_Database!$W272&lt;&gt;"",HYPERLINK(CCUS_Projects_Database!$W272,"Link 6"),"")</f>
        <v/>
      </c>
      <c r="AE272" s="43" t="str">
        <f>IF(CCUS_Projects_Database!$X272&lt;&gt;"",HYPERLINK(CCUS_Projects_Database!$X272,"Link 7"),"")</f>
        <v/>
      </c>
    </row>
    <row r="273" ht="15.75" customHeight="1">
      <c r="A273" s="44" t="s">
        <v>630</v>
      </c>
      <c r="B273" s="45">
        <v>133.0</v>
      </c>
      <c r="C273" s="45" t="s">
        <v>141</v>
      </c>
      <c r="D273" s="46" t="s">
        <v>1115</v>
      </c>
      <c r="E273" s="45" t="s">
        <v>12</v>
      </c>
      <c r="F273" s="45">
        <v>2022.0</v>
      </c>
      <c r="G273" s="45" t="s">
        <v>124</v>
      </c>
      <c r="H273" s="45">
        <v>2024.0</v>
      </c>
      <c r="I273" s="45" t="s">
        <v>124</v>
      </c>
      <c r="J273" s="45" t="s">
        <v>28</v>
      </c>
      <c r="K273" s="47" t="s">
        <v>124</v>
      </c>
      <c r="L273" s="52">
        <v>1.5</v>
      </c>
      <c r="M273" s="47">
        <v>1.5</v>
      </c>
      <c r="N273" s="45" t="s">
        <v>12</v>
      </c>
      <c r="O273" s="48" t="s">
        <v>71</v>
      </c>
      <c r="P273" s="49" t="s">
        <v>630</v>
      </c>
      <c r="Q273" s="45" t="s">
        <v>143</v>
      </c>
      <c r="R273" s="49" t="s">
        <v>625</v>
      </c>
      <c r="S273" s="49" t="s">
        <v>124</v>
      </c>
      <c r="T273" s="49" t="s">
        <v>124</v>
      </c>
      <c r="U273" s="49" t="s">
        <v>124</v>
      </c>
      <c r="V273" s="49" t="s">
        <v>124</v>
      </c>
      <c r="W273" s="49" t="s">
        <v>124</v>
      </c>
      <c r="X273" s="49" t="s">
        <v>124</v>
      </c>
      <c r="Y273" s="50" t="str">
        <f>IF(CCUS_Projects_Database!$R273&lt;&gt;"",HYPERLINK(CCUS_Projects_Database!$R273,"Link 1"),"")</f>
        <v>Link 1</v>
      </c>
      <c r="Z273" s="50" t="str">
        <f>IF(CCUS_Projects_Database!$S273&lt;&gt;"",HYPERLINK(CCUS_Projects_Database!$S273,"Link 2"),"")</f>
        <v/>
      </c>
      <c r="AA273" s="50" t="str">
        <f>IF(CCUS_Projects_Database!$T273&lt;&gt;"",HYPERLINK(CCUS_Projects_Database!$T273,"Link 3"),"")</f>
        <v/>
      </c>
      <c r="AB273" s="50" t="str">
        <f>IF(CCUS_Projects_Database!$U273&lt;&gt;"",HYPERLINK(CCUS_Projects_Database!$U273,"Link 4"),"")</f>
        <v/>
      </c>
      <c r="AC273" s="50" t="str">
        <f>IF(CCUS_Projects_Database!$V273&lt;&gt;"",HYPERLINK(CCUS_Projects_Database!$V273,"Link 5"),"")</f>
        <v/>
      </c>
      <c r="AD273" s="50" t="str">
        <f>IF(CCUS_Projects_Database!$W273&lt;&gt;"",HYPERLINK(CCUS_Projects_Database!$W273,"Link 6"),"")</f>
        <v/>
      </c>
      <c r="AE273" s="50" t="str">
        <f>IF(CCUS_Projects_Database!$X273&lt;&gt;"",HYPERLINK(CCUS_Projects_Database!$X273,"Link 7"),"")</f>
        <v/>
      </c>
    </row>
    <row r="274" ht="15.75" customHeight="1">
      <c r="A274" s="37" t="s">
        <v>1116</v>
      </c>
      <c r="B274" s="38">
        <v>319.0</v>
      </c>
      <c r="C274" s="38" t="s">
        <v>1117</v>
      </c>
      <c r="D274" s="39" t="s">
        <v>1118</v>
      </c>
      <c r="E274" s="38" t="s">
        <v>10</v>
      </c>
      <c r="F274" s="38">
        <v>2021.0</v>
      </c>
      <c r="G274" s="38" t="s">
        <v>124</v>
      </c>
      <c r="H274" s="38">
        <v>2027.0</v>
      </c>
      <c r="I274" s="38" t="s">
        <v>124</v>
      </c>
      <c r="J274" s="38" t="s">
        <v>28</v>
      </c>
      <c r="K274" s="40">
        <v>1.0</v>
      </c>
      <c r="L274" s="51">
        <v>2.75</v>
      </c>
      <c r="M274" s="40">
        <v>2.5</v>
      </c>
      <c r="N274" s="38" t="s">
        <v>10</v>
      </c>
      <c r="O274" s="41" t="s">
        <v>71</v>
      </c>
      <c r="P274" s="42" t="s">
        <v>1119</v>
      </c>
      <c r="Q274" s="38" t="s">
        <v>125</v>
      </c>
      <c r="R274" s="42" t="s">
        <v>1120</v>
      </c>
      <c r="S274" s="42" t="s">
        <v>1121</v>
      </c>
      <c r="T274" s="42" t="s">
        <v>1122</v>
      </c>
      <c r="U274" s="42" t="s">
        <v>331</v>
      </c>
      <c r="V274" s="42" t="s">
        <v>1123</v>
      </c>
      <c r="W274" s="42" t="s">
        <v>124</v>
      </c>
      <c r="X274" s="42" t="s">
        <v>124</v>
      </c>
      <c r="Y274" s="43" t="str">
        <f>IF(CCUS_Projects_Database!$R274&lt;&gt;"",HYPERLINK(CCUS_Projects_Database!$R274,"Link 1"),"")</f>
        <v>Link 1</v>
      </c>
      <c r="Z274" s="43" t="str">
        <f>IF(CCUS_Projects_Database!$S274&lt;&gt;"",HYPERLINK(CCUS_Projects_Database!$S274,"Link 2"),"")</f>
        <v>Link 2</v>
      </c>
      <c r="AA274" s="43" t="str">
        <f>IF(CCUS_Projects_Database!$T274&lt;&gt;"",HYPERLINK(CCUS_Projects_Database!$T274,"Link 3"),"")</f>
        <v>Link 3</v>
      </c>
      <c r="AB274" s="43" t="str">
        <f>IF(CCUS_Projects_Database!$U274&lt;&gt;"",HYPERLINK(CCUS_Projects_Database!$U274,"Link 4"),"")</f>
        <v>Link 4</v>
      </c>
      <c r="AC274" s="43" t="str">
        <f>IF(CCUS_Projects_Database!$V274&lt;&gt;"",HYPERLINK(CCUS_Projects_Database!$V274,"Link 5"),"")</f>
        <v>Link 5</v>
      </c>
      <c r="AD274" s="43" t="str">
        <f>IF(CCUS_Projects_Database!$W274&lt;&gt;"",HYPERLINK(CCUS_Projects_Database!$W274,"Link 6"),"")</f>
        <v/>
      </c>
      <c r="AE274" s="43" t="str">
        <f>IF(CCUS_Projects_Database!$X274&lt;&gt;"",HYPERLINK(CCUS_Projects_Database!$X274,"Link 7"),"")</f>
        <v/>
      </c>
    </row>
    <row r="275" ht="15.75" customHeight="1">
      <c r="A275" s="44" t="s">
        <v>1124</v>
      </c>
      <c r="B275" s="45">
        <v>320.0</v>
      </c>
      <c r="C275" s="45" t="s">
        <v>1117</v>
      </c>
      <c r="D275" s="46" t="s">
        <v>1118</v>
      </c>
      <c r="E275" s="45" t="s">
        <v>10</v>
      </c>
      <c r="F275" s="45">
        <v>2021.0</v>
      </c>
      <c r="G275" s="45" t="s">
        <v>124</v>
      </c>
      <c r="H275" s="45">
        <v>2031.0</v>
      </c>
      <c r="I275" s="45" t="s">
        <v>124</v>
      </c>
      <c r="J275" s="45" t="s">
        <v>28</v>
      </c>
      <c r="K275" s="47">
        <v>2.0</v>
      </c>
      <c r="L275" s="52">
        <v>6.5</v>
      </c>
      <c r="M275" s="47">
        <v>6.5</v>
      </c>
      <c r="N275" s="45" t="s">
        <v>10</v>
      </c>
      <c r="O275" s="48" t="s">
        <v>71</v>
      </c>
      <c r="P275" s="49" t="s">
        <v>1125</v>
      </c>
      <c r="Q275" s="45" t="s">
        <v>125</v>
      </c>
      <c r="R275" s="49" t="s">
        <v>1120</v>
      </c>
      <c r="S275" s="49" t="s">
        <v>1121</v>
      </c>
      <c r="T275" s="49" t="s">
        <v>1122</v>
      </c>
      <c r="U275" s="49" t="s">
        <v>331</v>
      </c>
      <c r="V275" s="49" t="s">
        <v>124</v>
      </c>
      <c r="W275" s="49" t="s">
        <v>124</v>
      </c>
      <c r="X275" s="49" t="s">
        <v>124</v>
      </c>
      <c r="Y275" s="50" t="str">
        <f>IF(CCUS_Projects_Database!$R275&lt;&gt;"",HYPERLINK(CCUS_Projects_Database!$R275,"Link 1"),"")</f>
        <v>Link 1</v>
      </c>
      <c r="Z275" s="50" t="str">
        <f>IF(CCUS_Projects_Database!$S275&lt;&gt;"",HYPERLINK(CCUS_Projects_Database!$S275,"Link 2"),"")</f>
        <v>Link 2</v>
      </c>
      <c r="AA275" s="50" t="str">
        <f>IF(CCUS_Projects_Database!$T275&lt;&gt;"",HYPERLINK(CCUS_Projects_Database!$T275,"Link 3"),"")</f>
        <v>Link 3</v>
      </c>
      <c r="AB275" s="50" t="str">
        <f>IF(CCUS_Projects_Database!$U275&lt;&gt;"",HYPERLINK(CCUS_Projects_Database!$U275,"Link 4"),"")</f>
        <v>Link 4</v>
      </c>
      <c r="AC275" s="50" t="str">
        <f>IF(CCUS_Projects_Database!$V275&lt;&gt;"",HYPERLINK(CCUS_Projects_Database!$V275,"Link 5"),"")</f>
        <v/>
      </c>
      <c r="AD275" s="50" t="str">
        <f>IF(CCUS_Projects_Database!$W275&lt;&gt;"",HYPERLINK(CCUS_Projects_Database!$W275,"Link 6"),"")</f>
        <v/>
      </c>
      <c r="AE275" s="50" t="str">
        <f>IF(CCUS_Projects_Database!$X275&lt;&gt;"",HYPERLINK(CCUS_Projects_Database!$X275,"Link 7"),"")</f>
        <v/>
      </c>
    </row>
    <row r="276" ht="15.75" customHeight="1">
      <c r="A276" s="37" t="s">
        <v>1126</v>
      </c>
      <c r="B276" s="38">
        <v>648.0</v>
      </c>
      <c r="C276" s="38" t="s">
        <v>1117</v>
      </c>
      <c r="D276" s="39" t="s">
        <v>1118</v>
      </c>
      <c r="E276" s="38" t="s">
        <v>10</v>
      </c>
      <c r="F276" s="38">
        <v>2021.0</v>
      </c>
      <c r="G276" s="38" t="s">
        <v>124</v>
      </c>
      <c r="H276" s="38">
        <v>2033.0</v>
      </c>
      <c r="I276" s="38" t="s">
        <v>124</v>
      </c>
      <c r="J276" s="38" t="s">
        <v>28</v>
      </c>
      <c r="K276" s="40">
        <v>3.0</v>
      </c>
      <c r="L276" s="51">
        <v>0.3</v>
      </c>
      <c r="M276" s="40">
        <v>0.3</v>
      </c>
      <c r="N276" s="38" t="s">
        <v>10</v>
      </c>
      <c r="O276" s="41" t="s">
        <v>71</v>
      </c>
      <c r="P276" s="42" t="s">
        <v>1125</v>
      </c>
      <c r="Q276" s="38" t="s">
        <v>125</v>
      </c>
      <c r="R276" s="42" t="s">
        <v>329</v>
      </c>
      <c r="S276" s="42" t="s">
        <v>124</v>
      </c>
      <c r="T276" s="42" t="s">
        <v>124</v>
      </c>
      <c r="U276" s="42" t="s">
        <v>124</v>
      </c>
      <c r="V276" s="42" t="s">
        <v>124</v>
      </c>
      <c r="W276" s="42" t="s">
        <v>124</v>
      </c>
      <c r="X276" s="42" t="s">
        <v>124</v>
      </c>
      <c r="Y276" s="43" t="str">
        <f>IF(CCUS_Projects_Database!$R276&lt;&gt;"",HYPERLINK(CCUS_Projects_Database!$R276,"Link 1"),"")</f>
        <v>Link 1</v>
      </c>
      <c r="Z276" s="43" t="str">
        <f>IF(CCUS_Projects_Database!$S276&lt;&gt;"",HYPERLINK(CCUS_Projects_Database!$S276,"Link 2"),"")</f>
        <v/>
      </c>
      <c r="AA276" s="43" t="str">
        <f>IF(CCUS_Projects_Database!$T276&lt;&gt;"",HYPERLINK(CCUS_Projects_Database!$T276,"Link 3"),"")</f>
        <v/>
      </c>
      <c r="AB276" s="43" t="str">
        <f>IF(CCUS_Projects_Database!$U276&lt;&gt;"",HYPERLINK(CCUS_Projects_Database!$U276,"Link 4"),"")</f>
        <v/>
      </c>
      <c r="AC276" s="43" t="str">
        <f>IF(CCUS_Projects_Database!$V276&lt;&gt;"",HYPERLINK(CCUS_Projects_Database!$V276,"Link 5"),"")</f>
        <v/>
      </c>
      <c r="AD276" s="43" t="str">
        <f>IF(CCUS_Projects_Database!$W276&lt;&gt;"",HYPERLINK(CCUS_Projects_Database!$W276,"Link 6"),"")</f>
        <v/>
      </c>
      <c r="AE276" s="43" t="str">
        <f>IF(CCUS_Projects_Database!$X276&lt;&gt;"",HYPERLINK(CCUS_Projects_Database!$X276,"Link 7"),"")</f>
        <v/>
      </c>
    </row>
    <row r="277" ht="15.75" customHeight="1">
      <c r="A277" s="44" t="s">
        <v>1127</v>
      </c>
      <c r="B277" s="45">
        <v>649.0</v>
      </c>
      <c r="C277" s="45" t="s">
        <v>122</v>
      </c>
      <c r="D277" s="46" t="s">
        <v>1128</v>
      </c>
      <c r="E277" s="45" t="s">
        <v>10</v>
      </c>
      <c r="F277" s="45">
        <v>2023.0</v>
      </c>
      <c r="G277" s="45" t="s">
        <v>124</v>
      </c>
      <c r="H277" s="45">
        <v>2028.0</v>
      </c>
      <c r="I277" s="45" t="s">
        <v>124</v>
      </c>
      <c r="J277" s="45" t="s">
        <v>28</v>
      </c>
      <c r="K277" s="47">
        <v>1.0</v>
      </c>
      <c r="L277" s="52">
        <v>1.2</v>
      </c>
      <c r="M277" s="47">
        <v>1.2</v>
      </c>
      <c r="N277" s="45" t="s">
        <v>10</v>
      </c>
      <c r="O277" s="48" t="s">
        <v>71</v>
      </c>
      <c r="P277" s="49" t="s">
        <v>1129</v>
      </c>
      <c r="Q277" s="45" t="s">
        <v>125</v>
      </c>
      <c r="R277" s="49" t="s">
        <v>1130</v>
      </c>
      <c r="S277" s="49" t="s">
        <v>124</v>
      </c>
      <c r="T277" s="49" t="s">
        <v>124</v>
      </c>
      <c r="U277" s="49" t="s">
        <v>124</v>
      </c>
      <c r="V277" s="49" t="s">
        <v>124</v>
      </c>
      <c r="W277" s="49" t="s">
        <v>124</v>
      </c>
      <c r="X277" s="49" t="s">
        <v>124</v>
      </c>
      <c r="Y277" s="50" t="str">
        <f>IF(CCUS_Projects_Database!$R277&lt;&gt;"",HYPERLINK(CCUS_Projects_Database!$R277,"Link 1"),"")</f>
        <v>Link 1</v>
      </c>
      <c r="Z277" s="50" t="str">
        <f>IF(CCUS_Projects_Database!$S277&lt;&gt;"",HYPERLINK(CCUS_Projects_Database!$S277,"Link 2"),"")</f>
        <v/>
      </c>
      <c r="AA277" s="50" t="str">
        <f>IF(CCUS_Projects_Database!$T277&lt;&gt;"",HYPERLINK(CCUS_Projects_Database!$T277,"Link 3"),"")</f>
        <v/>
      </c>
      <c r="AB277" s="50" t="str">
        <f>IF(CCUS_Projects_Database!$U277&lt;&gt;"",HYPERLINK(CCUS_Projects_Database!$U277,"Link 4"),"")</f>
        <v/>
      </c>
      <c r="AC277" s="50" t="str">
        <f>IF(CCUS_Projects_Database!$V277&lt;&gt;"",HYPERLINK(CCUS_Projects_Database!$V277,"Link 5"),"")</f>
        <v/>
      </c>
      <c r="AD277" s="50" t="str">
        <f>IF(CCUS_Projects_Database!$W277&lt;&gt;"",HYPERLINK(CCUS_Projects_Database!$W277,"Link 6"),"")</f>
        <v/>
      </c>
      <c r="AE277" s="50" t="str">
        <f>IF(CCUS_Projects_Database!$X277&lt;&gt;"",HYPERLINK(CCUS_Projects_Database!$X277,"Link 7"),"")</f>
        <v/>
      </c>
    </row>
    <row r="278" ht="15.75" customHeight="1">
      <c r="A278" s="37" t="s">
        <v>1131</v>
      </c>
      <c r="B278" s="38">
        <v>650.0</v>
      </c>
      <c r="C278" s="38" t="s">
        <v>122</v>
      </c>
      <c r="D278" s="39" t="s">
        <v>1128</v>
      </c>
      <c r="E278" s="38" t="s">
        <v>10</v>
      </c>
      <c r="F278" s="38">
        <v>2023.0</v>
      </c>
      <c r="G278" s="38" t="s">
        <v>124</v>
      </c>
      <c r="H278" s="38">
        <v>2031.0</v>
      </c>
      <c r="I278" s="38" t="s">
        <v>124</v>
      </c>
      <c r="J278" s="38" t="s">
        <v>28</v>
      </c>
      <c r="K278" s="40">
        <v>2.0</v>
      </c>
      <c r="L278" s="51">
        <v>1.2</v>
      </c>
      <c r="M278" s="40">
        <v>1.2</v>
      </c>
      <c r="N278" s="38" t="s">
        <v>10</v>
      </c>
      <c r="O278" s="41" t="s">
        <v>71</v>
      </c>
      <c r="P278" s="42" t="s">
        <v>1129</v>
      </c>
      <c r="Q278" s="38" t="s">
        <v>125</v>
      </c>
      <c r="R278" s="42" t="s">
        <v>1130</v>
      </c>
      <c r="S278" s="42" t="s">
        <v>124</v>
      </c>
      <c r="T278" s="42" t="s">
        <v>124</v>
      </c>
      <c r="U278" s="42" t="s">
        <v>124</v>
      </c>
      <c r="V278" s="42" t="s">
        <v>124</v>
      </c>
      <c r="W278" s="42" t="s">
        <v>124</v>
      </c>
      <c r="X278" s="42" t="s">
        <v>124</v>
      </c>
      <c r="Y278" s="43" t="str">
        <f>IF(CCUS_Projects_Database!$R278&lt;&gt;"",HYPERLINK(CCUS_Projects_Database!$R278,"Link 1"),"")</f>
        <v>Link 1</v>
      </c>
      <c r="Z278" s="43" t="str">
        <f>IF(CCUS_Projects_Database!$S278&lt;&gt;"",HYPERLINK(CCUS_Projects_Database!$S278,"Link 2"),"")</f>
        <v/>
      </c>
      <c r="AA278" s="43" t="str">
        <f>IF(CCUS_Projects_Database!$T278&lt;&gt;"",HYPERLINK(CCUS_Projects_Database!$T278,"Link 3"),"")</f>
        <v/>
      </c>
      <c r="AB278" s="43" t="str">
        <f>IF(CCUS_Projects_Database!$U278&lt;&gt;"",HYPERLINK(CCUS_Projects_Database!$U278,"Link 4"),"")</f>
        <v/>
      </c>
      <c r="AC278" s="43" t="str">
        <f>IF(CCUS_Projects_Database!$V278&lt;&gt;"",HYPERLINK(CCUS_Projects_Database!$V278,"Link 5"),"")</f>
        <v/>
      </c>
      <c r="AD278" s="43" t="str">
        <f>IF(CCUS_Projects_Database!$W278&lt;&gt;"",HYPERLINK(CCUS_Projects_Database!$W278,"Link 6"),"")</f>
        <v/>
      </c>
      <c r="AE278" s="43" t="str">
        <f>IF(CCUS_Projects_Database!$X278&lt;&gt;"",HYPERLINK(CCUS_Projects_Database!$X278,"Link 7"),"")</f>
        <v/>
      </c>
    </row>
    <row r="279" ht="15.75" customHeight="1">
      <c r="A279" s="44" t="s">
        <v>1132</v>
      </c>
      <c r="B279" s="45">
        <v>651.0</v>
      </c>
      <c r="C279" s="45" t="s">
        <v>122</v>
      </c>
      <c r="D279" s="46" t="s">
        <v>1128</v>
      </c>
      <c r="E279" s="45" t="s">
        <v>10</v>
      </c>
      <c r="F279" s="45">
        <v>2023.0</v>
      </c>
      <c r="G279" s="45" t="s">
        <v>124</v>
      </c>
      <c r="H279" s="45">
        <v>2036.0</v>
      </c>
      <c r="I279" s="45" t="s">
        <v>124</v>
      </c>
      <c r="J279" s="45" t="s">
        <v>28</v>
      </c>
      <c r="K279" s="47">
        <v>3.0</v>
      </c>
      <c r="L279" s="52">
        <v>1.2</v>
      </c>
      <c r="M279" s="47">
        <v>1.2</v>
      </c>
      <c r="N279" s="45" t="s">
        <v>10</v>
      </c>
      <c r="O279" s="48" t="s">
        <v>71</v>
      </c>
      <c r="P279" s="49" t="s">
        <v>1129</v>
      </c>
      <c r="Q279" s="45" t="s">
        <v>125</v>
      </c>
      <c r="R279" s="49" t="s">
        <v>1130</v>
      </c>
      <c r="S279" s="49" t="s">
        <v>124</v>
      </c>
      <c r="T279" s="49" t="s">
        <v>124</v>
      </c>
      <c r="U279" s="49" t="s">
        <v>124</v>
      </c>
      <c r="V279" s="49" t="s">
        <v>124</v>
      </c>
      <c r="W279" s="49" t="s">
        <v>124</v>
      </c>
      <c r="X279" s="49" t="s">
        <v>124</v>
      </c>
      <c r="Y279" s="50" t="str">
        <f>IF(CCUS_Projects_Database!$R279&lt;&gt;"",HYPERLINK(CCUS_Projects_Database!$R279,"Link 1"),"")</f>
        <v>Link 1</v>
      </c>
      <c r="Z279" s="50" t="str">
        <f>IF(CCUS_Projects_Database!$S279&lt;&gt;"",HYPERLINK(CCUS_Projects_Database!$S279,"Link 2"),"")</f>
        <v/>
      </c>
      <c r="AA279" s="50" t="str">
        <f>IF(CCUS_Projects_Database!$T279&lt;&gt;"",HYPERLINK(CCUS_Projects_Database!$T279,"Link 3"),"")</f>
        <v/>
      </c>
      <c r="AB279" s="50" t="str">
        <f>IF(CCUS_Projects_Database!$U279&lt;&gt;"",HYPERLINK(CCUS_Projects_Database!$U279,"Link 4"),"")</f>
        <v/>
      </c>
      <c r="AC279" s="50" t="str">
        <f>IF(CCUS_Projects_Database!$V279&lt;&gt;"",HYPERLINK(CCUS_Projects_Database!$V279,"Link 5"),"")</f>
        <v/>
      </c>
      <c r="AD279" s="50" t="str">
        <f>IF(CCUS_Projects_Database!$W279&lt;&gt;"",HYPERLINK(CCUS_Projects_Database!$W279,"Link 6"),"")</f>
        <v/>
      </c>
      <c r="AE279" s="50" t="str">
        <f>IF(CCUS_Projects_Database!$X279&lt;&gt;"",HYPERLINK(CCUS_Projects_Database!$X279,"Link 7"),"")</f>
        <v/>
      </c>
    </row>
    <row r="280" ht="15.75" customHeight="1">
      <c r="A280" s="37" t="s">
        <v>1133</v>
      </c>
      <c r="B280" s="38">
        <v>334.0</v>
      </c>
      <c r="C280" s="38" t="s">
        <v>141</v>
      </c>
      <c r="D280" s="39" t="s">
        <v>1134</v>
      </c>
      <c r="E280" s="38" t="s">
        <v>14</v>
      </c>
      <c r="F280" s="38">
        <v>2017.0</v>
      </c>
      <c r="G280" s="38" t="s">
        <v>124</v>
      </c>
      <c r="H280" s="38" t="s">
        <v>124</v>
      </c>
      <c r="I280" s="38" t="s">
        <v>124</v>
      </c>
      <c r="J280" s="38" t="s">
        <v>28</v>
      </c>
      <c r="K280" s="40" t="s">
        <v>124</v>
      </c>
      <c r="L280" s="51">
        <v>3.0</v>
      </c>
      <c r="M280" s="40">
        <v>3.0</v>
      </c>
      <c r="N280" s="38" t="s">
        <v>14</v>
      </c>
      <c r="O280" s="41" t="s">
        <v>71</v>
      </c>
      <c r="P280" s="42" t="s">
        <v>1135</v>
      </c>
      <c r="Q280" s="38" t="s">
        <v>143</v>
      </c>
      <c r="R280" s="42" t="s">
        <v>1083</v>
      </c>
      <c r="S280" s="42" t="s">
        <v>124</v>
      </c>
      <c r="T280" s="42" t="s">
        <v>124</v>
      </c>
      <c r="U280" s="42" t="s">
        <v>124</v>
      </c>
      <c r="V280" s="42" t="s">
        <v>124</v>
      </c>
      <c r="W280" s="42" t="s">
        <v>124</v>
      </c>
      <c r="X280" s="42" t="s">
        <v>124</v>
      </c>
      <c r="Y280" s="43" t="str">
        <f>IF(CCUS_Projects_Database!$R280&lt;&gt;"",HYPERLINK(CCUS_Projects_Database!$R280,"Link 1"),"")</f>
        <v>Link 1</v>
      </c>
      <c r="Z280" s="43" t="str">
        <f>IF(CCUS_Projects_Database!$S280&lt;&gt;"",HYPERLINK(CCUS_Projects_Database!$S280,"Link 2"),"")</f>
        <v/>
      </c>
      <c r="AA280" s="43" t="str">
        <f>IF(CCUS_Projects_Database!$T280&lt;&gt;"",HYPERLINK(CCUS_Projects_Database!$T280,"Link 3"),"")</f>
        <v/>
      </c>
      <c r="AB280" s="43" t="str">
        <f>IF(CCUS_Projects_Database!$U280&lt;&gt;"",HYPERLINK(CCUS_Projects_Database!$U280,"Link 4"),"")</f>
        <v/>
      </c>
      <c r="AC280" s="43" t="str">
        <f>IF(CCUS_Projects_Database!$V280&lt;&gt;"",HYPERLINK(CCUS_Projects_Database!$V280,"Link 5"),"")</f>
        <v/>
      </c>
      <c r="AD280" s="43" t="str">
        <f>IF(CCUS_Projects_Database!$W280&lt;&gt;"",HYPERLINK(CCUS_Projects_Database!$W280,"Link 6"),"")</f>
        <v/>
      </c>
      <c r="AE280" s="43" t="str">
        <f>IF(CCUS_Projects_Database!$X280&lt;&gt;"",HYPERLINK(CCUS_Projects_Database!$X280,"Link 7"),"")</f>
        <v/>
      </c>
    </row>
    <row r="281" ht="15.75" customHeight="1">
      <c r="A281" s="44" t="s">
        <v>1136</v>
      </c>
      <c r="B281" s="45">
        <v>1146.0</v>
      </c>
      <c r="C281" s="45" t="s">
        <v>1137</v>
      </c>
      <c r="D281" s="46" t="s">
        <v>1138</v>
      </c>
      <c r="E281" s="45" t="s">
        <v>16</v>
      </c>
      <c r="F281" s="45">
        <v>2021.0</v>
      </c>
      <c r="G281" s="45" t="s">
        <v>124</v>
      </c>
      <c r="H281" s="45">
        <v>2027.0</v>
      </c>
      <c r="I281" s="45" t="s">
        <v>124</v>
      </c>
      <c r="J281" s="45" t="s">
        <v>28</v>
      </c>
      <c r="K281" s="47" t="s">
        <v>124</v>
      </c>
      <c r="L281" s="52">
        <v>0.34</v>
      </c>
      <c r="M281" s="47">
        <v>0.34</v>
      </c>
      <c r="N281" s="45" t="s">
        <v>46</v>
      </c>
      <c r="O281" s="48" t="s">
        <v>75</v>
      </c>
      <c r="P281" s="45" t="s">
        <v>124</v>
      </c>
      <c r="Q281" s="45" t="s">
        <v>125</v>
      </c>
      <c r="R281" s="53" t="s">
        <v>1139</v>
      </c>
      <c r="S281" s="53" t="s">
        <v>124</v>
      </c>
      <c r="T281" s="53" t="s">
        <v>124</v>
      </c>
      <c r="U281" s="53" t="s">
        <v>124</v>
      </c>
      <c r="V281" s="53" t="s">
        <v>124</v>
      </c>
      <c r="W281" s="53" t="s">
        <v>124</v>
      </c>
      <c r="X281" s="53" t="s">
        <v>124</v>
      </c>
      <c r="Y281" s="54" t="str">
        <f>IF(CCUS_Projects_Database!$R281&lt;&gt;"",HYPERLINK(CCUS_Projects_Database!$R281,"Link 1"),"")</f>
        <v>Link 1</v>
      </c>
      <c r="Z281" s="49" t="str">
        <f>IF(CCUS_Projects_Database!$S281&lt;&gt;"",HYPERLINK(CCUS_Projects_Database!$S281,"Link 2"),"")</f>
        <v/>
      </c>
      <c r="AA281" s="49" t="str">
        <f>IF(CCUS_Projects_Database!$T281&lt;&gt;"",HYPERLINK(CCUS_Projects_Database!$T281,"Link 3"),"")</f>
        <v/>
      </c>
      <c r="AB281" s="49" t="str">
        <f>IF(CCUS_Projects_Database!$U281&lt;&gt;"",HYPERLINK(CCUS_Projects_Database!$U281,"Link 4"),"")</f>
        <v/>
      </c>
      <c r="AC281" s="49" t="str">
        <f>IF(CCUS_Projects_Database!$V281&lt;&gt;"",HYPERLINK(CCUS_Projects_Database!$V281,"Link 5"),"")</f>
        <v/>
      </c>
      <c r="AD281" s="49" t="str">
        <f>IF(CCUS_Projects_Database!$W281&lt;&gt;"",HYPERLINK(CCUS_Projects_Database!$W281,"Link 6"),"")</f>
        <v/>
      </c>
      <c r="AE281" s="50" t="str">
        <f>IF(CCUS_Projects_Database!$X281&lt;&gt;"",HYPERLINK(CCUS_Projects_Database!$X281,"Link 7"),"")</f>
        <v/>
      </c>
    </row>
    <row r="282" ht="15.75" customHeight="1">
      <c r="A282" s="37" t="s">
        <v>1140</v>
      </c>
      <c r="B282" s="38">
        <v>135.0</v>
      </c>
      <c r="C282" s="38" t="s">
        <v>239</v>
      </c>
      <c r="D282" s="39" t="s">
        <v>1141</v>
      </c>
      <c r="E282" s="38" t="s">
        <v>8</v>
      </c>
      <c r="F282" s="38">
        <v>2021.0</v>
      </c>
      <c r="G282" s="38" t="s">
        <v>124</v>
      </c>
      <c r="H282" s="38" t="s">
        <v>124</v>
      </c>
      <c r="I282" s="38" t="s">
        <v>124</v>
      </c>
      <c r="J282" s="38" t="s">
        <v>28</v>
      </c>
      <c r="K282" s="40" t="s">
        <v>124</v>
      </c>
      <c r="L282" s="40"/>
      <c r="M282" s="40" t="s">
        <v>124</v>
      </c>
      <c r="N282" s="38" t="s">
        <v>136</v>
      </c>
      <c r="O282" s="41" t="s">
        <v>71</v>
      </c>
      <c r="P282" s="42" t="s">
        <v>392</v>
      </c>
      <c r="Q282" s="38" t="s">
        <v>143</v>
      </c>
      <c r="R282" s="42" t="s">
        <v>1142</v>
      </c>
      <c r="S282" s="42" t="s">
        <v>124</v>
      </c>
      <c r="T282" s="42" t="s">
        <v>124</v>
      </c>
      <c r="U282" s="42" t="s">
        <v>124</v>
      </c>
      <c r="V282" s="42" t="s">
        <v>124</v>
      </c>
      <c r="W282" s="42" t="s">
        <v>124</v>
      </c>
      <c r="X282" s="42" t="s">
        <v>124</v>
      </c>
      <c r="Y282" s="43" t="str">
        <f>IF(CCUS_Projects_Database!$R282&lt;&gt;"",HYPERLINK(CCUS_Projects_Database!$R282,"Link 1"),"")</f>
        <v>Link 1</v>
      </c>
      <c r="Z282" s="43" t="str">
        <f>IF(CCUS_Projects_Database!$S282&lt;&gt;"",HYPERLINK(CCUS_Projects_Database!$S282,"Link 2"),"")</f>
        <v/>
      </c>
      <c r="AA282" s="43" t="str">
        <f>IF(CCUS_Projects_Database!$T282&lt;&gt;"",HYPERLINK(CCUS_Projects_Database!$T282,"Link 3"),"")</f>
        <v/>
      </c>
      <c r="AB282" s="43" t="str">
        <f>IF(CCUS_Projects_Database!$U282&lt;&gt;"",HYPERLINK(CCUS_Projects_Database!$U282,"Link 4"),"")</f>
        <v/>
      </c>
      <c r="AC282" s="43" t="str">
        <f>IF(CCUS_Projects_Database!$V282&lt;&gt;"",HYPERLINK(CCUS_Projects_Database!$V282,"Link 5"),"")</f>
        <v/>
      </c>
      <c r="AD282" s="43" t="str">
        <f>IF(CCUS_Projects_Database!$W282&lt;&gt;"",HYPERLINK(CCUS_Projects_Database!$W282,"Link 6"),"")</f>
        <v/>
      </c>
      <c r="AE282" s="43" t="str">
        <f>IF(CCUS_Projects_Database!$X282&lt;&gt;"",HYPERLINK(CCUS_Projects_Database!$X282,"Link 7"),"")</f>
        <v/>
      </c>
    </row>
    <row r="283" ht="15.75" customHeight="1">
      <c r="A283" s="44" t="s">
        <v>1143</v>
      </c>
      <c r="B283" s="45">
        <v>1075.0</v>
      </c>
      <c r="C283" s="45" t="s">
        <v>239</v>
      </c>
      <c r="D283" s="46" t="s">
        <v>1144</v>
      </c>
      <c r="E283" s="45" t="s">
        <v>8</v>
      </c>
      <c r="F283" s="45">
        <v>2024.0</v>
      </c>
      <c r="G283" s="45" t="s">
        <v>124</v>
      </c>
      <c r="H283" s="45">
        <v>2027.0</v>
      </c>
      <c r="I283" s="45" t="s">
        <v>124</v>
      </c>
      <c r="J283" s="45" t="s">
        <v>28</v>
      </c>
      <c r="K283" s="47" t="s">
        <v>124</v>
      </c>
      <c r="L283" s="47"/>
      <c r="M283" s="47" t="s">
        <v>124</v>
      </c>
      <c r="N283" s="45" t="s">
        <v>46</v>
      </c>
      <c r="O283" s="48" t="s">
        <v>77</v>
      </c>
      <c r="P283" s="49" t="s">
        <v>124</v>
      </c>
      <c r="Q283" s="45" t="s">
        <v>143</v>
      </c>
      <c r="R283" s="49" t="s">
        <v>1145</v>
      </c>
      <c r="S283" s="49" t="s">
        <v>124</v>
      </c>
      <c r="T283" s="49" t="s">
        <v>124</v>
      </c>
      <c r="U283" s="49" t="s">
        <v>124</v>
      </c>
      <c r="V283" s="49" t="s">
        <v>124</v>
      </c>
      <c r="W283" s="49" t="s">
        <v>124</v>
      </c>
      <c r="X283" s="49" t="s">
        <v>124</v>
      </c>
      <c r="Y283" s="50" t="str">
        <f>IF(CCUS_Projects_Database!$R283&lt;&gt;"",HYPERLINK(CCUS_Projects_Database!$R283,"Link 1"),"")</f>
        <v>Link 1</v>
      </c>
      <c r="Z283" s="50" t="str">
        <f>IF(CCUS_Projects_Database!$S283&lt;&gt;"",HYPERLINK(CCUS_Projects_Database!$S283,"Link 2"),"")</f>
        <v/>
      </c>
      <c r="AA283" s="50" t="str">
        <f>IF(CCUS_Projects_Database!$T283&lt;&gt;"",HYPERLINK(CCUS_Projects_Database!$T283,"Link 3"),"")</f>
        <v/>
      </c>
      <c r="AB283" s="50" t="str">
        <f>IF(CCUS_Projects_Database!$U283&lt;&gt;"",HYPERLINK(CCUS_Projects_Database!$U283,"Link 4"),"")</f>
        <v/>
      </c>
      <c r="AC283" s="50" t="str">
        <f>IF(CCUS_Projects_Database!$V283&lt;&gt;"",HYPERLINK(CCUS_Projects_Database!$V283,"Link 5"),"")</f>
        <v/>
      </c>
      <c r="AD283" s="50" t="str">
        <f>IF(CCUS_Projects_Database!$W283&lt;&gt;"",HYPERLINK(CCUS_Projects_Database!$W283,"Link 6"),"")</f>
        <v/>
      </c>
      <c r="AE283" s="50" t="str">
        <f>IF(CCUS_Projects_Database!$X283&lt;&gt;"",HYPERLINK(CCUS_Projects_Database!$X283,"Link 7"),"")</f>
        <v/>
      </c>
    </row>
    <row r="284" ht="15.75" customHeight="1">
      <c r="A284" s="37" t="s">
        <v>1146</v>
      </c>
      <c r="B284" s="38">
        <v>876.0</v>
      </c>
      <c r="C284" s="38" t="s">
        <v>141</v>
      </c>
      <c r="D284" s="39" t="s">
        <v>1147</v>
      </c>
      <c r="E284" s="38" t="s">
        <v>12</v>
      </c>
      <c r="F284" s="38">
        <v>2022.0</v>
      </c>
      <c r="G284" s="38" t="s">
        <v>124</v>
      </c>
      <c r="H284" s="38" t="s">
        <v>124</v>
      </c>
      <c r="I284" s="38" t="s">
        <v>124</v>
      </c>
      <c r="J284" s="38" t="s">
        <v>28</v>
      </c>
      <c r="K284" s="40" t="s">
        <v>124</v>
      </c>
      <c r="L284" s="51">
        <v>1.5</v>
      </c>
      <c r="M284" s="40">
        <v>1.5</v>
      </c>
      <c r="N284" s="38" t="s">
        <v>12</v>
      </c>
      <c r="O284" s="41" t="s">
        <v>77</v>
      </c>
      <c r="P284" s="42" t="s">
        <v>124</v>
      </c>
      <c r="Q284" s="38" t="s">
        <v>143</v>
      </c>
      <c r="R284" s="42" t="s">
        <v>1148</v>
      </c>
      <c r="S284" s="42" t="s">
        <v>124</v>
      </c>
      <c r="T284" s="42" t="s">
        <v>124</v>
      </c>
      <c r="U284" s="42" t="s">
        <v>124</v>
      </c>
      <c r="V284" s="42" t="s">
        <v>124</v>
      </c>
      <c r="W284" s="42" t="s">
        <v>124</v>
      </c>
      <c r="X284" s="42" t="s">
        <v>124</v>
      </c>
      <c r="Y284" s="43" t="str">
        <f>IF(CCUS_Projects_Database!$R284&lt;&gt;"",HYPERLINK(CCUS_Projects_Database!$R284,"Link 1"),"")</f>
        <v>Link 1</v>
      </c>
      <c r="Z284" s="43" t="str">
        <f>IF(CCUS_Projects_Database!$S284&lt;&gt;"",HYPERLINK(CCUS_Projects_Database!$S284,"Link 2"),"")</f>
        <v/>
      </c>
      <c r="AA284" s="43" t="str">
        <f>IF(CCUS_Projects_Database!$T284&lt;&gt;"",HYPERLINK(CCUS_Projects_Database!$T284,"Link 3"),"")</f>
        <v/>
      </c>
      <c r="AB284" s="43" t="str">
        <f>IF(CCUS_Projects_Database!$U284&lt;&gt;"",HYPERLINK(CCUS_Projects_Database!$U284,"Link 4"),"")</f>
        <v/>
      </c>
      <c r="AC284" s="43" t="str">
        <f>IF(CCUS_Projects_Database!$V284&lt;&gt;"",HYPERLINK(CCUS_Projects_Database!$V284,"Link 5"),"")</f>
        <v/>
      </c>
      <c r="AD284" s="43" t="str">
        <f>IF(CCUS_Projects_Database!$W284&lt;&gt;"",HYPERLINK(CCUS_Projects_Database!$W284,"Link 6"),"")</f>
        <v/>
      </c>
      <c r="AE284" s="43" t="str">
        <f>IF(CCUS_Projects_Database!$X284&lt;&gt;"",HYPERLINK(CCUS_Projects_Database!$X284,"Link 7"),"")</f>
        <v/>
      </c>
    </row>
    <row r="285" ht="15.75" customHeight="1">
      <c r="A285" s="44" t="s">
        <v>1149</v>
      </c>
      <c r="B285" s="45">
        <v>1120.0</v>
      </c>
      <c r="C285" s="45" t="s">
        <v>239</v>
      </c>
      <c r="D285" s="46" t="s">
        <v>1150</v>
      </c>
      <c r="E285" s="45" t="s">
        <v>8</v>
      </c>
      <c r="F285" s="45">
        <v>2023.0</v>
      </c>
      <c r="G285" s="45" t="s">
        <v>124</v>
      </c>
      <c r="H285" s="45" t="s">
        <v>124</v>
      </c>
      <c r="I285" s="45" t="s">
        <v>124</v>
      </c>
      <c r="J285" s="45" t="s">
        <v>28</v>
      </c>
      <c r="K285" s="47" t="s">
        <v>124</v>
      </c>
      <c r="L285" s="47"/>
      <c r="M285" s="47" t="s">
        <v>124</v>
      </c>
      <c r="N285" s="45" t="s">
        <v>54</v>
      </c>
      <c r="O285" s="48" t="s">
        <v>77</v>
      </c>
      <c r="P285" s="49" t="s">
        <v>124</v>
      </c>
      <c r="Q285" s="45" t="s">
        <v>143</v>
      </c>
      <c r="R285" s="49" t="s">
        <v>1151</v>
      </c>
      <c r="S285" s="49" t="s">
        <v>1152</v>
      </c>
      <c r="T285" s="49" t="s">
        <v>124</v>
      </c>
      <c r="U285" s="49" t="s">
        <v>124</v>
      </c>
      <c r="V285" s="49" t="s">
        <v>124</v>
      </c>
      <c r="W285" s="49" t="s">
        <v>124</v>
      </c>
      <c r="X285" s="49" t="s">
        <v>124</v>
      </c>
      <c r="Y285" s="50" t="str">
        <f>IF(CCUS_Projects_Database!$R285&lt;&gt;"",HYPERLINK(CCUS_Projects_Database!$R285,"Link 1"),"")</f>
        <v>Link 1</v>
      </c>
      <c r="Z285" s="50" t="str">
        <f>IF(CCUS_Projects_Database!$S285&lt;&gt;"",HYPERLINK(CCUS_Projects_Database!$S285,"Link 2"),"")</f>
        <v>Link 2</v>
      </c>
      <c r="AA285" s="50" t="str">
        <f>IF(CCUS_Projects_Database!$T285&lt;&gt;"",HYPERLINK(CCUS_Projects_Database!$T285,"Link 3"),"")</f>
        <v/>
      </c>
      <c r="AB285" s="50" t="str">
        <f>IF(CCUS_Projects_Database!$U285&lt;&gt;"",HYPERLINK(CCUS_Projects_Database!$U285,"Link 4"),"")</f>
        <v/>
      </c>
      <c r="AC285" s="50" t="str">
        <f>IF(CCUS_Projects_Database!$V285&lt;&gt;"",HYPERLINK(CCUS_Projects_Database!$V285,"Link 5"),"")</f>
        <v/>
      </c>
      <c r="AD285" s="50" t="str">
        <f>IF(CCUS_Projects_Database!$W285&lt;&gt;"",HYPERLINK(CCUS_Projects_Database!$W285,"Link 6"),"")</f>
        <v/>
      </c>
      <c r="AE285" s="50" t="str">
        <f>IF(CCUS_Projects_Database!$X285&lt;&gt;"",HYPERLINK(CCUS_Projects_Database!$X285,"Link 7"),"")</f>
        <v/>
      </c>
    </row>
    <row r="286" ht="15.75" customHeight="1">
      <c r="A286" s="37" t="s">
        <v>1153</v>
      </c>
      <c r="B286" s="38">
        <v>1094.0</v>
      </c>
      <c r="C286" s="38" t="s">
        <v>122</v>
      </c>
      <c r="D286" s="39" t="s">
        <v>1154</v>
      </c>
      <c r="E286" s="38" t="s">
        <v>16</v>
      </c>
      <c r="F286" s="38">
        <v>2023.0</v>
      </c>
      <c r="G286" s="38">
        <v>2025.0</v>
      </c>
      <c r="H286" s="38">
        <v>2028.0</v>
      </c>
      <c r="I286" s="38" t="s">
        <v>124</v>
      </c>
      <c r="J286" s="38" t="s">
        <v>28</v>
      </c>
      <c r="K286" s="40" t="s">
        <v>124</v>
      </c>
      <c r="L286" s="40"/>
      <c r="M286" s="40">
        <v>0.195</v>
      </c>
      <c r="N286" s="38" t="s">
        <v>56</v>
      </c>
      <c r="O286" s="41" t="s">
        <v>75</v>
      </c>
      <c r="P286" s="42" t="s">
        <v>124</v>
      </c>
      <c r="Q286" s="38" t="s">
        <v>125</v>
      </c>
      <c r="R286" s="42" t="s">
        <v>1155</v>
      </c>
      <c r="S286" s="42" t="s">
        <v>124</v>
      </c>
      <c r="T286" s="42" t="s">
        <v>124</v>
      </c>
      <c r="U286" s="42" t="s">
        <v>124</v>
      </c>
      <c r="V286" s="42" t="s">
        <v>124</v>
      </c>
      <c r="W286" s="42" t="s">
        <v>124</v>
      </c>
      <c r="X286" s="42" t="s">
        <v>124</v>
      </c>
      <c r="Y286" s="43" t="str">
        <f>IF(CCUS_Projects_Database!$R288&lt;&gt;"",HYPERLINK(CCUS_Projects_Database!$R288,"Link 1"),"")</f>
        <v>Link 1</v>
      </c>
      <c r="Z286" s="43" t="str">
        <f>IF(CCUS_Projects_Database!$S288&lt;&gt;"",HYPERLINK(CCUS_Projects_Database!$S288,"Link 2"),"")</f>
        <v>Link 2</v>
      </c>
      <c r="AA286" s="43" t="str">
        <f>IF(CCUS_Projects_Database!$T288&lt;&gt;"",HYPERLINK(CCUS_Projects_Database!$T288,"Link 3"),"")</f>
        <v/>
      </c>
      <c r="AB286" s="43" t="str">
        <f>IF(CCUS_Projects_Database!$U288&lt;&gt;"",HYPERLINK(CCUS_Projects_Database!$U288,"Link 4"),"")</f>
        <v/>
      </c>
      <c r="AC286" s="43" t="str">
        <f>IF(CCUS_Projects_Database!$V288&lt;&gt;"",HYPERLINK(CCUS_Projects_Database!$V288,"Link 5"),"")</f>
        <v/>
      </c>
      <c r="AD286" s="43" t="str">
        <f>IF(CCUS_Projects_Database!$W288&lt;&gt;"",HYPERLINK(CCUS_Projects_Database!$W288,"Link 6"),"")</f>
        <v/>
      </c>
      <c r="AE286" s="43" t="str">
        <f>IF(CCUS_Projects_Database!$X288&lt;&gt;"",HYPERLINK(CCUS_Projects_Database!$X288,"Link 7"),"")</f>
        <v/>
      </c>
    </row>
    <row r="287" ht="15.75" customHeight="1">
      <c r="A287" s="44" t="s">
        <v>1156</v>
      </c>
      <c r="B287" s="45">
        <v>1105.0</v>
      </c>
      <c r="C287" s="45" t="s">
        <v>157</v>
      </c>
      <c r="D287" s="46" t="s">
        <v>1157</v>
      </c>
      <c r="E287" s="45" t="s">
        <v>8</v>
      </c>
      <c r="F287" s="45">
        <v>2021.0</v>
      </c>
      <c r="G287" s="45" t="s">
        <v>124</v>
      </c>
      <c r="H287" s="45" t="s">
        <v>124</v>
      </c>
      <c r="I287" s="45" t="s">
        <v>124</v>
      </c>
      <c r="J287" s="45" t="s">
        <v>28</v>
      </c>
      <c r="K287" s="47" t="s">
        <v>124</v>
      </c>
      <c r="L287" s="52">
        <v>0.8</v>
      </c>
      <c r="M287" s="47" t="s">
        <v>124</v>
      </c>
      <c r="N287" s="45" t="s">
        <v>46</v>
      </c>
      <c r="O287" s="48" t="s">
        <v>71</v>
      </c>
      <c r="P287" s="49" t="s">
        <v>571</v>
      </c>
      <c r="Q287" s="45" t="s">
        <v>125</v>
      </c>
      <c r="R287" s="49" t="s">
        <v>1158</v>
      </c>
      <c r="S287" s="49" t="s">
        <v>124</v>
      </c>
      <c r="T287" s="49" t="s">
        <v>124</v>
      </c>
      <c r="U287" s="49" t="s">
        <v>124</v>
      </c>
      <c r="V287" s="49" t="s">
        <v>124</v>
      </c>
      <c r="W287" s="49" t="s">
        <v>124</v>
      </c>
      <c r="X287" s="49" t="s">
        <v>124</v>
      </c>
      <c r="Y287" s="50" t="str">
        <f>IF(CCUS_Projects_Database!$R286&lt;&gt;"",HYPERLINK(CCUS_Projects_Database!$R286,"Link 1"),"")</f>
        <v>Link 1</v>
      </c>
      <c r="Z287" s="50" t="str">
        <f>IF(CCUS_Projects_Database!$S286&lt;&gt;"",HYPERLINK(CCUS_Projects_Database!$S286,"Link 2"),"")</f>
        <v/>
      </c>
      <c r="AA287" s="50" t="str">
        <f>IF(CCUS_Projects_Database!$T286&lt;&gt;"",HYPERLINK(CCUS_Projects_Database!$T286,"Link 3"),"")</f>
        <v/>
      </c>
      <c r="AB287" s="50" t="str">
        <f>IF(CCUS_Projects_Database!$U286&lt;&gt;"",HYPERLINK(CCUS_Projects_Database!$U286,"Link 4"),"")</f>
        <v/>
      </c>
      <c r="AC287" s="50" t="str">
        <f>IF(CCUS_Projects_Database!$V286&lt;&gt;"",HYPERLINK(CCUS_Projects_Database!$V286,"Link 5"),"")</f>
        <v/>
      </c>
      <c r="AD287" s="50" t="str">
        <f>IF(CCUS_Projects_Database!$W286&lt;&gt;"",HYPERLINK(CCUS_Projects_Database!$W286,"Link 6"),"")</f>
        <v/>
      </c>
      <c r="AE287" s="50" t="str">
        <f>IF(CCUS_Projects_Database!$X286&lt;&gt;"",HYPERLINK(CCUS_Projects_Database!$X286,"Link 7"),"")</f>
        <v/>
      </c>
    </row>
    <row r="288" ht="15.75" customHeight="1">
      <c r="A288" s="37" t="s">
        <v>1159</v>
      </c>
      <c r="B288" s="38">
        <v>4.0</v>
      </c>
      <c r="C288" s="38" t="s">
        <v>196</v>
      </c>
      <c r="D288" s="39" t="s">
        <v>1160</v>
      </c>
      <c r="E288" s="38" t="s">
        <v>6</v>
      </c>
      <c r="F288" s="38">
        <v>2007.0</v>
      </c>
      <c r="G288" s="38">
        <v>2012.0</v>
      </c>
      <c r="H288" s="38">
        <v>2016.0</v>
      </c>
      <c r="I288" s="38" t="s">
        <v>124</v>
      </c>
      <c r="J288" s="38" t="s">
        <v>32</v>
      </c>
      <c r="K288" s="40" t="s">
        <v>124</v>
      </c>
      <c r="L288" s="51">
        <v>0.195</v>
      </c>
      <c r="M288" s="40">
        <v>0.8</v>
      </c>
      <c r="N288" s="38" t="s">
        <v>58</v>
      </c>
      <c r="O288" s="41" t="s">
        <v>73</v>
      </c>
      <c r="P288" s="42" t="s">
        <v>124</v>
      </c>
      <c r="Q288" s="38" t="s">
        <v>137</v>
      </c>
      <c r="R288" s="42" t="s">
        <v>1161</v>
      </c>
      <c r="S288" s="42" t="s">
        <v>1162</v>
      </c>
      <c r="T288" s="42" t="s">
        <v>124</v>
      </c>
      <c r="U288" s="42" t="s">
        <v>124</v>
      </c>
      <c r="V288" s="42" t="s">
        <v>124</v>
      </c>
      <c r="W288" s="42" t="s">
        <v>124</v>
      </c>
      <c r="X288" s="42" t="s">
        <v>124</v>
      </c>
      <c r="Y288" s="43" t="str">
        <f>IF(CCUS_Projects_Database!$R287&lt;&gt;"",HYPERLINK(CCUS_Projects_Database!$R287,"Link 1"),"")</f>
        <v>Link 1</v>
      </c>
      <c r="Z288" s="43" t="str">
        <f>IF(CCUS_Projects_Database!$S287&lt;&gt;"",HYPERLINK(CCUS_Projects_Database!$S287,"Link 2"),"")</f>
        <v/>
      </c>
      <c r="AA288" s="43" t="str">
        <f>IF(CCUS_Projects_Database!$T287&lt;&gt;"",HYPERLINK(CCUS_Projects_Database!$T287,"Link 3"),"")</f>
        <v/>
      </c>
      <c r="AB288" s="43" t="str">
        <f>IF(CCUS_Projects_Database!$U287&lt;&gt;"",HYPERLINK(CCUS_Projects_Database!$U287,"Link 4"),"")</f>
        <v/>
      </c>
      <c r="AC288" s="43" t="str">
        <f>IF(CCUS_Projects_Database!$V287&lt;&gt;"",HYPERLINK(CCUS_Projects_Database!$V287,"Link 5"),"")</f>
        <v/>
      </c>
      <c r="AD288" s="43" t="str">
        <f>IF(CCUS_Projects_Database!$W287&lt;&gt;"",HYPERLINK(CCUS_Projects_Database!$W287,"Link 6"),"")</f>
        <v/>
      </c>
      <c r="AE288" s="43" t="str">
        <f>IF(CCUS_Projects_Database!$X287&lt;&gt;"",HYPERLINK(CCUS_Projects_Database!$X287,"Link 7"),"")</f>
        <v/>
      </c>
    </row>
    <row r="289" ht="15.75" customHeight="1">
      <c r="A289" s="44" t="s">
        <v>1163</v>
      </c>
      <c r="B289" s="45">
        <v>136.0</v>
      </c>
      <c r="C289" s="45" t="s">
        <v>141</v>
      </c>
      <c r="D289" s="46" t="s">
        <v>1164</v>
      </c>
      <c r="E289" s="45" t="s">
        <v>8</v>
      </c>
      <c r="F289" s="45">
        <v>2022.0</v>
      </c>
      <c r="G289" s="45" t="s">
        <v>124</v>
      </c>
      <c r="H289" s="45">
        <v>2028.0</v>
      </c>
      <c r="I289" s="45" t="s">
        <v>124</v>
      </c>
      <c r="J289" s="45" t="s">
        <v>28</v>
      </c>
      <c r="K289" s="47" t="s">
        <v>124</v>
      </c>
      <c r="L289" s="47"/>
      <c r="M289" s="47" t="s">
        <v>124</v>
      </c>
      <c r="N289" s="45" t="s">
        <v>136</v>
      </c>
      <c r="O289" s="48" t="s">
        <v>71</v>
      </c>
      <c r="P289" s="49" t="s">
        <v>1165</v>
      </c>
      <c r="Q289" s="45" t="s">
        <v>143</v>
      </c>
      <c r="R289" s="49" t="s">
        <v>1166</v>
      </c>
      <c r="S289" s="49" t="s">
        <v>1167</v>
      </c>
      <c r="T289" s="49" t="s">
        <v>124</v>
      </c>
      <c r="U289" s="49" t="s">
        <v>124</v>
      </c>
      <c r="V289" s="49" t="s">
        <v>124</v>
      </c>
      <c r="W289" s="49" t="s">
        <v>124</v>
      </c>
      <c r="X289" s="49" t="s">
        <v>124</v>
      </c>
      <c r="Y289" s="50" t="str">
        <f>IF(CCUS_Projects_Database!$R289&lt;&gt;"",HYPERLINK(CCUS_Projects_Database!$R289,"Link 1"),"")</f>
        <v>Link 1</v>
      </c>
      <c r="Z289" s="50" t="str">
        <f>IF(CCUS_Projects_Database!$S289&lt;&gt;"",HYPERLINK(CCUS_Projects_Database!$S289,"Link 2"),"")</f>
        <v>Link 2</v>
      </c>
      <c r="AA289" s="50" t="str">
        <f>IF(CCUS_Projects_Database!$T289&lt;&gt;"",HYPERLINK(CCUS_Projects_Database!$T289,"Link 3"),"")</f>
        <v/>
      </c>
      <c r="AB289" s="50" t="str">
        <f>IF(CCUS_Projects_Database!$U289&lt;&gt;"",HYPERLINK(CCUS_Projects_Database!$U289,"Link 4"),"")</f>
        <v/>
      </c>
      <c r="AC289" s="50" t="str">
        <f>IF(CCUS_Projects_Database!$V289&lt;&gt;"",HYPERLINK(CCUS_Projects_Database!$V289,"Link 5"),"")</f>
        <v/>
      </c>
      <c r="AD289" s="50" t="str">
        <f>IF(CCUS_Projects_Database!$W289&lt;&gt;"",HYPERLINK(CCUS_Projects_Database!$W289,"Link 6"),"")</f>
        <v/>
      </c>
      <c r="AE289" s="50" t="str">
        <f>IF(CCUS_Projects_Database!$X289&lt;&gt;"",HYPERLINK(CCUS_Projects_Database!$X289,"Link 7"),"")</f>
        <v/>
      </c>
    </row>
    <row r="290" ht="15.75" customHeight="1">
      <c r="A290" s="37" t="s">
        <v>1168</v>
      </c>
      <c r="B290" s="38">
        <v>1070.0</v>
      </c>
      <c r="C290" s="38" t="s">
        <v>1169</v>
      </c>
      <c r="D290" s="39" t="s">
        <v>1170</v>
      </c>
      <c r="E290" s="38" t="s">
        <v>14</v>
      </c>
      <c r="F290" s="38">
        <v>2023.0</v>
      </c>
      <c r="G290" s="38" t="s">
        <v>124</v>
      </c>
      <c r="H290" s="38">
        <v>2030.0</v>
      </c>
      <c r="I290" s="38" t="s">
        <v>124</v>
      </c>
      <c r="J290" s="38" t="s">
        <v>28</v>
      </c>
      <c r="K290" s="40" t="s">
        <v>124</v>
      </c>
      <c r="L290" s="40"/>
      <c r="M290" s="40" t="s">
        <v>124</v>
      </c>
      <c r="N290" s="38" t="s">
        <v>14</v>
      </c>
      <c r="O290" s="41" t="s">
        <v>71</v>
      </c>
      <c r="P290" s="42" t="s">
        <v>1171</v>
      </c>
      <c r="Q290" s="38" t="s">
        <v>148</v>
      </c>
      <c r="R290" s="42" t="s">
        <v>1172</v>
      </c>
      <c r="S290" s="42" t="s">
        <v>124</v>
      </c>
      <c r="T290" s="42" t="s">
        <v>124</v>
      </c>
      <c r="U290" s="42" t="s">
        <v>124</v>
      </c>
      <c r="V290" s="42" t="s">
        <v>124</v>
      </c>
      <c r="W290" s="42" t="s">
        <v>124</v>
      </c>
      <c r="X290" s="42" t="s">
        <v>124</v>
      </c>
      <c r="Y290" s="43" t="str">
        <f>IF(CCUS_Projects_Database!$R290&lt;&gt;"",HYPERLINK(CCUS_Projects_Database!$R290,"Link 1"),"")</f>
        <v>Link 1</v>
      </c>
      <c r="Z290" s="43" t="str">
        <f>IF(CCUS_Projects_Database!$S290&lt;&gt;"",HYPERLINK(CCUS_Projects_Database!$S290,"Link 2"),"")</f>
        <v/>
      </c>
      <c r="AA290" s="43" t="str">
        <f>IF(CCUS_Projects_Database!$T290&lt;&gt;"",HYPERLINK(CCUS_Projects_Database!$T290,"Link 3"),"")</f>
        <v/>
      </c>
      <c r="AB290" s="43" t="str">
        <f>IF(CCUS_Projects_Database!$U290&lt;&gt;"",HYPERLINK(CCUS_Projects_Database!$U290,"Link 4"),"")</f>
        <v/>
      </c>
      <c r="AC290" s="43" t="str">
        <f>IF(CCUS_Projects_Database!$V290&lt;&gt;"",HYPERLINK(CCUS_Projects_Database!$V290,"Link 5"),"")</f>
        <v/>
      </c>
      <c r="AD290" s="43" t="str">
        <f>IF(CCUS_Projects_Database!$W290&lt;&gt;"",HYPERLINK(CCUS_Projects_Database!$W290,"Link 6"),"")</f>
        <v/>
      </c>
      <c r="AE290" s="43" t="str">
        <f>IF(CCUS_Projects_Database!$X290&lt;&gt;"",HYPERLINK(CCUS_Projects_Database!$X290,"Link 7"),"")</f>
        <v/>
      </c>
    </row>
    <row r="291" ht="15.75" customHeight="1">
      <c r="A291" s="44" t="s">
        <v>1173</v>
      </c>
      <c r="B291" s="45">
        <v>138.0</v>
      </c>
      <c r="C291" s="45" t="s">
        <v>1174</v>
      </c>
      <c r="D291" s="46" t="s">
        <v>1175</v>
      </c>
      <c r="E291" s="45" t="s">
        <v>8</v>
      </c>
      <c r="F291" s="45">
        <v>2021.0</v>
      </c>
      <c r="G291" s="45" t="s">
        <v>124</v>
      </c>
      <c r="H291" s="45">
        <v>2025.0</v>
      </c>
      <c r="I291" s="45" t="s">
        <v>124</v>
      </c>
      <c r="J291" s="45" t="s">
        <v>28</v>
      </c>
      <c r="K291" s="47" t="s">
        <v>124</v>
      </c>
      <c r="L291" s="52">
        <v>2.5</v>
      </c>
      <c r="M291" s="47">
        <v>2.5</v>
      </c>
      <c r="N291" s="45" t="s">
        <v>136</v>
      </c>
      <c r="O291" s="48" t="s">
        <v>71</v>
      </c>
      <c r="P291" s="49" t="s">
        <v>1176</v>
      </c>
      <c r="Q291" s="45" t="s">
        <v>125</v>
      </c>
      <c r="R291" s="49" t="s">
        <v>1177</v>
      </c>
      <c r="S291" s="49" t="s">
        <v>1178</v>
      </c>
      <c r="T291" s="49" t="s">
        <v>124</v>
      </c>
      <c r="U291" s="49" t="s">
        <v>124</v>
      </c>
      <c r="V291" s="49" t="s">
        <v>124</v>
      </c>
      <c r="W291" s="49" t="s">
        <v>124</v>
      </c>
      <c r="X291" s="49" t="s">
        <v>124</v>
      </c>
      <c r="Y291" s="50" t="str">
        <f>IF(CCUS_Projects_Database!$R291&lt;&gt;"",HYPERLINK(CCUS_Projects_Database!$R291,"Link 1"),"")</f>
        <v>Link 1</v>
      </c>
      <c r="Z291" s="50" t="str">
        <f>IF(CCUS_Projects_Database!$S291&lt;&gt;"",HYPERLINK(CCUS_Projects_Database!$S291,"Link 2"),"")</f>
        <v>Link 2</v>
      </c>
      <c r="AA291" s="50" t="str">
        <f>IF(CCUS_Projects_Database!$T291&lt;&gt;"",HYPERLINK(CCUS_Projects_Database!$T291,"Link 3"),"")</f>
        <v/>
      </c>
      <c r="AB291" s="50" t="str">
        <f>IF(CCUS_Projects_Database!$U291&lt;&gt;"",HYPERLINK(CCUS_Projects_Database!$U291,"Link 4"),"")</f>
        <v/>
      </c>
      <c r="AC291" s="50" t="str">
        <f>IF(CCUS_Projects_Database!$V291&lt;&gt;"",HYPERLINK(CCUS_Projects_Database!$V291,"Link 5"),"")</f>
        <v/>
      </c>
      <c r="AD291" s="50" t="str">
        <f>IF(CCUS_Projects_Database!$W291&lt;&gt;"",HYPERLINK(CCUS_Projects_Database!$W291,"Link 6"),"")</f>
        <v/>
      </c>
      <c r="AE291" s="50" t="str">
        <f>IF(CCUS_Projects_Database!$X291&lt;&gt;"",HYPERLINK(CCUS_Projects_Database!$X291,"Link 7"),"")</f>
        <v/>
      </c>
    </row>
    <row r="292" ht="15.75" customHeight="1">
      <c r="A292" s="37" t="s">
        <v>1179</v>
      </c>
      <c r="B292" s="38">
        <v>583.0</v>
      </c>
      <c r="C292" s="38" t="s">
        <v>157</v>
      </c>
      <c r="D292" s="39" t="s">
        <v>1180</v>
      </c>
      <c r="E292" s="38" t="s">
        <v>8</v>
      </c>
      <c r="F292" s="38">
        <v>2020.0</v>
      </c>
      <c r="G292" s="38" t="s">
        <v>124</v>
      </c>
      <c r="H292" s="38" t="s">
        <v>124</v>
      </c>
      <c r="I292" s="38" t="s">
        <v>124</v>
      </c>
      <c r="J292" s="38" t="s">
        <v>28</v>
      </c>
      <c r="K292" s="40" t="s">
        <v>124</v>
      </c>
      <c r="L292" s="40"/>
      <c r="M292" s="40" t="s">
        <v>124</v>
      </c>
      <c r="N292" s="38" t="s">
        <v>46</v>
      </c>
      <c r="O292" s="41" t="s">
        <v>71</v>
      </c>
      <c r="P292" s="42" t="s">
        <v>1181</v>
      </c>
      <c r="Q292" s="38" t="s">
        <v>125</v>
      </c>
      <c r="R292" s="42" t="s">
        <v>1182</v>
      </c>
      <c r="S292" s="42" t="s">
        <v>1183</v>
      </c>
      <c r="T292" s="42" t="s">
        <v>1184</v>
      </c>
      <c r="U292" s="42" t="s">
        <v>124</v>
      </c>
      <c r="V292" s="42" t="s">
        <v>124</v>
      </c>
      <c r="W292" s="42" t="s">
        <v>124</v>
      </c>
      <c r="X292" s="42" t="s">
        <v>124</v>
      </c>
      <c r="Y292" s="43" t="str">
        <f>IF(CCUS_Projects_Database!$R292&lt;&gt;"",HYPERLINK(CCUS_Projects_Database!$R292,"Link 1"),"")</f>
        <v>Link 1</v>
      </c>
      <c r="Z292" s="43" t="str">
        <f>IF(CCUS_Projects_Database!$S292&lt;&gt;"",HYPERLINK(CCUS_Projects_Database!$S292,"Link 2"),"")</f>
        <v>Link 2</v>
      </c>
      <c r="AA292" s="43" t="str">
        <f>IF(CCUS_Projects_Database!$T292&lt;&gt;"",HYPERLINK(CCUS_Projects_Database!$T292,"Link 3"),"")</f>
        <v>Link 3</v>
      </c>
      <c r="AB292" s="43" t="str">
        <f>IF(CCUS_Projects_Database!$U292&lt;&gt;"",HYPERLINK(CCUS_Projects_Database!$U292,"Link 4"),"")</f>
        <v/>
      </c>
      <c r="AC292" s="43" t="str">
        <f>IF(CCUS_Projects_Database!$V292&lt;&gt;"",HYPERLINK(CCUS_Projects_Database!$V292,"Link 5"),"")</f>
        <v/>
      </c>
      <c r="AD292" s="43" t="str">
        <f>IF(CCUS_Projects_Database!$W292&lt;&gt;"",HYPERLINK(CCUS_Projects_Database!$W292,"Link 6"),"")</f>
        <v/>
      </c>
      <c r="AE292" s="43" t="str">
        <f>IF(CCUS_Projects_Database!$X292&lt;&gt;"",HYPERLINK(CCUS_Projects_Database!$X292,"Link 7"),"")</f>
        <v/>
      </c>
    </row>
    <row r="293" ht="15.75" customHeight="1">
      <c r="A293" s="44" t="s">
        <v>1185</v>
      </c>
      <c r="B293" s="45">
        <v>94.0</v>
      </c>
      <c r="C293" s="45" t="s">
        <v>239</v>
      </c>
      <c r="D293" s="46" t="s">
        <v>1186</v>
      </c>
      <c r="E293" s="45" t="s">
        <v>12</v>
      </c>
      <c r="F293" s="45">
        <v>2011.0</v>
      </c>
      <c r="G293" s="45">
        <v>2018.0</v>
      </c>
      <c r="H293" s="45">
        <v>2020.0</v>
      </c>
      <c r="I293" s="45" t="s">
        <v>124</v>
      </c>
      <c r="J293" s="45" t="s">
        <v>32</v>
      </c>
      <c r="K293" s="47" t="s">
        <v>124</v>
      </c>
      <c r="L293" s="52">
        <v>1.3</v>
      </c>
      <c r="M293" s="47">
        <v>1.1</v>
      </c>
      <c r="N293" s="45" t="s">
        <v>12</v>
      </c>
      <c r="O293" s="48" t="s">
        <v>73</v>
      </c>
      <c r="P293" s="49" t="s">
        <v>1187</v>
      </c>
      <c r="Q293" s="45" t="s">
        <v>143</v>
      </c>
      <c r="R293" s="49" t="s">
        <v>1188</v>
      </c>
      <c r="S293" s="49" t="s">
        <v>1189</v>
      </c>
      <c r="T293" s="49" t="s">
        <v>124</v>
      </c>
      <c r="U293" s="49" t="s">
        <v>124</v>
      </c>
      <c r="V293" s="49" t="s">
        <v>124</v>
      </c>
      <c r="W293" s="49" t="s">
        <v>124</v>
      </c>
      <c r="X293" s="49" t="s">
        <v>124</v>
      </c>
      <c r="Y293" s="50" t="str">
        <f>IF(CCUS_Projects_Database!$R293&lt;&gt;"",HYPERLINK(CCUS_Projects_Database!$R293,"Link 1"),"")</f>
        <v>Link 1</v>
      </c>
      <c r="Z293" s="50" t="str">
        <f>IF(CCUS_Projects_Database!$S293&lt;&gt;"",HYPERLINK(CCUS_Projects_Database!$S293,"Link 2"),"")</f>
        <v>Link 2</v>
      </c>
      <c r="AA293" s="50" t="str">
        <f>IF(CCUS_Projects_Database!$T293&lt;&gt;"",HYPERLINK(CCUS_Projects_Database!$T293,"Link 3"),"")</f>
        <v/>
      </c>
      <c r="AB293" s="50" t="str">
        <f>IF(CCUS_Projects_Database!$U293&lt;&gt;"",HYPERLINK(CCUS_Projects_Database!$U293,"Link 4"),"")</f>
        <v/>
      </c>
      <c r="AC293" s="50" t="str">
        <f>IF(CCUS_Projects_Database!$V293&lt;&gt;"",HYPERLINK(CCUS_Projects_Database!$V293,"Link 5"),"")</f>
        <v/>
      </c>
      <c r="AD293" s="50" t="str">
        <f>IF(CCUS_Projects_Database!$W293&lt;&gt;"",HYPERLINK(CCUS_Projects_Database!$W293,"Link 6"),"")</f>
        <v/>
      </c>
      <c r="AE293" s="50" t="str">
        <f>IF(CCUS_Projects_Database!$X293&lt;&gt;"",HYPERLINK(CCUS_Projects_Database!$X293,"Link 7"),"")</f>
        <v/>
      </c>
    </row>
    <row r="294" ht="15.75" customHeight="1">
      <c r="A294" s="37" t="s">
        <v>1190</v>
      </c>
      <c r="B294" s="38">
        <v>142.0</v>
      </c>
      <c r="C294" s="38" t="s">
        <v>574</v>
      </c>
      <c r="D294" s="39" t="s">
        <v>424</v>
      </c>
      <c r="E294" s="38" t="s">
        <v>8</v>
      </c>
      <c r="F294" s="38">
        <v>2020.0</v>
      </c>
      <c r="G294" s="38" t="s">
        <v>124</v>
      </c>
      <c r="H294" s="38">
        <v>2027.0</v>
      </c>
      <c r="I294" s="38" t="s">
        <v>124</v>
      </c>
      <c r="J294" s="38" t="s">
        <v>28</v>
      </c>
      <c r="K294" s="40">
        <v>1.0</v>
      </c>
      <c r="L294" s="51">
        <v>0.8</v>
      </c>
      <c r="M294" s="40">
        <v>0.8</v>
      </c>
      <c r="N294" s="38" t="s">
        <v>46</v>
      </c>
      <c r="O294" s="41" t="s">
        <v>71</v>
      </c>
      <c r="P294" s="42" t="s">
        <v>597</v>
      </c>
      <c r="Q294" s="38" t="s">
        <v>125</v>
      </c>
      <c r="R294" s="42" t="s">
        <v>1191</v>
      </c>
      <c r="S294" s="42" t="s">
        <v>124</v>
      </c>
      <c r="T294" s="42" t="s">
        <v>124</v>
      </c>
      <c r="U294" s="42" t="s">
        <v>124</v>
      </c>
      <c r="V294" s="42" t="s">
        <v>124</v>
      </c>
      <c r="W294" s="42" t="s">
        <v>124</v>
      </c>
      <c r="X294" s="42" t="s">
        <v>124</v>
      </c>
      <c r="Y294" s="43" t="str">
        <f>IF(CCUS_Projects_Database!$R294&lt;&gt;"",HYPERLINK(CCUS_Projects_Database!$R294,"Link 1"),"")</f>
        <v>Link 1</v>
      </c>
      <c r="Z294" s="43" t="str">
        <f>IF(CCUS_Projects_Database!$S294&lt;&gt;"",HYPERLINK(CCUS_Projects_Database!$S294,"Link 2"),"")</f>
        <v/>
      </c>
      <c r="AA294" s="43" t="str">
        <f>IF(CCUS_Projects_Database!$T294&lt;&gt;"",HYPERLINK(CCUS_Projects_Database!$T294,"Link 3"),"")</f>
        <v/>
      </c>
      <c r="AB294" s="43" t="str">
        <f>IF(CCUS_Projects_Database!$U294&lt;&gt;"",HYPERLINK(CCUS_Projects_Database!$U294,"Link 4"),"")</f>
        <v/>
      </c>
      <c r="AC294" s="43" t="str">
        <f>IF(CCUS_Projects_Database!$V294&lt;&gt;"",HYPERLINK(CCUS_Projects_Database!$V294,"Link 5"),"")</f>
        <v/>
      </c>
      <c r="AD294" s="43" t="str">
        <f>IF(CCUS_Projects_Database!$W294&lt;&gt;"",HYPERLINK(CCUS_Projects_Database!$W294,"Link 6"),"")</f>
        <v/>
      </c>
      <c r="AE294" s="43" t="str">
        <f>IF(CCUS_Projects_Database!$X294&lt;&gt;"",HYPERLINK(CCUS_Projects_Database!$X294,"Link 7"),"")</f>
        <v/>
      </c>
    </row>
    <row r="295" ht="15.75" customHeight="1">
      <c r="A295" s="44" t="s">
        <v>1192</v>
      </c>
      <c r="B295" s="45">
        <v>143.0</v>
      </c>
      <c r="C295" s="45" t="s">
        <v>574</v>
      </c>
      <c r="D295" s="46" t="s">
        <v>424</v>
      </c>
      <c r="E295" s="45" t="s">
        <v>8</v>
      </c>
      <c r="F295" s="45">
        <v>2020.0</v>
      </c>
      <c r="G295" s="45" t="s">
        <v>124</v>
      </c>
      <c r="H295" s="45">
        <v>2027.0</v>
      </c>
      <c r="I295" s="45" t="s">
        <v>124</v>
      </c>
      <c r="J295" s="45" t="s">
        <v>28</v>
      </c>
      <c r="K295" s="47" t="s">
        <v>124</v>
      </c>
      <c r="L295" s="52">
        <v>0.2</v>
      </c>
      <c r="M295" s="47">
        <v>0.2</v>
      </c>
      <c r="N295" s="45" t="s">
        <v>54</v>
      </c>
      <c r="O295" s="48" t="s">
        <v>71</v>
      </c>
      <c r="P295" s="49" t="s">
        <v>597</v>
      </c>
      <c r="Q295" s="45" t="s">
        <v>125</v>
      </c>
      <c r="R295" s="49" t="s">
        <v>1191</v>
      </c>
      <c r="S295" s="49" t="s">
        <v>124</v>
      </c>
      <c r="T295" s="49" t="s">
        <v>124</v>
      </c>
      <c r="U295" s="49" t="s">
        <v>124</v>
      </c>
      <c r="V295" s="49" t="s">
        <v>124</v>
      </c>
      <c r="W295" s="49" t="s">
        <v>124</v>
      </c>
      <c r="X295" s="49" t="s">
        <v>124</v>
      </c>
      <c r="Y295" s="50" t="str">
        <f>IF(CCUS_Projects_Database!$R295&lt;&gt;"",HYPERLINK(CCUS_Projects_Database!$R295,"Link 1"),"")</f>
        <v>Link 1</v>
      </c>
      <c r="Z295" s="50" t="str">
        <f>IF(CCUS_Projects_Database!$S295&lt;&gt;"",HYPERLINK(CCUS_Projects_Database!$S295,"Link 2"),"")</f>
        <v/>
      </c>
      <c r="AA295" s="50" t="str">
        <f>IF(CCUS_Projects_Database!$T295&lt;&gt;"",HYPERLINK(CCUS_Projects_Database!$T295,"Link 3"),"")</f>
        <v/>
      </c>
      <c r="AB295" s="50" t="str">
        <f>IF(CCUS_Projects_Database!$U295&lt;&gt;"",HYPERLINK(CCUS_Projects_Database!$U295,"Link 4"),"")</f>
        <v/>
      </c>
      <c r="AC295" s="50" t="str">
        <f>IF(CCUS_Projects_Database!$V295&lt;&gt;"",HYPERLINK(CCUS_Projects_Database!$V295,"Link 5"),"")</f>
        <v/>
      </c>
      <c r="AD295" s="50" t="str">
        <f>IF(CCUS_Projects_Database!$W295&lt;&gt;"",HYPERLINK(CCUS_Projects_Database!$W295,"Link 6"),"")</f>
        <v/>
      </c>
      <c r="AE295" s="50" t="str">
        <f>IF(CCUS_Projects_Database!$X295&lt;&gt;"",HYPERLINK(CCUS_Projects_Database!$X295,"Link 7"),"")</f>
        <v/>
      </c>
    </row>
    <row r="296" ht="15.75" customHeight="1">
      <c r="A296" s="37" t="s">
        <v>1193</v>
      </c>
      <c r="B296" s="38">
        <v>144.0</v>
      </c>
      <c r="C296" s="38" t="s">
        <v>141</v>
      </c>
      <c r="D296" s="39" t="s">
        <v>1194</v>
      </c>
      <c r="E296" s="38" t="s">
        <v>6</v>
      </c>
      <c r="F296" s="38">
        <v>1982.0</v>
      </c>
      <c r="G296" s="38" t="s">
        <v>124</v>
      </c>
      <c r="H296" s="38">
        <v>1982.0</v>
      </c>
      <c r="I296" s="38" t="s">
        <v>124</v>
      </c>
      <c r="J296" s="38" t="s">
        <v>32</v>
      </c>
      <c r="K296" s="40" t="s">
        <v>124</v>
      </c>
      <c r="L296" s="51">
        <v>0.68</v>
      </c>
      <c r="M296" s="40">
        <v>0.68</v>
      </c>
      <c r="N296" s="38" t="s">
        <v>60</v>
      </c>
      <c r="O296" s="41" t="s">
        <v>73</v>
      </c>
      <c r="P296" s="42" t="s">
        <v>124</v>
      </c>
      <c r="Q296" s="38" t="s">
        <v>143</v>
      </c>
      <c r="R296" s="42" t="s">
        <v>1195</v>
      </c>
      <c r="S296" s="42" t="s">
        <v>937</v>
      </c>
      <c r="T296" s="42" t="s">
        <v>1196</v>
      </c>
      <c r="U296" s="42" t="s">
        <v>124</v>
      </c>
      <c r="V296" s="42" t="s">
        <v>124</v>
      </c>
      <c r="W296" s="42" t="s">
        <v>124</v>
      </c>
      <c r="X296" s="42" t="s">
        <v>124</v>
      </c>
      <c r="Y296" s="43" t="str">
        <f>IF(CCUS_Projects_Database!$R296&lt;&gt;"",HYPERLINK(CCUS_Projects_Database!$R296,"Link 1"),"")</f>
        <v>Link 1</v>
      </c>
      <c r="Z296" s="43" t="str">
        <f>IF(CCUS_Projects_Database!$S296&lt;&gt;"",HYPERLINK(CCUS_Projects_Database!$S296,"Link 2"),"")</f>
        <v>Link 2</v>
      </c>
      <c r="AA296" s="43" t="str">
        <f>IF(CCUS_Projects_Database!$T296&lt;&gt;"",HYPERLINK(CCUS_Projects_Database!$T296,"Link 3"),"")</f>
        <v>Link 3</v>
      </c>
      <c r="AB296" s="43" t="str">
        <f>IF(CCUS_Projects_Database!$U296&lt;&gt;"",HYPERLINK(CCUS_Projects_Database!$U296,"Link 4"),"")</f>
        <v/>
      </c>
      <c r="AC296" s="43" t="str">
        <f>IF(CCUS_Projects_Database!$V296&lt;&gt;"",HYPERLINK(CCUS_Projects_Database!$V296,"Link 5"),"")</f>
        <v/>
      </c>
      <c r="AD296" s="43" t="str">
        <f>IF(CCUS_Projects_Database!$W296&lt;&gt;"",HYPERLINK(CCUS_Projects_Database!$W296,"Link 6"),"")</f>
        <v/>
      </c>
      <c r="AE296" s="43" t="str">
        <f>IF(CCUS_Projects_Database!$X296&lt;&gt;"",HYPERLINK(CCUS_Projects_Database!$X296,"Link 7"),"")</f>
        <v/>
      </c>
    </row>
    <row r="297" ht="15.75" customHeight="1">
      <c r="A297" s="44" t="s">
        <v>1197</v>
      </c>
      <c r="B297" s="45">
        <v>495.0</v>
      </c>
      <c r="C297" s="45" t="s">
        <v>141</v>
      </c>
      <c r="D297" s="46" t="s">
        <v>1198</v>
      </c>
      <c r="E297" s="45" t="s">
        <v>10</v>
      </c>
      <c r="F297" s="45">
        <v>2022.0</v>
      </c>
      <c r="G297" s="45" t="s">
        <v>124</v>
      </c>
      <c r="H297" s="45">
        <v>2025.0</v>
      </c>
      <c r="I297" s="45" t="s">
        <v>124</v>
      </c>
      <c r="J297" s="45" t="s">
        <v>28</v>
      </c>
      <c r="K297" s="47" t="s">
        <v>124</v>
      </c>
      <c r="L297" s="52">
        <v>2.0</v>
      </c>
      <c r="M297" s="47">
        <v>2.0</v>
      </c>
      <c r="N297" s="45" t="s">
        <v>10</v>
      </c>
      <c r="O297" s="48" t="s">
        <v>71</v>
      </c>
      <c r="P297" s="49" t="s">
        <v>1199</v>
      </c>
      <c r="Q297" s="45" t="s">
        <v>143</v>
      </c>
      <c r="R297" s="49" t="s">
        <v>1200</v>
      </c>
      <c r="S297" s="49" t="s">
        <v>124</v>
      </c>
      <c r="T297" s="49" t="s">
        <v>124</v>
      </c>
      <c r="U297" s="49" t="s">
        <v>124</v>
      </c>
      <c r="V297" s="49" t="s">
        <v>124</v>
      </c>
      <c r="W297" s="49" t="s">
        <v>124</v>
      </c>
      <c r="X297" s="49" t="s">
        <v>124</v>
      </c>
      <c r="Y297" s="50" t="str">
        <f>IF(CCUS_Projects_Database!$R297&lt;&gt;"",HYPERLINK(CCUS_Projects_Database!$R297,"Link 1"),"")</f>
        <v>Link 1</v>
      </c>
      <c r="Z297" s="50" t="str">
        <f>IF(CCUS_Projects_Database!$S297&lt;&gt;"",HYPERLINK(CCUS_Projects_Database!$S297,"Link 2"),"")</f>
        <v/>
      </c>
      <c r="AA297" s="50" t="str">
        <f>IF(CCUS_Projects_Database!$T297&lt;&gt;"",HYPERLINK(CCUS_Projects_Database!$T297,"Link 3"),"")</f>
        <v/>
      </c>
      <c r="AB297" s="50" t="str">
        <f>IF(CCUS_Projects_Database!$U297&lt;&gt;"",HYPERLINK(CCUS_Projects_Database!$U297,"Link 4"),"")</f>
        <v/>
      </c>
      <c r="AC297" s="50" t="str">
        <f>IF(CCUS_Projects_Database!$V297&lt;&gt;"",HYPERLINK(CCUS_Projects_Database!$V297,"Link 5"),"")</f>
        <v/>
      </c>
      <c r="AD297" s="50" t="str">
        <f>IF(CCUS_Projects_Database!$W297&lt;&gt;"",HYPERLINK(CCUS_Projects_Database!$W297,"Link 6"),"")</f>
        <v/>
      </c>
      <c r="AE297" s="50" t="str">
        <f>IF(CCUS_Projects_Database!$X297&lt;&gt;"",HYPERLINK(CCUS_Projects_Database!$X297,"Link 7"),"")</f>
        <v/>
      </c>
    </row>
    <row r="298" ht="15.75" customHeight="1">
      <c r="A298" s="37" t="s">
        <v>1201</v>
      </c>
      <c r="B298" s="38">
        <v>849.0</v>
      </c>
      <c r="C298" s="38" t="s">
        <v>157</v>
      </c>
      <c r="D298" s="39" t="s">
        <v>1202</v>
      </c>
      <c r="E298" s="38" t="s">
        <v>12</v>
      </c>
      <c r="F298" s="38">
        <v>2023.0</v>
      </c>
      <c r="G298" s="38" t="s">
        <v>124</v>
      </c>
      <c r="H298" s="38" t="s">
        <v>124</v>
      </c>
      <c r="I298" s="38" t="s">
        <v>124</v>
      </c>
      <c r="J298" s="38" t="s">
        <v>28</v>
      </c>
      <c r="K298" s="40" t="s">
        <v>124</v>
      </c>
      <c r="L298" s="51">
        <v>10.0</v>
      </c>
      <c r="M298" s="40">
        <v>10.0</v>
      </c>
      <c r="N298" s="38" t="s">
        <v>12</v>
      </c>
      <c r="O298" s="41" t="s">
        <v>71</v>
      </c>
      <c r="P298" s="42" t="s">
        <v>124</v>
      </c>
      <c r="Q298" s="38" t="s">
        <v>125</v>
      </c>
      <c r="R298" s="42" t="s">
        <v>1203</v>
      </c>
      <c r="S298" s="42" t="s">
        <v>1204</v>
      </c>
      <c r="T298" s="42" t="s">
        <v>124</v>
      </c>
      <c r="U298" s="42" t="s">
        <v>124</v>
      </c>
      <c r="V298" s="42" t="s">
        <v>124</v>
      </c>
      <c r="W298" s="42" t="s">
        <v>124</v>
      </c>
      <c r="X298" s="42" t="s">
        <v>124</v>
      </c>
      <c r="Y298" s="43" t="str">
        <f>IF(CCUS_Projects_Database!$R298&lt;&gt;"",HYPERLINK(CCUS_Projects_Database!$R298,"Link 1"),"")</f>
        <v>Link 1</v>
      </c>
      <c r="Z298" s="43" t="str">
        <f>IF(CCUS_Projects_Database!$S298&lt;&gt;"",HYPERLINK(CCUS_Projects_Database!$S298,"Link 2"),"")</f>
        <v>Link 2</v>
      </c>
      <c r="AA298" s="43" t="str">
        <f>IF(CCUS_Projects_Database!$T298&lt;&gt;"",HYPERLINK(CCUS_Projects_Database!$T298,"Link 3"),"")</f>
        <v/>
      </c>
      <c r="AB298" s="43" t="str">
        <f>IF(CCUS_Projects_Database!$U298&lt;&gt;"",HYPERLINK(CCUS_Projects_Database!$U298,"Link 4"),"")</f>
        <v/>
      </c>
      <c r="AC298" s="43" t="str">
        <f>IF(CCUS_Projects_Database!$V298&lt;&gt;"",HYPERLINK(CCUS_Projects_Database!$V298,"Link 5"),"")</f>
        <v/>
      </c>
      <c r="AD298" s="43" t="str">
        <f>IF(CCUS_Projects_Database!$W298&lt;&gt;"",HYPERLINK(CCUS_Projects_Database!$W298,"Link 6"),"")</f>
        <v/>
      </c>
      <c r="AE298" s="43" t="str">
        <f>IF(CCUS_Projects_Database!$X298&lt;&gt;"",HYPERLINK(CCUS_Projects_Database!$X298,"Link 7"),"")</f>
        <v/>
      </c>
    </row>
    <row r="299" ht="15.75" customHeight="1">
      <c r="A299" s="44" t="s">
        <v>1205</v>
      </c>
      <c r="B299" s="45">
        <v>1082.0</v>
      </c>
      <c r="C299" s="45" t="s">
        <v>284</v>
      </c>
      <c r="D299" s="46" t="s">
        <v>1206</v>
      </c>
      <c r="E299" s="45" t="s">
        <v>8</v>
      </c>
      <c r="F299" s="45">
        <v>2024.0</v>
      </c>
      <c r="G299" s="45" t="s">
        <v>124</v>
      </c>
      <c r="H299" s="45" t="s">
        <v>124</v>
      </c>
      <c r="I299" s="45" t="s">
        <v>124</v>
      </c>
      <c r="J299" s="45" t="s">
        <v>28</v>
      </c>
      <c r="K299" s="47" t="s">
        <v>124</v>
      </c>
      <c r="L299" s="47"/>
      <c r="M299" s="47" t="s">
        <v>124</v>
      </c>
      <c r="N299" s="45" t="s">
        <v>54</v>
      </c>
      <c r="O299" s="48" t="s">
        <v>71</v>
      </c>
      <c r="P299" s="49" t="s">
        <v>124</v>
      </c>
      <c r="Q299" s="45" t="s">
        <v>125</v>
      </c>
      <c r="R299" s="49" t="s">
        <v>1207</v>
      </c>
      <c r="S299" s="49" t="s">
        <v>124</v>
      </c>
      <c r="T299" s="49" t="s">
        <v>124</v>
      </c>
      <c r="U299" s="49" t="s">
        <v>124</v>
      </c>
      <c r="V299" s="49" t="s">
        <v>124</v>
      </c>
      <c r="W299" s="49" t="s">
        <v>124</v>
      </c>
      <c r="X299" s="49" t="s">
        <v>124</v>
      </c>
      <c r="Y299" s="50" t="str">
        <f>IF(CCUS_Projects_Database!$R299&lt;&gt;"",HYPERLINK(CCUS_Projects_Database!$R299,"Link 1"),"")</f>
        <v>Link 1</v>
      </c>
      <c r="Z299" s="50" t="str">
        <f>IF(CCUS_Projects_Database!$S299&lt;&gt;"",HYPERLINK(CCUS_Projects_Database!$S299,"Link 2"),"")</f>
        <v/>
      </c>
      <c r="AA299" s="50" t="str">
        <f>IF(CCUS_Projects_Database!$T299&lt;&gt;"",HYPERLINK(CCUS_Projects_Database!$T299,"Link 3"),"")</f>
        <v/>
      </c>
      <c r="AB299" s="50" t="str">
        <f>IF(CCUS_Projects_Database!$U299&lt;&gt;"",HYPERLINK(CCUS_Projects_Database!$U299,"Link 4"),"")</f>
        <v/>
      </c>
      <c r="AC299" s="50" t="str">
        <f>IF(CCUS_Projects_Database!$V299&lt;&gt;"",HYPERLINK(CCUS_Projects_Database!$V299,"Link 5"),"")</f>
        <v/>
      </c>
      <c r="AD299" s="50" t="str">
        <f>IF(CCUS_Projects_Database!$W299&lt;&gt;"",HYPERLINK(CCUS_Projects_Database!$W299,"Link 6"),"")</f>
        <v/>
      </c>
      <c r="AE299" s="50" t="str">
        <f>IF(CCUS_Projects_Database!$X299&lt;&gt;"",HYPERLINK(CCUS_Projects_Database!$X299,"Link 7"),"")</f>
        <v/>
      </c>
    </row>
    <row r="300" ht="15.75" customHeight="1">
      <c r="A300" s="37" t="s">
        <v>1208</v>
      </c>
      <c r="B300" s="38">
        <v>841.0</v>
      </c>
      <c r="C300" s="38" t="s">
        <v>284</v>
      </c>
      <c r="D300" s="39" t="s">
        <v>1209</v>
      </c>
      <c r="E300" s="38" t="s">
        <v>14</v>
      </c>
      <c r="F300" s="38">
        <v>2022.0</v>
      </c>
      <c r="G300" s="38" t="s">
        <v>124</v>
      </c>
      <c r="H300" s="38">
        <v>2028.0</v>
      </c>
      <c r="I300" s="38" t="s">
        <v>124</v>
      </c>
      <c r="J300" s="38" t="s">
        <v>28</v>
      </c>
      <c r="K300" s="40">
        <v>1.0</v>
      </c>
      <c r="L300" s="51">
        <v>5.0</v>
      </c>
      <c r="M300" s="40">
        <v>5.0</v>
      </c>
      <c r="N300" s="38" t="s">
        <v>14</v>
      </c>
      <c r="O300" s="41" t="s">
        <v>71</v>
      </c>
      <c r="P300" s="42" t="s">
        <v>1210</v>
      </c>
      <c r="Q300" s="38" t="s">
        <v>125</v>
      </c>
      <c r="R300" s="42" t="s">
        <v>1211</v>
      </c>
      <c r="S300" s="42" t="s">
        <v>124</v>
      </c>
      <c r="T300" s="42" t="s">
        <v>124</v>
      </c>
      <c r="U300" s="42" t="s">
        <v>124</v>
      </c>
      <c r="V300" s="42" t="s">
        <v>124</v>
      </c>
      <c r="W300" s="42" t="s">
        <v>124</v>
      </c>
      <c r="X300" s="42" t="s">
        <v>124</v>
      </c>
      <c r="Y300" s="43" t="str">
        <f>IF(CCUS_Projects_Database!$R300&lt;&gt;"",HYPERLINK(CCUS_Projects_Database!$R300,"Link 1"),"")</f>
        <v>Link 1</v>
      </c>
      <c r="Z300" s="43" t="str">
        <f>IF(CCUS_Projects_Database!$S300&lt;&gt;"",HYPERLINK(CCUS_Projects_Database!$S300,"Link 2"),"")</f>
        <v/>
      </c>
      <c r="AA300" s="43" t="str">
        <f>IF(CCUS_Projects_Database!$T300&lt;&gt;"",HYPERLINK(CCUS_Projects_Database!$T300,"Link 3"),"")</f>
        <v/>
      </c>
      <c r="AB300" s="43" t="str">
        <f>IF(CCUS_Projects_Database!$U300&lt;&gt;"",HYPERLINK(CCUS_Projects_Database!$U300,"Link 4"),"")</f>
        <v/>
      </c>
      <c r="AC300" s="43" t="str">
        <f>IF(CCUS_Projects_Database!$V300&lt;&gt;"",HYPERLINK(CCUS_Projects_Database!$V300,"Link 5"),"")</f>
        <v/>
      </c>
      <c r="AD300" s="43" t="str">
        <f>IF(CCUS_Projects_Database!$W300&lt;&gt;"",HYPERLINK(CCUS_Projects_Database!$W300,"Link 6"),"")</f>
        <v/>
      </c>
      <c r="AE300" s="43" t="str">
        <f>IF(CCUS_Projects_Database!$X300&lt;&gt;"",HYPERLINK(CCUS_Projects_Database!$X300,"Link 7"),"")</f>
        <v/>
      </c>
    </row>
    <row r="301" ht="15.75" customHeight="1">
      <c r="A301" s="44" t="s">
        <v>1212</v>
      </c>
      <c r="B301" s="45">
        <v>676.0</v>
      </c>
      <c r="C301" s="45" t="s">
        <v>284</v>
      </c>
      <c r="D301" s="46" t="s">
        <v>1209</v>
      </c>
      <c r="E301" s="45" t="s">
        <v>14</v>
      </c>
      <c r="F301" s="45">
        <v>2022.0</v>
      </c>
      <c r="G301" s="45" t="s">
        <v>124</v>
      </c>
      <c r="H301" s="45">
        <v>2035.0</v>
      </c>
      <c r="I301" s="45" t="s">
        <v>124</v>
      </c>
      <c r="J301" s="45" t="s">
        <v>28</v>
      </c>
      <c r="K301" s="47">
        <v>2.0</v>
      </c>
      <c r="L301" s="52">
        <v>24.0</v>
      </c>
      <c r="M301" s="47">
        <v>24.0</v>
      </c>
      <c r="N301" s="45" t="s">
        <v>14</v>
      </c>
      <c r="O301" s="48" t="s">
        <v>71</v>
      </c>
      <c r="P301" s="49" t="s">
        <v>1210</v>
      </c>
      <c r="Q301" s="45" t="s">
        <v>125</v>
      </c>
      <c r="R301" s="49" t="s">
        <v>1213</v>
      </c>
      <c r="S301" s="49" t="s">
        <v>124</v>
      </c>
      <c r="T301" s="49" t="s">
        <v>124</v>
      </c>
      <c r="U301" s="49" t="s">
        <v>124</v>
      </c>
      <c r="V301" s="49" t="s">
        <v>124</v>
      </c>
      <c r="W301" s="49" t="s">
        <v>124</v>
      </c>
      <c r="X301" s="49" t="s">
        <v>124</v>
      </c>
      <c r="Y301" s="50" t="str">
        <f>IF(CCUS_Projects_Database!$R301&lt;&gt;"",HYPERLINK(CCUS_Projects_Database!$R301,"Link 1"),"")</f>
        <v>Link 1</v>
      </c>
      <c r="Z301" s="50" t="str">
        <f>IF(CCUS_Projects_Database!$S301&lt;&gt;"",HYPERLINK(CCUS_Projects_Database!$S301,"Link 2"),"")</f>
        <v/>
      </c>
      <c r="AA301" s="50" t="str">
        <f>IF(CCUS_Projects_Database!$T301&lt;&gt;"",HYPERLINK(CCUS_Projects_Database!$T301,"Link 3"),"")</f>
        <v/>
      </c>
      <c r="AB301" s="50" t="str">
        <f>IF(CCUS_Projects_Database!$U301&lt;&gt;"",HYPERLINK(CCUS_Projects_Database!$U301,"Link 4"),"")</f>
        <v/>
      </c>
      <c r="AC301" s="50" t="str">
        <f>IF(CCUS_Projects_Database!$V301&lt;&gt;"",HYPERLINK(CCUS_Projects_Database!$V301,"Link 5"),"")</f>
        <v/>
      </c>
      <c r="AD301" s="50" t="str">
        <f>IF(CCUS_Projects_Database!$W301&lt;&gt;"",HYPERLINK(CCUS_Projects_Database!$W301,"Link 6"),"")</f>
        <v/>
      </c>
      <c r="AE301" s="50" t="str">
        <f>IF(CCUS_Projects_Database!$X301&lt;&gt;"",HYPERLINK(CCUS_Projects_Database!$X301,"Link 7"),"")</f>
        <v/>
      </c>
    </row>
    <row r="302" ht="15.75" customHeight="1">
      <c r="A302" s="37" t="s">
        <v>1214</v>
      </c>
      <c r="B302" s="38">
        <v>1111.0</v>
      </c>
      <c r="C302" s="38" t="s">
        <v>284</v>
      </c>
      <c r="D302" s="39" t="s">
        <v>1215</v>
      </c>
      <c r="E302" s="38" t="s">
        <v>8</v>
      </c>
      <c r="F302" s="38">
        <v>2023.0</v>
      </c>
      <c r="G302" s="38" t="s">
        <v>124</v>
      </c>
      <c r="H302" s="38">
        <v>2030.0</v>
      </c>
      <c r="I302" s="38" t="s">
        <v>124</v>
      </c>
      <c r="J302" s="38" t="s">
        <v>28</v>
      </c>
      <c r="K302" s="40" t="s">
        <v>124</v>
      </c>
      <c r="L302" s="51">
        <v>0.26</v>
      </c>
      <c r="M302" s="40">
        <v>0.26</v>
      </c>
      <c r="N302" s="38" t="s">
        <v>58</v>
      </c>
      <c r="O302" s="41" t="s">
        <v>71</v>
      </c>
      <c r="P302" s="42" t="s">
        <v>124</v>
      </c>
      <c r="Q302" s="38" t="s">
        <v>125</v>
      </c>
      <c r="R302" s="42" t="s">
        <v>1216</v>
      </c>
      <c r="S302" s="42" t="s">
        <v>124</v>
      </c>
      <c r="T302" s="42" t="s">
        <v>124</v>
      </c>
      <c r="U302" s="42" t="s">
        <v>124</v>
      </c>
      <c r="V302" s="42" t="s">
        <v>124</v>
      </c>
      <c r="W302" s="42" t="s">
        <v>124</v>
      </c>
      <c r="X302" s="42" t="s">
        <v>124</v>
      </c>
      <c r="Y302" s="43" t="str">
        <f>IF(CCUS_Projects_Database!$R302&lt;&gt;"",HYPERLINK(CCUS_Projects_Database!$R302,"Link 1"),"")</f>
        <v>Link 1</v>
      </c>
      <c r="Z302" s="43" t="str">
        <f>IF(CCUS_Projects_Database!$S302&lt;&gt;"",HYPERLINK(CCUS_Projects_Database!$S302,"Link 2"),"")</f>
        <v/>
      </c>
      <c r="AA302" s="43" t="str">
        <f>IF(CCUS_Projects_Database!$T302&lt;&gt;"",HYPERLINK(CCUS_Projects_Database!$T302,"Link 3"),"")</f>
        <v/>
      </c>
      <c r="AB302" s="43" t="str">
        <f>IF(CCUS_Projects_Database!$U302&lt;&gt;"",HYPERLINK(CCUS_Projects_Database!$U302,"Link 4"),"")</f>
        <v/>
      </c>
      <c r="AC302" s="43" t="str">
        <f>IF(CCUS_Projects_Database!$V302&lt;&gt;"",HYPERLINK(CCUS_Projects_Database!$V302,"Link 5"),"")</f>
        <v/>
      </c>
      <c r="AD302" s="43" t="str">
        <f>IF(CCUS_Projects_Database!$W302&lt;&gt;"",HYPERLINK(CCUS_Projects_Database!$W302,"Link 6"),"")</f>
        <v/>
      </c>
      <c r="AE302" s="43" t="str">
        <f>IF(CCUS_Projects_Database!$X302&lt;&gt;"",HYPERLINK(CCUS_Projects_Database!$X302,"Link 7"),"")</f>
        <v/>
      </c>
    </row>
    <row r="303" ht="15.75" customHeight="1">
      <c r="A303" s="44" t="s">
        <v>1217</v>
      </c>
      <c r="B303" s="45">
        <v>145.0</v>
      </c>
      <c r="C303" s="45" t="s">
        <v>1218</v>
      </c>
      <c r="D303" s="46" t="s">
        <v>1219</v>
      </c>
      <c r="E303" s="45" t="s">
        <v>8</v>
      </c>
      <c r="F303" s="45">
        <v>2018.0</v>
      </c>
      <c r="G303" s="45" t="s">
        <v>124</v>
      </c>
      <c r="H303" s="45">
        <v>2028.0</v>
      </c>
      <c r="I303" s="45" t="s">
        <v>124</v>
      </c>
      <c r="J303" s="45" t="s">
        <v>28</v>
      </c>
      <c r="K303" s="47" t="s">
        <v>124</v>
      </c>
      <c r="L303" s="47"/>
      <c r="M303" s="47" t="s">
        <v>124</v>
      </c>
      <c r="N303" s="45" t="s">
        <v>46</v>
      </c>
      <c r="O303" s="48" t="s">
        <v>77</v>
      </c>
      <c r="P303" s="49" t="s">
        <v>1220</v>
      </c>
      <c r="Q303" s="45" t="s">
        <v>125</v>
      </c>
      <c r="R303" s="49" t="s">
        <v>1221</v>
      </c>
      <c r="S303" s="49" t="s">
        <v>124</v>
      </c>
      <c r="T303" s="49" t="s">
        <v>124</v>
      </c>
      <c r="U303" s="49" t="s">
        <v>124</v>
      </c>
      <c r="V303" s="49" t="s">
        <v>124</v>
      </c>
      <c r="W303" s="49" t="s">
        <v>124</v>
      </c>
      <c r="X303" s="49" t="s">
        <v>124</v>
      </c>
      <c r="Y303" s="50" t="str">
        <f>IF(CCUS_Projects_Database!$R303&lt;&gt;"",HYPERLINK(CCUS_Projects_Database!$R303,"Link 1"),"")</f>
        <v>Link 1</v>
      </c>
      <c r="Z303" s="50" t="str">
        <f>IF(CCUS_Projects_Database!$S303&lt;&gt;"",HYPERLINK(CCUS_Projects_Database!$S303,"Link 2"),"")</f>
        <v/>
      </c>
      <c r="AA303" s="50" t="str">
        <f>IF(CCUS_Projects_Database!$T303&lt;&gt;"",HYPERLINK(CCUS_Projects_Database!$T303,"Link 3"),"")</f>
        <v/>
      </c>
      <c r="AB303" s="50" t="str">
        <f>IF(CCUS_Projects_Database!$U303&lt;&gt;"",HYPERLINK(CCUS_Projects_Database!$U303,"Link 4"),"")</f>
        <v/>
      </c>
      <c r="AC303" s="50" t="str">
        <f>IF(CCUS_Projects_Database!$V303&lt;&gt;"",HYPERLINK(CCUS_Projects_Database!$V303,"Link 5"),"")</f>
        <v/>
      </c>
      <c r="AD303" s="50" t="str">
        <f>IF(CCUS_Projects_Database!$W303&lt;&gt;"",HYPERLINK(CCUS_Projects_Database!$W303,"Link 6"),"")</f>
        <v/>
      </c>
      <c r="AE303" s="50" t="str">
        <f>IF(CCUS_Projects_Database!$X303&lt;&gt;"",HYPERLINK(CCUS_Projects_Database!$X303,"Link 7"),"")</f>
        <v/>
      </c>
    </row>
    <row r="304" ht="15.75" customHeight="1">
      <c r="A304" s="37" t="s">
        <v>1222</v>
      </c>
      <c r="B304" s="38">
        <v>146.0</v>
      </c>
      <c r="C304" s="38" t="s">
        <v>1218</v>
      </c>
      <c r="D304" s="39" t="s">
        <v>1223</v>
      </c>
      <c r="E304" s="38" t="s">
        <v>8</v>
      </c>
      <c r="F304" s="38">
        <v>2018.0</v>
      </c>
      <c r="G304" s="38" t="s">
        <v>124</v>
      </c>
      <c r="H304" s="38">
        <v>2028.0</v>
      </c>
      <c r="I304" s="38" t="s">
        <v>124</v>
      </c>
      <c r="J304" s="38" t="s">
        <v>28</v>
      </c>
      <c r="K304" s="40" t="s">
        <v>124</v>
      </c>
      <c r="L304" s="51">
        <v>2.5</v>
      </c>
      <c r="M304" s="40">
        <v>2.5</v>
      </c>
      <c r="N304" s="38" t="s">
        <v>54</v>
      </c>
      <c r="O304" s="41" t="s">
        <v>77</v>
      </c>
      <c r="P304" s="42" t="s">
        <v>1220</v>
      </c>
      <c r="Q304" s="38" t="s">
        <v>125</v>
      </c>
      <c r="R304" s="42" t="s">
        <v>1221</v>
      </c>
      <c r="S304" s="42" t="s">
        <v>124</v>
      </c>
      <c r="T304" s="42" t="s">
        <v>124</v>
      </c>
      <c r="U304" s="42" t="s">
        <v>124</v>
      </c>
      <c r="V304" s="42" t="s">
        <v>124</v>
      </c>
      <c r="W304" s="42" t="s">
        <v>124</v>
      </c>
      <c r="X304" s="42" t="s">
        <v>124</v>
      </c>
      <c r="Y304" s="43" t="str">
        <f>IF(CCUS_Projects_Database!$R304&lt;&gt;"",HYPERLINK(CCUS_Projects_Database!$R304,"Link 1"),"")</f>
        <v>Link 1</v>
      </c>
      <c r="Z304" s="43" t="str">
        <f>IF(CCUS_Projects_Database!$S304&lt;&gt;"",HYPERLINK(CCUS_Projects_Database!$S304,"Link 2"),"")</f>
        <v/>
      </c>
      <c r="AA304" s="43" t="str">
        <f>IF(CCUS_Projects_Database!$T304&lt;&gt;"",HYPERLINK(CCUS_Projects_Database!$T304,"Link 3"),"")</f>
        <v/>
      </c>
      <c r="AB304" s="43" t="str">
        <f>IF(CCUS_Projects_Database!$U304&lt;&gt;"",HYPERLINK(CCUS_Projects_Database!$U304,"Link 4"),"")</f>
        <v/>
      </c>
      <c r="AC304" s="43" t="str">
        <f>IF(CCUS_Projects_Database!$V304&lt;&gt;"",HYPERLINK(CCUS_Projects_Database!$V304,"Link 5"),"")</f>
        <v/>
      </c>
      <c r="AD304" s="43" t="str">
        <f>IF(CCUS_Projects_Database!$W304&lt;&gt;"",HYPERLINK(CCUS_Projects_Database!$W304,"Link 6"),"")</f>
        <v/>
      </c>
      <c r="AE304" s="43" t="str">
        <f>IF(CCUS_Projects_Database!$X304&lt;&gt;"",HYPERLINK(CCUS_Projects_Database!$X304,"Link 7"),"")</f>
        <v/>
      </c>
    </row>
    <row r="305" ht="15.75" customHeight="1">
      <c r="A305" s="44" t="s">
        <v>1224</v>
      </c>
      <c r="B305" s="45">
        <v>147.0</v>
      </c>
      <c r="C305" s="45" t="s">
        <v>1218</v>
      </c>
      <c r="D305" s="46" t="s">
        <v>1225</v>
      </c>
      <c r="E305" s="45" t="s">
        <v>8</v>
      </c>
      <c r="F305" s="45">
        <v>2018.0</v>
      </c>
      <c r="G305" s="45" t="s">
        <v>124</v>
      </c>
      <c r="H305" s="45">
        <v>2028.0</v>
      </c>
      <c r="I305" s="45" t="s">
        <v>124</v>
      </c>
      <c r="J305" s="45" t="s">
        <v>28</v>
      </c>
      <c r="K305" s="47" t="s">
        <v>124</v>
      </c>
      <c r="L305" s="47"/>
      <c r="M305" s="47" t="s">
        <v>124</v>
      </c>
      <c r="N305" s="45" t="s">
        <v>46</v>
      </c>
      <c r="O305" s="48" t="s">
        <v>77</v>
      </c>
      <c r="P305" s="49" t="s">
        <v>1220</v>
      </c>
      <c r="Q305" s="45" t="s">
        <v>125</v>
      </c>
      <c r="R305" s="49" t="s">
        <v>1221</v>
      </c>
      <c r="S305" s="49" t="s">
        <v>124</v>
      </c>
      <c r="T305" s="49" t="s">
        <v>124</v>
      </c>
      <c r="U305" s="49" t="s">
        <v>124</v>
      </c>
      <c r="V305" s="49" t="s">
        <v>124</v>
      </c>
      <c r="W305" s="49" t="s">
        <v>124</v>
      </c>
      <c r="X305" s="49" t="s">
        <v>124</v>
      </c>
      <c r="Y305" s="50" t="str">
        <f>IF(CCUS_Projects_Database!$R305&lt;&gt;"",HYPERLINK(CCUS_Projects_Database!$R305,"Link 1"),"")</f>
        <v>Link 1</v>
      </c>
      <c r="Z305" s="50" t="str">
        <f>IF(CCUS_Projects_Database!$S305&lt;&gt;"",HYPERLINK(CCUS_Projects_Database!$S305,"Link 2"),"")</f>
        <v/>
      </c>
      <c r="AA305" s="50" t="str">
        <f>IF(CCUS_Projects_Database!$T305&lt;&gt;"",HYPERLINK(CCUS_Projects_Database!$T305,"Link 3"),"")</f>
        <v/>
      </c>
      <c r="AB305" s="50" t="str">
        <f>IF(CCUS_Projects_Database!$U305&lt;&gt;"",HYPERLINK(CCUS_Projects_Database!$U305,"Link 4"),"")</f>
        <v/>
      </c>
      <c r="AC305" s="50" t="str">
        <f>IF(CCUS_Projects_Database!$V305&lt;&gt;"",HYPERLINK(CCUS_Projects_Database!$V305,"Link 5"),"")</f>
        <v/>
      </c>
      <c r="AD305" s="50" t="str">
        <f>IF(CCUS_Projects_Database!$W305&lt;&gt;"",HYPERLINK(CCUS_Projects_Database!$W305,"Link 6"),"")</f>
        <v/>
      </c>
      <c r="AE305" s="50" t="str">
        <f>IF(CCUS_Projects_Database!$X305&lt;&gt;"",HYPERLINK(CCUS_Projects_Database!$X305,"Link 7"),"")</f>
        <v/>
      </c>
    </row>
    <row r="306" ht="15.75" customHeight="1">
      <c r="A306" s="37" t="s">
        <v>1226</v>
      </c>
      <c r="B306" s="38">
        <v>661.0</v>
      </c>
      <c r="C306" s="38" t="s">
        <v>284</v>
      </c>
      <c r="D306" s="39" t="s">
        <v>1227</v>
      </c>
      <c r="E306" s="38" t="s">
        <v>10</v>
      </c>
      <c r="F306" s="38">
        <v>2022.0</v>
      </c>
      <c r="G306" s="38" t="s">
        <v>124</v>
      </c>
      <c r="H306" s="38">
        <v>2029.0</v>
      </c>
      <c r="I306" s="38" t="s">
        <v>124</v>
      </c>
      <c r="J306" s="38" t="s">
        <v>28</v>
      </c>
      <c r="K306" s="40" t="s">
        <v>124</v>
      </c>
      <c r="L306" s="51">
        <v>20.0</v>
      </c>
      <c r="M306" s="40">
        <v>20.0</v>
      </c>
      <c r="N306" s="38" t="s">
        <v>10</v>
      </c>
      <c r="O306" s="41" t="s">
        <v>71</v>
      </c>
      <c r="P306" s="42" t="s">
        <v>1226</v>
      </c>
      <c r="Q306" s="38" t="s">
        <v>125</v>
      </c>
      <c r="R306" s="42" t="s">
        <v>1228</v>
      </c>
      <c r="S306" s="42" t="s">
        <v>1211</v>
      </c>
      <c r="T306" s="42" t="s">
        <v>124</v>
      </c>
      <c r="U306" s="42" t="s">
        <v>124</v>
      </c>
      <c r="V306" s="42" t="s">
        <v>124</v>
      </c>
      <c r="W306" s="42" t="s">
        <v>124</v>
      </c>
      <c r="X306" s="42" t="s">
        <v>124</v>
      </c>
      <c r="Y306" s="43" t="str">
        <f>IF(CCUS_Projects_Database!$R306&lt;&gt;"",HYPERLINK(CCUS_Projects_Database!$R306,"Link 1"),"")</f>
        <v>Link 1</v>
      </c>
      <c r="Z306" s="43" t="str">
        <f>IF(CCUS_Projects_Database!$S306&lt;&gt;"",HYPERLINK(CCUS_Projects_Database!$S306,"Link 2"),"")</f>
        <v>Link 2</v>
      </c>
      <c r="AA306" s="43" t="str">
        <f>IF(CCUS_Projects_Database!$T306&lt;&gt;"",HYPERLINK(CCUS_Projects_Database!$T306,"Link 3"),"")</f>
        <v/>
      </c>
      <c r="AB306" s="43" t="str">
        <f>IF(CCUS_Projects_Database!$U306&lt;&gt;"",HYPERLINK(CCUS_Projects_Database!$U306,"Link 4"),"")</f>
        <v/>
      </c>
      <c r="AC306" s="43" t="str">
        <f>IF(CCUS_Projects_Database!$V306&lt;&gt;"",HYPERLINK(CCUS_Projects_Database!$V306,"Link 5"),"")</f>
        <v/>
      </c>
      <c r="AD306" s="43" t="str">
        <f>IF(CCUS_Projects_Database!$W306&lt;&gt;"",HYPERLINK(CCUS_Projects_Database!$W306,"Link 6"),"")</f>
        <v/>
      </c>
      <c r="AE306" s="43" t="str">
        <f>IF(CCUS_Projects_Database!$X306&lt;&gt;"",HYPERLINK(CCUS_Projects_Database!$X306,"Link 7"),"")</f>
        <v/>
      </c>
    </row>
    <row r="307" ht="15.75" customHeight="1">
      <c r="A307" s="44" t="s">
        <v>1229</v>
      </c>
      <c r="B307" s="45">
        <v>1093.0</v>
      </c>
      <c r="C307" s="45" t="s">
        <v>247</v>
      </c>
      <c r="D307" s="46" t="s">
        <v>1230</v>
      </c>
      <c r="E307" s="45" t="s">
        <v>8</v>
      </c>
      <c r="F307" s="45">
        <v>2023.0</v>
      </c>
      <c r="G307" s="45" t="s">
        <v>124</v>
      </c>
      <c r="H307" s="45">
        <v>2029.0</v>
      </c>
      <c r="I307" s="45" t="s">
        <v>124</v>
      </c>
      <c r="J307" s="45" t="s">
        <v>28</v>
      </c>
      <c r="K307" s="47" t="s">
        <v>124</v>
      </c>
      <c r="L307" s="52">
        <v>1.0</v>
      </c>
      <c r="M307" s="47">
        <v>1.0</v>
      </c>
      <c r="N307" s="45" t="s">
        <v>56</v>
      </c>
      <c r="O307" s="48" t="s">
        <v>71</v>
      </c>
      <c r="P307" s="49" t="s">
        <v>124</v>
      </c>
      <c r="Q307" s="45" t="s">
        <v>125</v>
      </c>
      <c r="R307" s="49" t="s">
        <v>1231</v>
      </c>
      <c r="S307" s="49" t="s">
        <v>1232</v>
      </c>
      <c r="T307" s="49" t="s">
        <v>124</v>
      </c>
      <c r="U307" s="49" t="s">
        <v>124</v>
      </c>
      <c r="V307" s="49" t="s">
        <v>124</v>
      </c>
      <c r="W307" s="49" t="s">
        <v>124</v>
      </c>
      <c r="X307" s="49" t="s">
        <v>124</v>
      </c>
      <c r="Y307" s="50" t="str">
        <f>IF(CCUS_Projects_Database!$R307&lt;&gt;"",HYPERLINK(CCUS_Projects_Database!$R307,"Link 1"),"")</f>
        <v>Link 1</v>
      </c>
      <c r="Z307" s="50" t="str">
        <f>IF(CCUS_Projects_Database!$S307&lt;&gt;"",HYPERLINK(CCUS_Projects_Database!$S307,"Link 2"),"")</f>
        <v>Link 2</v>
      </c>
      <c r="AA307" s="50" t="str">
        <f>IF(CCUS_Projects_Database!$T307&lt;&gt;"",HYPERLINK(CCUS_Projects_Database!$T307,"Link 3"),"")</f>
        <v/>
      </c>
      <c r="AB307" s="50" t="str">
        <f>IF(CCUS_Projects_Database!$U307&lt;&gt;"",HYPERLINK(CCUS_Projects_Database!$U307,"Link 4"),"")</f>
        <v/>
      </c>
      <c r="AC307" s="50" t="str">
        <f>IF(CCUS_Projects_Database!$V307&lt;&gt;"",HYPERLINK(CCUS_Projects_Database!$V307,"Link 5"),"")</f>
        <v/>
      </c>
      <c r="AD307" s="50" t="str">
        <f>IF(CCUS_Projects_Database!$W307&lt;&gt;"",HYPERLINK(CCUS_Projects_Database!$W307,"Link 6"),"")</f>
        <v/>
      </c>
      <c r="AE307" s="50" t="str">
        <f>IF(CCUS_Projects_Database!$X307&lt;&gt;"",HYPERLINK(CCUS_Projects_Database!$X307,"Link 7"),"")</f>
        <v/>
      </c>
    </row>
    <row r="308" ht="15.75" customHeight="1">
      <c r="A308" s="37" t="s">
        <v>1233</v>
      </c>
      <c r="B308" s="38">
        <v>605.0</v>
      </c>
      <c r="C308" s="38" t="s">
        <v>239</v>
      </c>
      <c r="D308" s="39" t="s">
        <v>1234</v>
      </c>
      <c r="E308" s="38" t="s">
        <v>8</v>
      </c>
      <c r="F308" s="38">
        <v>2022.0</v>
      </c>
      <c r="G308" s="38">
        <v>2026.0</v>
      </c>
      <c r="H308" s="38">
        <v>2030.0</v>
      </c>
      <c r="I308" s="38" t="s">
        <v>124</v>
      </c>
      <c r="J308" s="38" t="s">
        <v>28</v>
      </c>
      <c r="K308" s="40" t="s">
        <v>124</v>
      </c>
      <c r="L308" s="51">
        <v>1.0</v>
      </c>
      <c r="M308" s="40">
        <v>1.0</v>
      </c>
      <c r="N308" s="38" t="s">
        <v>56</v>
      </c>
      <c r="O308" s="41" t="s">
        <v>71</v>
      </c>
      <c r="P308" s="42" t="s">
        <v>124</v>
      </c>
      <c r="Q308" s="38" t="s">
        <v>143</v>
      </c>
      <c r="R308" s="42" t="s">
        <v>1235</v>
      </c>
      <c r="S308" s="42" t="s">
        <v>1236</v>
      </c>
      <c r="T308" s="42" t="s">
        <v>124</v>
      </c>
      <c r="U308" s="42" t="s">
        <v>124</v>
      </c>
      <c r="V308" s="42" t="s">
        <v>124</v>
      </c>
      <c r="W308" s="42" t="s">
        <v>124</v>
      </c>
      <c r="X308" s="42" t="s">
        <v>124</v>
      </c>
      <c r="Y308" s="43" t="str">
        <f>IF(CCUS_Projects_Database!$R308&lt;&gt;"",HYPERLINK(CCUS_Projects_Database!$R308,"Link 1"),"")</f>
        <v>Link 1</v>
      </c>
      <c r="Z308" s="43" t="str">
        <f>IF(CCUS_Projects_Database!$S308&lt;&gt;"",HYPERLINK(CCUS_Projects_Database!$S308,"Link 2"),"")</f>
        <v>Link 2</v>
      </c>
      <c r="AA308" s="43" t="str">
        <f>IF(CCUS_Projects_Database!$T308&lt;&gt;"",HYPERLINK(CCUS_Projects_Database!$T308,"Link 3"),"")</f>
        <v/>
      </c>
      <c r="AB308" s="43" t="str">
        <f>IF(CCUS_Projects_Database!$U308&lt;&gt;"",HYPERLINK(CCUS_Projects_Database!$U308,"Link 4"),"")</f>
        <v/>
      </c>
      <c r="AC308" s="43" t="str">
        <f>IF(CCUS_Projects_Database!$V308&lt;&gt;"",HYPERLINK(CCUS_Projects_Database!$V308,"Link 5"),"")</f>
        <v/>
      </c>
      <c r="AD308" s="43" t="str">
        <f>IF(CCUS_Projects_Database!$W308&lt;&gt;"",HYPERLINK(CCUS_Projects_Database!$W308,"Link 6"),"")</f>
        <v/>
      </c>
      <c r="AE308" s="43" t="str">
        <f>IF(CCUS_Projects_Database!$X308&lt;&gt;"",HYPERLINK(CCUS_Projects_Database!$X308,"Link 7"),"")</f>
        <v/>
      </c>
    </row>
    <row r="309" ht="15.75" customHeight="1">
      <c r="A309" s="44" t="s">
        <v>1237</v>
      </c>
      <c r="B309" s="45">
        <v>149.0</v>
      </c>
      <c r="C309" s="45" t="s">
        <v>311</v>
      </c>
      <c r="D309" s="46" t="s">
        <v>1238</v>
      </c>
      <c r="E309" s="45" t="s">
        <v>8</v>
      </c>
      <c r="F309" s="45">
        <v>2021.0</v>
      </c>
      <c r="G309" s="45">
        <v>2024.0</v>
      </c>
      <c r="H309" s="45">
        <v>2030.0</v>
      </c>
      <c r="I309" s="45" t="s">
        <v>124</v>
      </c>
      <c r="J309" s="45" t="s">
        <v>28</v>
      </c>
      <c r="K309" s="47" t="s">
        <v>124</v>
      </c>
      <c r="L309" s="47"/>
      <c r="M309" s="47" t="s">
        <v>124</v>
      </c>
      <c r="N309" s="45" t="s">
        <v>54</v>
      </c>
      <c r="O309" s="48" t="s">
        <v>77</v>
      </c>
      <c r="P309" s="49" t="s">
        <v>124</v>
      </c>
      <c r="Q309" s="45" t="s">
        <v>125</v>
      </c>
      <c r="R309" s="49" t="s">
        <v>124</v>
      </c>
      <c r="S309" s="49" t="s">
        <v>124</v>
      </c>
      <c r="T309" s="49" t="s">
        <v>124</v>
      </c>
      <c r="U309" s="49" t="s">
        <v>124</v>
      </c>
      <c r="V309" s="49" t="s">
        <v>124</v>
      </c>
      <c r="W309" s="49" t="s">
        <v>124</v>
      </c>
      <c r="X309" s="49" t="s">
        <v>124</v>
      </c>
      <c r="Y309" s="50" t="str">
        <f>IF(CCUS_Projects_Database!$R309&lt;&gt;"",HYPERLINK(CCUS_Projects_Database!$R309,"Link 1"),"")</f>
        <v/>
      </c>
      <c r="Z309" s="50" t="str">
        <f>IF(CCUS_Projects_Database!$S309&lt;&gt;"",HYPERLINK(CCUS_Projects_Database!$S309,"Link 2"),"")</f>
        <v/>
      </c>
      <c r="AA309" s="50" t="str">
        <f>IF(CCUS_Projects_Database!$T309&lt;&gt;"",HYPERLINK(CCUS_Projects_Database!$T309,"Link 3"),"")</f>
        <v/>
      </c>
      <c r="AB309" s="50" t="str">
        <f>IF(CCUS_Projects_Database!$U309&lt;&gt;"",HYPERLINK(CCUS_Projects_Database!$U309,"Link 4"),"")</f>
        <v/>
      </c>
      <c r="AC309" s="50" t="str">
        <f>IF(CCUS_Projects_Database!$V309&lt;&gt;"",HYPERLINK(CCUS_Projects_Database!$V309,"Link 5"),"")</f>
        <v/>
      </c>
      <c r="AD309" s="50" t="str">
        <f>IF(CCUS_Projects_Database!$W309&lt;&gt;"",HYPERLINK(CCUS_Projects_Database!$W309,"Link 6"),"")</f>
        <v/>
      </c>
      <c r="AE309" s="50" t="str">
        <f>IF(CCUS_Projects_Database!$X309&lt;&gt;"",HYPERLINK(CCUS_Projects_Database!$X309,"Link 7"),"")</f>
        <v/>
      </c>
    </row>
    <row r="310" ht="15.75" customHeight="1">
      <c r="A310" s="37" t="s">
        <v>1239</v>
      </c>
      <c r="B310" s="38">
        <v>148.0</v>
      </c>
      <c r="C310" s="38" t="s">
        <v>141</v>
      </c>
      <c r="D310" s="39" t="s">
        <v>1240</v>
      </c>
      <c r="E310" s="38" t="s">
        <v>8</v>
      </c>
      <c r="F310" s="38">
        <v>2022.0</v>
      </c>
      <c r="G310" s="38">
        <v>2024.0</v>
      </c>
      <c r="H310" s="38">
        <v>2028.0</v>
      </c>
      <c r="I310" s="38" t="s">
        <v>124</v>
      </c>
      <c r="J310" s="38" t="s">
        <v>28</v>
      </c>
      <c r="K310" s="40" t="s">
        <v>124</v>
      </c>
      <c r="L310" s="51">
        <v>7.0</v>
      </c>
      <c r="M310" s="40">
        <v>7.0</v>
      </c>
      <c r="N310" s="38" t="s">
        <v>54</v>
      </c>
      <c r="O310" s="41" t="s">
        <v>71</v>
      </c>
      <c r="P310" s="42" t="s">
        <v>1241</v>
      </c>
      <c r="Q310" s="38" t="s">
        <v>143</v>
      </c>
      <c r="R310" s="42" t="s">
        <v>1242</v>
      </c>
      <c r="S310" s="42" t="s">
        <v>1243</v>
      </c>
      <c r="T310" s="42" t="s">
        <v>1243</v>
      </c>
      <c r="U310" s="42" t="s">
        <v>1244</v>
      </c>
      <c r="V310" s="42" t="s">
        <v>124</v>
      </c>
      <c r="W310" s="42" t="s">
        <v>124</v>
      </c>
      <c r="X310" s="42" t="s">
        <v>124</v>
      </c>
      <c r="Y310" s="43" t="str">
        <f>IF(CCUS_Projects_Database!$R310&lt;&gt;"",HYPERLINK(CCUS_Projects_Database!$R310,"Link 1"),"")</f>
        <v>Link 1</v>
      </c>
      <c r="Z310" s="43" t="str">
        <f>IF(CCUS_Projects_Database!$S310&lt;&gt;"",HYPERLINK(CCUS_Projects_Database!$S310,"Link 2"),"")</f>
        <v>Link 2</v>
      </c>
      <c r="AA310" s="43" t="str">
        <f>IF(CCUS_Projects_Database!$T310&lt;&gt;"",HYPERLINK(CCUS_Projects_Database!$T310,"Link 3"),"")</f>
        <v>Link 3</v>
      </c>
      <c r="AB310" s="43" t="str">
        <f>IF(CCUS_Projects_Database!$U310&lt;&gt;"",HYPERLINK(CCUS_Projects_Database!$U310,"Link 4"),"")</f>
        <v>Link 4</v>
      </c>
      <c r="AC310" s="43" t="str">
        <f>IF(CCUS_Projects_Database!$V310&lt;&gt;"",HYPERLINK(CCUS_Projects_Database!$V310,"Link 5"),"")</f>
        <v/>
      </c>
      <c r="AD310" s="43" t="str">
        <f>IF(CCUS_Projects_Database!$W310&lt;&gt;"",HYPERLINK(CCUS_Projects_Database!$W310,"Link 6"),"")</f>
        <v/>
      </c>
      <c r="AE310" s="43" t="str">
        <f>IF(CCUS_Projects_Database!$X310&lt;&gt;"",HYPERLINK(CCUS_Projects_Database!$X310,"Link 7"),"")</f>
        <v/>
      </c>
    </row>
    <row r="311" ht="15.75" customHeight="1">
      <c r="A311" s="44" t="s">
        <v>1245</v>
      </c>
      <c r="B311" s="45">
        <v>151.0</v>
      </c>
      <c r="C311" s="45" t="s">
        <v>157</v>
      </c>
      <c r="D311" s="46" t="s">
        <v>1246</v>
      </c>
      <c r="E311" s="45" t="s">
        <v>8</v>
      </c>
      <c r="F311" s="45">
        <v>2021.0</v>
      </c>
      <c r="G311" s="45" t="s">
        <v>124</v>
      </c>
      <c r="H311" s="45">
        <v>2030.0</v>
      </c>
      <c r="I311" s="45" t="s">
        <v>124</v>
      </c>
      <c r="J311" s="45" t="s">
        <v>28</v>
      </c>
      <c r="K311" s="47" t="s">
        <v>124</v>
      </c>
      <c r="L311" s="52">
        <v>2.0</v>
      </c>
      <c r="M311" s="47">
        <v>2.0</v>
      </c>
      <c r="N311" s="45" t="s">
        <v>54</v>
      </c>
      <c r="O311" s="48" t="s">
        <v>71</v>
      </c>
      <c r="P311" s="49" t="s">
        <v>124</v>
      </c>
      <c r="Q311" s="45" t="s">
        <v>125</v>
      </c>
      <c r="R311" s="49" t="s">
        <v>1247</v>
      </c>
      <c r="S311" s="49" t="s">
        <v>1248</v>
      </c>
      <c r="T311" s="49" t="s">
        <v>1249</v>
      </c>
      <c r="U311" s="49" t="s">
        <v>124</v>
      </c>
      <c r="V311" s="49" t="s">
        <v>124</v>
      </c>
      <c r="W311" s="49" t="s">
        <v>124</v>
      </c>
      <c r="X311" s="49" t="s">
        <v>124</v>
      </c>
      <c r="Y311" s="50" t="str">
        <f>IF(CCUS_Projects_Database!$R311&lt;&gt;"",HYPERLINK(CCUS_Projects_Database!$R311,"Link 1"),"")</f>
        <v>Link 1</v>
      </c>
      <c r="Z311" s="50" t="str">
        <f>IF(CCUS_Projects_Database!$S311&lt;&gt;"",HYPERLINK(CCUS_Projects_Database!$S311,"Link 2"),"")</f>
        <v>Link 2</v>
      </c>
      <c r="AA311" s="50" t="str">
        <f>IF(CCUS_Projects_Database!$T311&lt;&gt;"",HYPERLINK(CCUS_Projects_Database!$T311,"Link 3"),"")</f>
        <v>Link 3</v>
      </c>
      <c r="AB311" s="50" t="str">
        <f>IF(CCUS_Projects_Database!$U311&lt;&gt;"",HYPERLINK(CCUS_Projects_Database!$U311,"Link 4"),"")</f>
        <v/>
      </c>
      <c r="AC311" s="50" t="str">
        <f>IF(CCUS_Projects_Database!$V311&lt;&gt;"",HYPERLINK(CCUS_Projects_Database!$V311,"Link 5"),"")</f>
        <v/>
      </c>
      <c r="AD311" s="50" t="str">
        <f>IF(CCUS_Projects_Database!$W311&lt;&gt;"",HYPERLINK(CCUS_Projects_Database!$W311,"Link 6"),"")</f>
        <v/>
      </c>
      <c r="AE311" s="50" t="str">
        <f>IF(CCUS_Projects_Database!$X311&lt;&gt;"",HYPERLINK(CCUS_Projects_Database!$X311,"Link 7"),"")</f>
        <v/>
      </c>
    </row>
    <row r="312" ht="15.75" customHeight="1">
      <c r="A312" s="37" t="s">
        <v>1250</v>
      </c>
      <c r="B312" s="38">
        <v>806.0</v>
      </c>
      <c r="C312" s="38" t="s">
        <v>141</v>
      </c>
      <c r="D312" s="39" t="s">
        <v>1251</v>
      </c>
      <c r="E312" s="38" t="s">
        <v>12</v>
      </c>
      <c r="F312" s="38">
        <v>2022.0</v>
      </c>
      <c r="G312" s="38" t="s">
        <v>124</v>
      </c>
      <c r="H312" s="38">
        <v>2026.0</v>
      </c>
      <c r="I312" s="38" t="s">
        <v>124</v>
      </c>
      <c r="J312" s="38" t="s">
        <v>28</v>
      </c>
      <c r="K312" s="40" t="s">
        <v>124</v>
      </c>
      <c r="L312" s="51">
        <v>5.0</v>
      </c>
      <c r="M312" s="40">
        <v>5.0</v>
      </c>
      <c r="N312" s="38" t="s">
        <v>12</v>
      </c>
      <c r="O312" s="41" t="s">
        <v>71</v>
      </c>
      <c r="P312" s="42" t="s">
        <v>1250</v>
      </c>
      <c r="Q312" s="38" t="s">
        <v>143</v>
      </c>
      <c r="R312" s="42" t="s">
        <v>1200</v>
      </c>
      <c r="S312" s="42" t="s">
        <v>1252</v>
      </c>
      <c r="T312" s="42" t="s">
        <v>1253</v>
      </c>
      <c r="U312" s="42" t="s">
        <v>124</v>
      </c>
      <c r="V312" s="42" t="s">
        <v>124</v>
      </c>
      <c r="W312" s="42" t="s">
        <v>124</v>
      </c>
      <c r="X312" s="42" t="s">
        <v>124</v>
      </c>
      <c r="Y312" s="43" t="str">
        <f>IF(CCUS_Projects_Database!$R312&lt;&gt;"",HYPERLINK(CCUS_Projects_Database!$R312,"Link 1"),"")</f>
        <v>Link 1</v>
      </c>
      <c r="Z312" s="43" t="str">
        <f>IF(CCUS_Projects_Database!$S312&lt;&gt;"",HYPERLINK(CCUS_Projects_Database!$S312,"Link 2"),"")</f>
        <v>Link 2</v>
      </c>
      <c r="AA312" s="43" t="str">
        <f>IF(CCUS_Projects_Database!$T312&lt;&gt;"",HYPERLINK(CCUS_Projects_Database!$T312,"Link 3"),"")</f>
        <v>Link 3</v>
      </c>
      <c r="AB312" s="43" t="str">
        <f>IF(CCUS_Projects_Database!$U312&lt;&gt;"",HYPERLINK(CCUS_Projects_Database!$U312,"Link 4"),"")</f>
        <v/>
      </c>
      <c r="AC312" s="43" t="str">
        <f>IF(CCUS_Projects_Database!$V312&lt;&gt;"",HYPERLINK(CCUS_Projects_Database!$V312,"Link 5"),"")</f>
        <v/>
      </c>
      <c r="AD312" s="43" t="str">
        <f>IF(CCUS_Projects_Database!$W312&lt;&gt;"",HYPERLINK(CCUS_Projects_Database!$W312,"Link 6"),"")</f>
        <v/>
      </c>
      <c r="AE312" s="43" t="str">
        <f>IF(CCUS_Projects_Database!$X312&lt;&gt;"",HYPERLINK(CCUS_Projects_Database!$X312,"Link 7"),"")</f>
        <v/>
      </c>
    </row>
    <row r="313" ht="15.75" customHeight="1">
      <c r="A313" s="44" t="s">
        <v>1254</v>
      </c>
      <c r="B313" s="45">
        <v>773.0</v>
      </c>
      <c r="C313" s="45" t="s">
        <v>157</v>
      </c>
      <c r="D313" s="46" t="s">
        <v>1255</v>
      </c>
      <c r="E313" s="45" t="s">
        <v>8</v>
      </c>
      <c r="F313" s="45">
        <v>2023.0</v>
      </c>
      <c r="G313" s="45" t="s">
        <v>124</v>
      </c>
      <c r="H313" s="45">
        <v>2030.0</v>
      </c>
      <c r="I313" s="45" t="s">
        <v>124</v>
      </c>
      <c r="J313" s="45" t="s">
        <v>28</v>
      </c>
      <c r="K313" s="47" t="s">
        <v>124</v>
      </c>
      <c r="L313" s="52">
        <v>1.2</v>
      </c>
      <c r="M313" s="47">
        <v>1.2</v>
      </c>
      <c r="N313" s="45" t="s">
        <v>46</v>
      </c>
      <c r="O313" s="48" t="s">
        <v>71</v>
      </c>
      <c r="P313" s="49" t="s">
        <v>281</v>
      </c>
      <c r="Q313" s="45" t="s">
        <v>125</v>
      </c>
      <c r="R313" s="49" t="s">
        <v>1256</v>
      </c>
      <c r="S313" s="49" t="s">
        <v>1257</v>
      </c>
      <c r="T313" s="49" t="s">
        <v>1258</v>
      </c>
      <c r="U313" s="49" t="s">
        <v>124</v>
      </c>
      <c r="V313" s="49" t="s">
        <v>124</v>
      </c>
      <c r="W313" s="49" t="s">
        <v>124</v>
      </c>
      <c r="X313" s="49" t="s">
        <v>124</v>
      </c>
      <c r="Y313" s="50" t="str">
        <f>IF(CCUS_Projects_Database!$R313&lt;&gt;"",HYPERLINK(CCUS_Projects_Database!$R313,"Link 1"),"")</f>
        <v>Link 1</v>
      </c>
      <c r="Z313" s="50" t="str">
        <f>IF(CCUS_Projects_Database!$S313&lt;&gt;"",HYPERLINK(CCUS_Projects_Database!$S313,"Link 2"),"")</f>
        <v>Link 2</v>
      </c>
      <c r="AA313" s="50" t="str">
        <f>IF(CCUS_Projects_Database!$T313&lt;&gt;"",HYPERLINK(CCUS_Projects_Database!$T313,"Link 3"),"")</f>
        <v>Link 3</v>
      </c>
      <c r="AB313" s="50" t="str">
        <f>IF(CCUS_Projects_Database!$U313&lt;&gt;"",HYPERLINK(CCUS_Projects_Database!$U313,"Link 4"),"")</f>
        <v/>
      </c>
      <c r="AC313" s="50" t="str">
        <f>IF(CCUS_Projects_Database!$V313&lt;&gt;"",HYPERLINK(CCUS_Projects_Database!$V313,"Link 5"),"")</f>
        <v/>
      </c>
      <c r="AD313" s="50" t="str">
        <f>IF(CCUS_Projects_Database!$W313&lt;&gt;"",HYPERLINK(CCUS_Projects_Database!$W313,"Link 6"),"")</f>
        <v/>
      </c>
      <c r="AE313" s="50" t="str">
        <f>IF(CCUS_Projects_Database!$X313&lt;&gt;"",HYPERLINK(CCUS_Projects_Database!$X313,"Link 7"),"")</f>
        <v/>
      </c>
    </row>
    <row r="314" ht="15.75" customHeight="1">
      <c r="A314" s="37" t="s">
        <v>1259</v>
      </c>
      <c r="B314" s="38">
        <v>152.0</v>
      </c>
      <c r="C314" s="38" t="s">
        <v>141</v>
      </c>
      <c r="D314" s="39" t="s">
        <v>1260</v>
      </c>
      <c r="E314" s="38" t="s">
        <v>6</v>
      </c>
      <c r="F314" s="38">
        <v>2022.0</v>
      </c>
      <c r="G314" s="38" t="s">
        <v>124</v>
      </c>
      <c r="H314" s="38">
        <v>2032.0</v>
      </c>
      <c r="I314" s="38" t="s">
        <v>124</v>
      </c>
      <c r="J314" s="38" t="s">
        <v>28</v>
      </c>
      <c r="K314" s="40" t="s">
        <v>124</v>
      </c>
      <c r="L314" s="51">
        <v>1.0</v>
      </c>
      <c r="M314" s="40">
        <v>1.0</v>
      </c>
      <c r="N314" s="38" t="s">
        <v>46</v>
      </c>
      <c r="O314" s="41" t="s">
        <v>71</v>
      </c>
      <c r="P314" s="42" t="s">
        <v>124</v>
      </c>
      <c r="Q314" s="38" t="s">
        <v>143</v>
      </c>
      <c r="R314" s="42" t="s">
        <v>1261</v>
      </c>
      <c r="S314" s="42" t="s">
        <v>1262</v>
      </c>
      <c r="T314" s="42" t="s">
        <v>124</v>
      </c>
      <c r="U314" s="42" t="s">
        <v>124</v>
      </c>
      <c r="V314" s="42" t="s">
        <v>124</v>
      </c>
      <c r="W314" s="42" t="s">
        <v>124</v>
      </c>
      <c r="X314" s="42" t="s">
        <v>124</v>
      </c>
      <c r="Y314" s="43" t="str">
        <f>IF(CCUS_Projects_Database!$R314&lt;&gt;"",HYPERLINK(CCUS_Projects_Database!$R314,"Link 1"),"")</f>
        <v>Link 1</v>
      </c>
      <c r="Z314" s="43" t="str">
        <f>IF(CCUS_Projects_Database!$S314&lt;&gt;"",HYPERLINK(CCUS_Projects_Database!$S314,"Link 2"),"")</f>
        <v>Link 2</v>
      </c>
      <c r="AA314" s="43" t="str">
        <f>IF(CCUS_Projects_Database!$T314&lt;&gt;"",HYPERLINK(CCUS_Projects_Database!$T314,"Link 3"),"")</f>
        <v/>
      </c>
      <c r="AB314" s="43" t="str">
        <f>IF(CCUS_Projects_Database!$U314&lt;&gt;"",HYPERLINK(CCUS_Projects_Database!$U314,"Link 4"),"")</f>
        <v/>
      </c>
      <c r="AC314" s="43" t="str">
        <f>IF(CCUS_Projects_Database!$V314&lt;&gt;"",HYPERLINK(CCUS_Projects_Database!$V314,"Link 5"),"")</f>
        <v/>
      </c>
      <c r="AD314" s="43" t="str">
        <f>IF(CCUS_Projects_Database!$W314&lt;&gt;"",HYPERLINK(CCUS_Projects_Database!$W314,"Link 6"),"")</f>
        <v/>
      </c>
      <c r="AE314" s="43" t="str">
        <f>IF(CCUS_Projects_Database!$X314&lt;&gt;"",HYPERLINK(CCUS_Projects_Database!$X314,"Link 7"),"")</f>
        <v/>
      </c>
    </row>
    <row r="315" ht="15.75" customHeight="1">
      <c r="A315" s="44" t="s">
        <v>1263</v>
      </c>
      <c r="B315" s="45">
        <v>1017.0</v>
      </c>
      <c r="C315" s="45" t="s">
        <v>157</v>
      </c>
      <c r="D315" s="46" t="s">
        <v>1264</v>
      </c>
      <c r="E315" s="45" t="s">
        <v>8</v>
      </c>
      <c r="F315" s="45">
        <v>2021.0</v>
      </c>
      <c r="G315" s="45" t="s">
        <v>124</v>
      </c>
      <c r="H315" s="45" t="s">
        <v>124</v>
      </c>
      <c r="I315" s="45" t="s">
        <v>124</v>
      </c>
      <c r="J315" s="45" t="s">
        <v>28</v>
      </c>
      <c r="K315" s="47" t="s">
        <v>124</v>
      </c>
      <c r="L315" s="47"/>
      <c r="M315" s="47" t="s">
        <v>124</v>
      </c>
      <c r="N315" s="45" t="s">
        <v>60</v>
      </c>
      <c r="O315" s="48" t="s">
        <v>71</v>
      </c>
      <c r="P315" s="49" t="s">
        <v>159</v>
      </c>
      <c r="Q315" s="45" t="s">
        <v>125</v>
      </c>
      <c r="R315" s="49" t="s">
        <v>1265</v>
      </c>
      <c r="S315" s="49" t="s">
        <v>124</v>
      </c>
      <c r="T315" s="49" t="s">
        <v>124</v>
      </c>
      <c r="U315" s="49" t="s">
        <v>124</v>
      </c>
      <c r="V315" s="49" t="s">
        <v>124</v>
      </c>
      <c r="W315" s="49" t="s">
        <v>124</v>
      </c>
      <c r="X315" s="49" t="s">
        <v>124</v>
      </c>
      <c r="Y315" s="50" t="str">
        <f>IF(CCUS_Projects_Database!$R315&lt;&gt;"",HYPERLINK(CCUS_Projects_Database!$R315,"Link 1"),"")</f>
        <v>Link 1</v>
      </c>
      <c r="Z315" s="50" t="str">
        <f>IF(CCUS_Projects_Database!$S315&lt;&gt;"",HYPERLINK(CCUS_Projects_Database!$S315,"Link 2"),"")</f>
        <v/>
      </c>
      <c r="AA315" s="50" t="str">
        <f>IF(CCUS_Projects_Database!$T315&lt;&gt;"",HYPERLINK(CCUS_Projects_Database!$T315,"Link 3"),"")</f>
        <v/>
      </c>
      <c r="AB315" s="50" t="str">
        <f>IF(CCUS_Projects_Database!$U315&lt;&gt;"",HYPERLINK(CCUS_Projects_Database!$U315,"Link 4"),"")</f>
        <v/>
      </c>
      <c r="AC315" s="50" t="str">
        <f>IF(CCUS_Projects_Database!$V315&lt;&gt;"",HYPERLINK(CCUS_Projects_Database!$V315,"Link 5"),"")</f>
        <v/>
      </c>
      <c r="AD315" s="50" t="str">
        <f>IF(CCUS_Projects_Database!$W315&lt;&gt;"",HYPERLINK(CCUS_Projects_Database!$W315,"Link 6"),"")</f>
        <v/>
      </c>
      <c r="AE315" s="50" t="str">
        <f>IF(CCUS_Projects_Database!$X315&lt;&gt;"",HYPERLINK(CCUS_Projects_Database!$X315,"Link 7"),"")</f>
        <v/>
      </c>
    </row>
    <row r="316" ht="15.75" customHeight="1">
      <c r="A316" s="37" t="s">
        <v>1266</v>
      </c>
      <c r="B316" s="38">
        <v>968.0</v>
      </c>
      <c r="C316" s="38" t="s">
        <v>257</v>
      </c>
      <c r="D316" s="39" t="s">
        <v>1267</v>
      </c>
      <c r="E316" s="38" t="s">
        <v>8</v>
      </c>
      <c r="F316" s="38">
        <v>2022.0</v>
      </c>
      <c r="G316" s="38">
        <v>2025.0</v>
      </c>
      <c r="H316" s="38">
        <v>2029.0</v>
      </c>
      <c r="I316" s="38" t="s">
        <v>124</v>
      </c>
      <c r="J316" s="38" t="s">
        <v>28</v>
      </c>
      <c r="K316" s="40" t="s">
        <v>124</v>
      </c>
      <c r="L316" s="40"/>
      <c r="M316" s="40" t="s">
        <v>124</v>
      </c>
      <c r="N316" s="38" t="s">
        <v>46</v>
      </c>
      <c r="O316" s="41" t="s">
        <v>77</v>
      </c>
      <c r="P316" s="42" t="s">
        <v>124</v>
      </c>
      <c r="Q316" s="38" t="s">
        <v>125</v>
      </c>
      <c r="R316" s="42" t="s">
        <v>1268</v>
      </c>
      <c r="S316" s="42" t="s">
        <v>1269</v>
      </c>
      <c r="T316" s="42" t="s">
        <v>124</v>
      </c>
      <c r="U316" s="42" t="s">
        <v>124</v>
      </c>
      <c r="V316" s="42" t="s">
        <v>124</v>
      </c>
      <c r="W316" s="42" t="s">
        <v>124</v>
      </c>
      <c r="X316" s="42" t="s">
        <v>124</v>
      </c>
      <c r="Y316" s="43" t="str">
        <f>IF(CCUS_Projects_Database!$R316&lt;&gt;"",HYPERLINK(CCUS_Projects_Database!$R316,"Link 1"),"")</f>
        <v>Link 1</v>
      </c>
      <c r="Z316" s="43" t="str">
        <f>IF(CCUS_Projects_Database!$S316&lt;&gt;"",HYPERLINK(CCUS_Projects_Database!$S316,"Link 2"),"")</f>
        <v>Link 2</v>
      </c>
      <c r="AA316" s="43" t="str">
        <f>IF(CCUS_Projects_Database!$T316&lt;&gt;"",HYPERLINK(CCUS_Projects_Database!$T316,"Link 3"),"")</f>
        <v/>
      </c>
      <c r="AB316" s="43" t="str">
        <f>IF(CCUS_Projects_Database!$U316&lt;&gt;"",HYPERLINK(CCUS_Projects_Database!$U316,"Link 4"),"")</f>
        <v/>
      </c>
      <c r="AC316" s="43" t="str">
        <f>IF(CCUS_Projects_Database!$V316&lt;&gt;"",HYPERLINK(CCUS_Projects_Database!$V316,"Link 5"),"")</f>
        <v/>
      </c>
      <c r="AD316" s="43" t="str">
        <f>IF(CCUS_Projects_Database!$W316&lt;&gt;"",HYPERLINK(CCUS_Projects_Database!$W316,"Link 6"),"")</f>
        <v/>
      </c>
      <c r="AE316" s="43" t="str">
        <f>IF(CCUS_Projects_Database!$X316&lt;&gt;"",HYPERLINK(CCUS_Projects_Database!$X316,"Link 7"),"")</f>
        <v/>
      </c>
    </row>
    <row r="317" ht="15.75" customHeight="1">
      <c r="A317" s="44" t="s">
        <v>1270</v>
      </c>
      <c r="B317" s="45">
        <v>909.0</v>
      </c>
      <c r="C317" s="45" t="s">
        <v>141</v>
      </c>
      <c r="D317" s="46" t="s">
        <v>1271</v>
      </c>
      <c r="E317" s="45" t="s">
        <v>135</v>
      </c>
      <c r="F317" s="45">
        <v>2023.0</v>
      </c>
      <c r="G317" s="45" t="s">
        <v>124</v>
      </c>
      <c r="H317" s="45" t="s">
        <v>124</v>
      </c>
      <c r="I317" s="45" t="s">
        <v>124</v>
      </c>
      <c r="J317" s="45" t="s">
        <v>28</v>
      </c>
      <c r="K317" s="47" t="s">
        <v>124</v>
      </c>
      <c r="L317" s="47"/>
      <c r="M317" s="47" t="s">
        <v>124</v>
      </c>
      <c r="N317" s="45" t="s">
        <v>46</v>
      </c>
      <c r="O317" s="48" t="s">
        <v>77</v>
      </c>
      <c r="P317" s="49" t="s">
        <v>124</v>
      </c>
      <c r="Q317" s="45" t="s">
        <v>143</v>
      </c>
      <c r="R317" s="49" t="s">
        <v>1272</v>
      </c>
      <c r="S317" s="49" t="s">
        <v>124</v>
      </c>
      <c r="T317" s="49" t="s">
        <v>124</v>
      </c>
      <c r="U317" s="49" t="s">
        <v>124</v>
      </c>
      <c r="V317" s="49" t="s">
        <v>124</v>
      </c>
      <c r="W317" s="49" t="s">
        <v>124</v>
      </c>
      <c r="X317" s="49" t="s">
        <v>124</v>
      </c>
      <c r="Y317" s="50" t="str">
        <f>IF(CCUS_Projects_Database!$R317&lt;&gt;"",HYPERLINK(CCUS_Projects_Database!$R317,"Link 1"),"")</f>
        <v>Link 1</v>
      </c>
      <c r="Z317" s="50" t="str">
        <f>IF(CCUS_Projects_Database!$S317&lt;&gt;"",HYPERLINK(CCUS_Projects_Database!$S317,"Link 2"),"")</f>
        <v/>
      </c>
      <c r="AA317" s="50" t="str">
        <f>IF(CCUS_Projects_Database!$T317&lt;&gt;"",HYPERLINK(CCUS_Projects_Database!$T317,"Link 3"),"")</f>
        <v/>
      </c>
      <c r="AB317" s="50" t="str">
        <f>IF(CCUS_Projects_Database!$U317&lt;&gt;"",HYPERLINK(CCUS_Projects_Database!$U317,"Link 4"),"")</f>
        <v/>
      </c>
      <c r="AC317" s="50" t="str">
        <f>IF(CCUS_Projects_Database!$V317&lt;&gt;"",HYPERLINK(CCUS_Projects_Database!$V317,"Link 5"),"")</f>
        <v/>
      </c>
      <c r="AD317" s="50" t="str">
        <f>IF(CCUS_Projects_Database!$W317&lt;&gt;"",HYPERLINK(CCUS_Projects_Database!$W317,"Link 6"),"")</f>
        <v/>
      </c>
      <c r="AE317" s="50" t="str">
        <f>IF(CCUS_Projects_Database!$X317&lt;&gt;"",HYPERLINK(CCUS_Projects_Database!$X317,"Link 7"),"")</f>
        <v/>
      </c>
    </row>
    <row r="318" ht="15.75" customHeight="1">
      <c r="A318" s="37" t="s">
        <v>1273</v>
      </c>
      <c r="B318" s="38">
        <v>990.0</v>
      </c>
      <c r="C318" s="38" t="s">
        <v>257</v>
      </c>
      <c r="D318" s="39" t="s">
        <v>1274</v>
      </c>
      <c r="E318" s="38" t="s">
        <v>16</v>
      </c>
      <c r="F318" s="38">
        <v>2023.0</v>
      </c>
      <c r="G318" s="38">
        <v>2024.0</v>
      </c>
      <c r="H318" s="38">
        <v>2026.0</v>
      </c>
      <c r="I318" s="38" t="s">
        <v>124</v>
      </c>
      <c r="J318" s="38" t="s">
        <v>28</v>
      </c>
      <c r="K318" s="40" t="s">
        <v>124</v>
      </c>
      <c r="L318" s="40"/>
      <c r="M318" s="40">
        <v>0.136</v>
      </c>
      <c r="N318" s="38" t="s">
        <v>46</v>
      </c>
      <c r="O318" s="41" t="s">
        <v>75</v>
      </c>
      <c r="P318" s="42" t="s">
        <v>124</v>
      </c>
      <c r="Q318" s="38" t="s">
        <v>125</v>
      </c>
      <c r="R318" s="42" t="s">
        <v>1275</v>
      </c>
      <c r="S318" s="42" t="s">
        <v>1276</v>
      </c>
      <c r="T318" s="42" t="s">
        <v>124</v>
      </c>
      <c r="U318" s="42" t="s">
        <v>124</v>
      </c>
      <c r="V318" s="42" t="s">
        <v>124</v>
      </c>
      <c r="W318" s="42" t="s">
        <v>124</v>
      </c>
      <c r="X318" s="42" t="s">
        <v>124</v>
      </c>
      <c r="Y318" s="43" t="str">
        <f>IF(CCUS_Projects_Database!$R318&lt;&gt;"",HYPERLINK(CCUS_Projects_Database!$R318,"Link 1"),"")</f>
        <v>Link 1</v>
      </c>
      <c r="Z318" s="43" t="str">
        <f>IF(CCUS_Projects_Database!$S318&lt;&gt;"",HYPERLINK(CCUS_Projects_Database!$S318,"Link 2"),"")</f>
        <v>Link 2</v>
      </c>
      <c r="AA318" s="43" t="str">
        <f>IF(CCUS_Projects_Database!$T318&lt;&gt;"",HYPERLINK(CCUS_Projects_Database!$T318,"Link 3"),"")</f>
        <v/>
      </c>
      <c r="AB318" s="43" t="str">
        <f>IF(CCUS_Projects_Database!$U318&lt;&gt;"",HYPERLINK(CCUS_Projects_Database!$U318,"Link 4"),"")</f>
        <v/>
      </c>
      <c r="AC318" s="43" t="str">
        <f>IF(CCUS_Projects_Database!$V318&lt;&gt;"",HYPERLINK(CCUS_Projects_Database!$V318,"Link 5"),"")</f>
        <v/>
      </c>
      <c r="AD318" s="43" t="str">
        <f>IF(CCUS_Projects_Database!$W318&lt;&gt;"",HYPERLINK(CCUS_Projects_Database!$W318,"Link 6"),"")</f>
        <v/>
      </c>
      <c r="AE318" s="43" t="str">
        <f>IF(CCUS_Projects_Database!$X318&lt;&gt;"",HYPERLINK(CCUS_Projects_Database!$X318,"Link 7"),"")</f>
        <v/>
      </c>
    </row>
    <row r="319" ht="15.75" customHeight="1">
      <c r="A319" s="44" t="s">
        <v>1277</v>
      </c>
      <c r="B319" s="45">
        <v>988.0</v>
      </c>
      <c r="C319" s="45" t="s">
        <v>257</v>
      </c>
      <c r="D319" s="46" t="s">
        <v>1278</v>
      </c>
      <c r="E319" s="45" t="s">
        <v>16</v>
      </c>
      <c r="F319" s="45">
        <v>2023.0</v>
      </c>
      <c r="G319" s="45" t="s">
        <v>124</v>
      </c>
      <c r="H319" s="45">
        <v>2026.0</v>
      </c>
      <c r="I319" s="45" t="s">
        <v>124</v>
      </c>
      <c r="J319" s="45" t="s">
        <v>28</v>
      </c>
      <c r="K319" s="47" t="s">
        <v>124</v>
      </c>
      <c r="L319" s="47"/>
      <c r="M319" s="47">
        <v>0.177</v>
      </c>
      <c r="N319" s="45" t="s">
        <v>46</v>
      </c>
      <c r="O319" s="48" t="s">
        <v>75</v>
      </c>
      <c r="P319" s="49" t="s">
        <v>124</v>
      </c>
      <c r="Q319" s="45" t="s">
        <v>125</v>
      </c>
      <c r="R319" s="49" t="s">
        <v>1279</v>
      </c>
      <c r="S319" s="49" t="s">
        <v>1276</v>
      </c>
      <c r="T319" s="49" t="s">
        <v>124</v>
      </c>
      <c r="U319" s="49" t="s">
        <v>124</v>
      </c>
      <c r="V319" s="49" t="s">
        <v>124</v>
      </c>
      <c r="W319" s="49" t="s">
        <v>124</v>
      </c>
      <c r="X319" s="49" t="s">
        <v>124</v>
      </c>
      <c r="Y319" s="50" t="str">
        <f>IF(CCUS_Projects_Database!$R319&lt;&gt;"",HYPERLINK(CCUS_Projects_Database!$R319,"Link 1"),"")</f>
        <v>Link 1</v>
      </c>
      <c r="Z319" s="50" t="str">
        <f>IF(CCUS_Projects_Database!$S319&lt;&gt;"",HYPERLINK(CCUS_Projects_Database!$S319,"Link 2"),"")</f>
        <v>Link 2</v>
      </c>
      <c r="AA319" s="50" t="str">
        <f>IF(CCUS_Projects_Database!$T319&lt;&gt;"",HYPERLINK(CCUS_Projects_Database!$T319,"Link 3"),"")</f>
        <v/>
      </c>
      <c r="AB319" s="50" t="str">
        <f>IF(CCUS_Projects_Database!$U319&lt;&gt;"",HYPERLINK(CCUS_Projects_Database!$U319,"Link 4"),"")</f>
        <v/>
      </c>
      <c r="AC319" s="50" t="str">
        <f>IF(CCUS_Projects_Database!$V319&lt;&gt;"",HYPERLINK(CCUS_Projects_Database!$V319,"Link 5"),"")</f>
        <v/>
      </c>
      <c r="AD319" s="50" t="str">
        <f>IF(CCUS_Projects_Database!$W319&lt;&gt;"",HYPERLINK(CCUS_Projects_Database!$W319,"Link 6"),"")</f>
        <v/>
      </c>
      <c r="AE319" s="50" t="str">
        <f>IF(CCUS_Projects_Database!$X319&lt;&gt;"",HYPERLINK(CCUS_Projects_Database!$X319,"Link 7"),"")</f>
        <v/>
      </c>
    </row>
    <row r="320" ht="15.75" customHeight="1">
      <c r="A320" s="37" t="s">
        <v>1280</v>
      </c>
      <c r="B320" s="38">
        <v>766.0</v>
      </c>
      <c r="C320" s="38" t="s">
        <v>311</v>
      </c>
      <c r="D320" s="39" t="s">
        <v>1281</v>
      </c>
      <c r="E320" s="38" t="s">
        <v>10</v>
      </c>
      <c r="F320" s="38">
        <v>2023.0</v>
      </c>
      <c r="G320" s="38" t="s">
        <v>124</v>
      </c>
      <c r="H320" s="38" t="s">
        <v>124</v>
      </c>
      <c r="I320" s="38" t="s">
        <v>124</v>
      </c>
      <c r="J320" s="38" t="s">
        <v>28</v>
      </c>
      <c r="K320" s="40" t="s">
        <v>124</v>
      </c>
      <c r="L320" s="40"/>
      <c r="M320" s="40" t="s">
        <v>124</v>
      </c>
      <c r="N320" s="38" t="s">
        <v>10</v>
      </c>
      <c r="O320" s="41" t="s">
        <v>71</v>
      </c>
      <c r="P320" s="42" t="s">
        <v>1280</v>
      </c>
      <c r="Q320" s="38" t="s">
        <v>125</v>
      </c>
      <c r="R320" s="42" t="s">
        <v>1282</v>
      </c>
      <c r="S320" s="42" t="s">
        <v>124</v>
      </c>
      <c r="T320" s="42" t="s">
        <v>124</v>
      </c>
      <c r="U320" s="42" t="s">
        <v>124</v>
      </c>
      <c r="V320" s="42" t="s">
        <v>124</v>
      </c>
      <c r="W320" s="42" t="s">
        <v>124</v>
      </c>
      <c r="X320" s="42" t="s">
        <v>124</v>
      </c>
      <c r="Y320" s="43" t="str">
        <f>IF(CCUS_Projects_Database!$R320&lt;&gt;"",HYPERLINK(CCUS_Projects_Database!$R320,"Link 1"),"")</f>
        <v>Link 1</v>
      </c>
      <c r="Z320" s="43" t="str">
        <f>IF(CCUS_Projects_Database!$S320&lt;&gt;"",HYPERLINK(CCUS_Projects_Database!$S320,"Link 2"),"")</f>
        <v/>
      </c>
      <c r="AA320" s="43" t="str">
        <f>IF(CCUS_Projects_Database!$T320&lt;&gt;"",HYPERLINK(CCUS_Projects_Database!$T320,"Link 3"),"")</f>
        <v/>
      </c>
      <c r="AB320" s="43" t="str">
        <f>IF(CCUS_Projects_Database!$U320&lt;&gt;"",HYPERLINK(CCUS_Projects_Database!$U320,"Link 4"),"")</f>
        <v/>
      </c>
      <c r="AC320" s="43" t="str">
        <f>IF(CCUS_Projects_Database!$V320&lt;&gt;"",HYPERLINK(CCUS_Projects_Database!$V320,"Link 5"),"")</f>
        <v/>
      </c>
      <c r="AD320" s="43" t="str">
        <f>IF(CCUS_Projects_Database!$W320&lt;&gt;"",HYPERLINK(CCUS_Projects_Database!$W320,"Link 6"),"")</f>
        <v/>
      </c>
      <c r="AE320" s="43" t="str">
        <f>IF(CCUS_Projects_Database!$X320&lt;&gt;"",HYPERLINK(CCUS_Projects_Database!$X320,"Link 7"),"")</f>
        <v/>
      </c>
    </row>
    <row r="321" ht="15.75" customHeight="1">
      <c r="A321" s="44" t="s">
        <v>1283</v>
      </c>
      <c r="B321" s="45">
        <v>447.0</v>
      </c>
      <c r="C321" s="45" t="s">
        <v>1284</v>
      </c>
      <c r="D321" s="46" t="s">
        <v>1285</v>
      </c>
      <c r="E321" s="45" t="s">
        <v>10</v>
      </c>
      <c r="F321" s="45">
        <v>2022.0</v>
      </c>
      <c r="G321" s="45">
        <v>2025.0</v>
      </c>
      <c r="H321" s="45">
        <v>2030.0</v>
      </c>
      <c r="I321" s="45" t="s">
        <v>124</v>
      </c>
      <c r="J321" s="45" t="s">
        <v>28</v>
      </c>
      <c r="K321" s="47" t="s">
        <v>124</v>
      </c>
      <c r="L321" s="52">
        <v>30.0</v>
      </c>
      <c r="M321" s="47">
        <v>40.0</v>
      </c>
      <c r="N321" s="45" t="s">
        <v>10</v>
      </c>
      <c r="O321" s="48" t="s">
        <v>71</v>
      </c>
      <c r="P321" s="49" t="s">
        <v>1286</v>
      </c>
      <c r="Q321" s="45" t="s">
        <v>125</v>
      </c>
      <c r="R321" s="49" t="s">
        <v>1287</v>
      </c>
      <c r="S321" s="49" t="s">
        <v>1288</v>
      </c>
      <c r="T321" s="49" t="s">
        <v>124</v>
      </c>
      <c r="U321" s="49" t="s">
        <v>124</v>
      </c>
      <c r="V321" s="49" t="s">
        <v>124</v>
      </c>
      <c r="W321" s="49" t="s">
        <v>124</v>
      </c>
      <c r="X321" s="49" t="s">
        <v>124</v>
      </c>
      <c r="Y321" s="50" t="str">
        <f>IF(CCUS_Projects_Database!$R321&lt;&gt;"",HYPERLINK(CCUS_Projects_Database!$R321,"Link 1"),"")</f>
        <v>Link 1</v>
      </c>
      <c r="Z321" s="50" t="str">
        <f>IF(CCUS_Projects_Database!$S321&lt;&gt;"",HYPERLINK(CCUS_Projects_Database!$S321,"Link 2"),"")</f>
        <v>Link 2</v>
      </c>
      <c r="AA321" s="50" t="str">
        <f>IF(CCUS_Projects_Database!$T321&lt;&gt;"",HYPERLINK(CCUS_Projects_Database!$T321,"Link 3"),"")</f>
        <v/>
      </c>
      <c r="AB321" s="50" t="str">
        <f>IF(CCUS_Projects_Database!$U321&lt;&gt;"",HYPERLINK(CCUS_Projects_Database!$U321,"Link 4"),"")</f>
        <v/>
      </c>
      <c r="AC321" s="50" t="str">
        <f>IF(CCUS_Projects_Database!$V321&lt;&gt;"",HYPERLINK(CCUS_Projects_Database!$V321,"Link 5"),"")</f>
        <v/>
      </c>
      <c r="AD321" s="50" t="str">
        <f>IF(CCUS_Projects_Database!$W321&lt;&gt;"",HYPERLINK(CCUS_Projects_Database!$W321,"Link 6"),"")</f>
        <v/>
      </c>
      <c r="AE321" s="50" t="str">
        <f>IF(CCUS_Projects_Database!$X321&lt;&gt;"",HYPERLINK(CCUS_Projects_Database!$X321,"Link 7"),"")</f>
        <v/>
      </c>
    </row>
    <row r="322" ht="15.75" customHeight="1">
      <c r="A322" s="37" t="s">
        <v>1289</v>
      </c>
      <c r="B322" s="38">
        <v>779.0</v>
      </c>
      <c r="C322" s="38" t="s">
        <v>299</v>
      </c>
      <c r="D322" s="39" t="s">
        <v>1290</v>
      </c>
      <c r="E322" s="38" t="s">
        <v>8</v>
      </c>
      <c r="F322" s="38">
        <v>2023.0</v>
      </c>
      <c r="G322" s="38" t="s">
        <v>124</v>
      </c>
      <c r="H322" s="38" t="s">
        <v>124</v>
      </c>
      <c r="I322" s="38" t="s">
        <v>124</v>
      </c>
      <c r="J322" s="38" t="s">
        <v>28</v>
      </c>
      <c r="K322" s="40" t="s">
        <v>124</v>
      </c>
      <c r="L322" s="51">
        <v>0.17</v>
      </c>
      <c r="M322" s="40">
        <v>0.17</v>
      </c>
      <c r="N322" s="38" t="s">
        <v>46</v>
      </c>
      <c r="O322" s="41" t="s">
        <v>71</v>
      </c>
      <c r="P322" s="42" t="s">
        <v>124</v>
      </c>
      <c r="Q322" s="38" t="s">
        <v>125</v>
      </c>
      <c r="R322" s="42" t="s">
        <v>1291</v>
      </c>
      <c r="S322" s="42" t="s">
        <v>124</v>
      </c>
      <c r="T322" s="42" t="s">
        <v>124</v>
      </c>
      <c r="U322" s="42" t="s">
        <v>124</v>
      </c>
      <c r="V322" s="42" t="s">
        <v>124</v>
      </c>
      <c r="W322" s="42" t="s">
        <v>124</v>
      </c>
      <c r="X322" s="42" t="s">
        <v>124</v>
      </c>
      <c r="Y322" s="43" t="str">
        <f>IF(CCUS_Projects_Database!$R322&lt;&gt;"",HYPERLINK(CCUS_Projects_Database!$R322,"Link 1"),"")</f>
        <v>Link 1</v>
      </c>
      <c r="Z322" s="43" t="str">
        <f>IF(CCUS_Projects_Database!$S322&lt;&gt;"",HYPERLINK(CCUS_Projects_Database!$S322,"Link 2"),"")</f>
        <v/>
      </c>
      <c r="AA322" s="43" t="str">
        <f>IF(CCUS_Projects_Database!$T322&lt;&gt;"",HYPERLINK(CCUS_Projects_Database!$T322,"Link 3"),"")</f>
        <v/>
      </c>
      <c r="AB322" s="43" t="str">
        <f>IF(CCUS_Projects_Database!$U322&lt;&gt;"",HYPERLINK(CCUS_Projects_Database!$U322,"Link 4"),"")</f>
        <v/>
      </c>
      <c r="AC322" s="43" t="str">
        <f>IF(CCUS_Projects_Database!$V322&lt;&gt;"",HYPERLINK(CCUS_Projects_Database!$V322,"Link 5"),"")</f>
        <v/>
      </c>
      <c r="AD322" s="43" t="str">
        <f>IF(CCUS_Projects_Database!$W322&lt;&gt;"",HYPERLINK(CCUS_Projects_Database!$W322,"Link 6"),"")</f>
        <v/>
      </c>
      <c r="AE322" s="43" t="str">
        <f>IF(CCUS_Projects_Database!$X322&lt;&gt;"",HYPERLINK(CCUS_Projects_Database!$X322,"Link 7"),"")</f>
        <v/>
      </c>
    </row>
    <row r="323" ht="15.75" customHeight="1">
      <c r="A323" s="44" t="s">
        <v>1292</v>
      </c>
      <c r="B323" s="45">
        <v>981.0</v>
      </c>
      <c r="C323" s="45" t="s">
        <v>141</v>
      </c>
      <c r="D323" s="46" t="s">
        <v>1293</v>
      </c>
      <c r="E323" s="45" t="s">
        <v>12</v>
      </c>
      <c r="F323" s="45">
        <v>2023.0</v>
      </c>
      <c r="G323" s="45" t="s">
        <v>124</v>
      </c>
      <c r="H323" s="45" t="s">
        <v>124</v>
      </c>
      <c r="I323" s="45" t="s">
        <v>124</v>
      </c>
      <c r="J323" s="45" t="s">
        <v>28</v>
      </c>
      <c r="K323" s="47" t="s">
        <v>124</v>
      </c>
      <c r="L323" s="47"/>
      <c r="M323" s="47">
        <v>8.0</v>
      </c>
      <c r="N323" s="45" t="s">
        <v>12</v>
      </c>
      <c r="O323" s="48" t="s">
        <v>71</v>
      </c>
      <c r="P323" s="49" t="s">
        <v>1292</v>
      </c>
      <c r="Q323" s="45" t="s">
        <v>143</v>
      </c>
      <c r="R323" s="49" t="s">
        <v>155</v>
      </c>
      <c r="S323" s="49" t="s">
        <v>124</v>
      </c>
      <c r="T323" s="49" t="s">
        <v>124</v>
      </c>
      <c r="U323" s="49" t="s">
        <v>124</v>
      </c>
      <c r="V323" s="49" t="s">
        <v>124</v>
      </c>
      <c r="W323" s="49" t="s">
        <v>124</v>
      </c>
      <c r="X323" s="49" t="s">
        <v>124</v>
      </c>
      <c r="Y323" s="50" t="str">
        <f>IF(CCUS_Projects_Database!$R323&lt;&gt;"",HYPERLINK(CCUS_Projects_Database!$R323,"Link 1"),"")</f>
        <v>Link 1</v>
      </c>
      <c r="Z323" s="50" t="str">
        <f>IF(CCUS_Projects_Database!$S323&lt;&gt;"",HYPERLINK(CCUS_Projects_Database!$S323,"Link 2"),"")</f>
        <v/>
      </c>
      <c r="AA323" s="50" t="str">
        <f>IF(CCUS_Projects_Database!$T323&lt;&gt;"",HYPERLINK(CCUS_Projects_Database!$T323,"Link 3"),"")</f>
        <v/>
      </c>
      <c r="AB323" s="50" t="str">
        <f>IF(CCUS_Projects_Database!$U323&lt;&gt;"",HYPERLINK(CCUS_Projects_Database!$U323,"Link 4"),"")</f>
        <v/>
      </c>
      <c r="AC323" s="50" t="str">
        <f>IF(CCUS_Projects_Database!$V323&lt;&gt;"",HYPERLINK(CCUS_Projects_Database!$V323,"Link 5"),"")</f>
        <v/>
      </c>
      <c r="AD323" s="50" t="str">
        <f>IF(CCUS_Projects_Database!$W323&lt;&gt;"",HYPERLINK(CCUS_Projects_Database!$W323,"Link 6"),"")</f>
        <v/>
      </c>
      <c r="AE323" s="50" t="str">
        <f>IF(CCUS_Projects_Database!$X323&lt;&gt;"",HYPERLINK(CCUS_Projects_Database!$X323,"Link 7"),"")</f>
        <v/>
      </c>
    </row>
    <row r="324" ht="15.75" customHeight="1">
      <c r="A324" s="37" t="s">
        <v>1294</v>
      </c>
      <c r="B324" s="38">
        <v>1131.0</v>
      </c>
      <c r="C324" s="38" t="s">
        <v>141</v>
      </c>
      <c r="D324" s="39" t="s">
        <v>1295</v>
      </c>
      <c r="E324" s="38" t="s">
        <v>6</v>
      </c>
      <c r="F324" s="38">
        <v>2023.0</v>
      </c>
      <c r="G324" s="38" t="s">
        <v>124</v>
      </c>
      <c r="H324" s="38" t="s">
        <v>124</v>
      </c>
      <c r="I324" s="38" t="s">
        <v>124</v>
      </c>
      <c r="J324" s="38" t="s">
        <v>28</v>
      </c>
      <c r="K324" s="40" t="s">
        <v>124</v>
      </c>
      <c r="L324" s="51">
        <v>10.0</v>
      </c>
      <c r="M324" s="40">
        <v>10.0</v>
      </c>
      <c r="N324" s="38" t="s">
        <v>46</v>
      </c>
      <c r="O324" s="41" t="s">
        <v>71</v>
      </c>
      <c r="P324" s="38" t="s">
        <v>124</v>
      </c>
      <c r="Q324" s="38" t="s">
        <v>143</v>
      </c>
      <c r="R324" s="55" t="s">
        <v>372</v>
      </c>
      <c r="S324" s="55" t="s">
        <v>124</v>
      </c>
      <c r="T324" s="55" t="s">
        <v>124</v>
      </c>
      <c r="U324" s="55" t="s">
        <v>124</v>
      </c>
      <c r="V324" s="55" t="s">
        <v>124</v>
      </c>
      <c r="W324" s="55" t="s">
        <v>124</v>
      </c>
      <c r="X324" s="55" t="s">
        <v>124</v>
      </c>
      <c r="Y324" s="56" t="str">
        <f>IF(CCUS_Projects_Database!$R324&lt;&gt;"",HYPERLINK(CCUS_Projects_Database!$R324,"Link 1"),"")</f>
        <v>Link 1</v>
      </c>
      <c r="Z324" s="42" t="str">
        <f>IF(CCUS_Projects_Database!$S324&lt;&gt;"",HYPERLINK(CCUS_Projects_Database!$S324,"Link 2"),"")</f>
        <v/>
      </c>
      <c r="AA324" s="42" t="str">
        <f>IF(CCUS_Projects_Database!$T324&lt;&gt;"",HYPERLINK(CCUS_Projects_Database!$T324,"Link 3"),"")</f>
        <v/>
      </c>
      <c r="AB324" s="42" t="str">
        <f>IF(CCUS_Projects_Database!$U324&lt;&gt;"",HYPERLINK(CCUS_Projects_Database!$U324,"Link 4"),"")</f>
        <v/>
      </c>
      <c r="AC324" s="42" t="str">
        <f>IF(CCUS_Projects_Database!$V324&lt;&gt;"",HYPERLINK(CCUS_Projects_Database!$V324,"Link 5"),"")</f>
        <v/>
      </c>
      <c r="AD324" s="42" t="str">
        <f>IF(CCUS_Projects_Database!$W324&lt;&gt;"",HYPERLINK(CCUS_Projects_Database!$W324,"Link 6"),"")</f>
        <v/>
      </c>
      <c r="AE324" s="43" t="str">
        <f>IF(CCUS_Projects_Database!$X324&lt;&gt;"",HYPERLINK(CCUS_Projects_Database!$X324,"Link 7"),"")</f>
        <v/>
      </c>
    </row>
    <row r="325" ht="15.75" customHeight="1">
      <c r="A325" s="44" t="s">
        <v>1296</v>
      </c>
      <c r="B325" s="45">
        <v>154.0</v>
      </c>
      <c r="C325" s="45" t="s">
        <v>141</v>
      </c>
      <c r="D325" s="46" t="s">
        <v>1297</v>
      </c>
      <c r="E325" s="45" t="s">
        <v>6</v>
      </c>
      <c r="F325" s="45">
        <v>2021.0</v>
      </c>
      <c r="G325" s="45" t="s">
        <v>124</v>
      </c>
      <c r="H325" s="45">
        <v>2024.0</v>
      </c>
      <c r="I325" s="45" t="s">
        <v>124</v>
      </c>
      <c r="J325" s="45" t="s">
        <v>28</v>
      </c>
      <c r="K325" s="47" t="s">
        <v>124</v>
      </c>
      <c r="L325" s="47"/>
      <c r="M325" s="47" t="s">
        <v>124</v>
      </c>
      <c r="N325" s="45" t="s">
        <v>48</v>
      </c>
      <c r="O325" s="48" t="s">
        <v>71</v>
      </c>
      <c r="P325" s="49" t="s">
        <v>124</v>
      </c>
      <c r="Q325" s="45" t="s">
        <v>143</v>
      </c>
      <c r="R325" s="49" t="s">
        <v>1298</v>
      </c>
      <c r="S325" s="49" t="s">
        <v>124</v>
      </c>
      <c r="T325" s="49" t="s">
        <v>124</v>
      </c>
      <c r="U325" s="49" t="s">
        <v>124</v>
      </c>
      <c r="V325" s="49" t="s">
        <v>124</v>
      </c>
      <c r="W325" s="49" t="s">
        <v>124</v>
      </c>
      <c r="X325" s="49" t="s">
        <v>124</v>
      </c>
      <c r="Y325" s="50" t="str">
        <f>IF(CCUS_Projects_Database!$R325&lt;&gt;"",HYPERLINK(CCUS_Projects_Database!$R325,"Link 1"),"")</f>
        <v>Link 1</v>
      </c>
      <c r="Z325" s="50" t="str">
        <f>IF(CCUS_Projects_Database!$S325&lt;&gt;"",HYPERLINK(CCUS_Projects_Database!$S325,"Link 2"),"")</f>
        <v/>
      </c>
      <c r="AA325" s="50" t="str">
        <f>IF(CCUS_Projects_Database!$T325&lt;&gt;"",HYPERLINK(CCUS_Projects_Database!$T325,"Link 3"),"")</f>
        <v/>
      </c>
      <c r="AB325" s="50" t="str">
        <f>IF(CCUS_Projects_Database!$U325&lt;&gt;"",HYPERLINK(CCUS_Projects_Database!$U325,"Link 4"),"")</f>
        <v/>
      </c>
      <c r="AC325" s="50" t="str">
        <f>IF(CCUS_Projects_Database!$V325&lt;&gt;"",HYPERLINK(CCUS_Projects_Database!$V325,"Link 5"),"")</f>
        <v/>
      </c>
      <c r="AD325" s="50" t="str">
        <f>IF(CCUS_Projects_Database!$W325&lt;&gt;"",HYPERLINK(CCUS_Projects_Database!$W325,"Link 6"),"")</f>
        <v/>
      </c>
      <c r="AE325" s="50" t="str">
        <f>IF(CCUS_Projects_Database!$X325&lt;&gt;"",HYPERLINK(CCUS_Projects_Database!$X325,"Link 7"),"")</f>
        <v/>
      </c>
    </row>
    <row r="326" ht="15.75" customHeight="1">
      <c r="A326" s="37" t="s">
        <v>1299</v>
      </c>
      <c r="B326" s="38">
        <v>155.0</v>
      </c>
      <c r="C326" s="38" t="s">
        <v>284</v>
      </c>
      <c r="D326" s="39" t="s">
        <v>1300</v>
      </c>
      <c r="E326" s="38" t="s">
        <v>8</v>
      </c>
      <c r="F326" s="38">
        <v>2019.0</v>
      </c>
      <c r="G326" s="38" t="s">
        <v>124</v>
      </c>
      <c r="H326" s="38">
        <v>2035.0</v>
      </c>
      <c r="I326" s="38" t="s">
        <v>124</v>
      </c>
      <c r="J326" s="38" t="s">
        <v>28</v>
      </c>
      <c r="K326" s="40" t="s">
        <v>124</v>
      </c>
      <c r="L326" s="51">
        <v>0.12</v>
      </c>
      <c r="M326" s="40">
        <v>0.12</v>
      </c>
      <c r="N326" s="38" t="s">
        <v>46</v>
      </c>
      <c r="O326" s="41" t="s">
        <v>71</v>
      </c>
      <c r="P326" s="42" t="s">
        <v>375</v>
      </c>
      <c r="Q326" s="38" t="s">
        <v>125</v>
      </c>
      <c r="R326" s="42" t="s">
        <v>528</v>
      </c>
      <c r="S326" s="42" t="s">
        <v>529</v>
      </c>
      <c r="T326" s="42" t="s">
        <v>124</v>
      </c>
      <c r="U326" s="42" t="s">
        <v>124</v>
      </c>
      <c r="V326" s="42" t="s">
        <v>124</v>
      </c>
      <c r="W326" s="42" t="s">
        <v>124</v>
      </c>
      <c r="X326" s="42" t="s">
        <v>124</v>
      </c>
      <c r="Y326" s="43" t="str">
        <f>IF(CCUS_Projects_Database!$R326&lt;&gt;"",HYPERLINK(CCUS_Projects_Database!$R326,"Link 1"),"")</f>
        <v>Link 1</v>
      </c>
      <c r="Z326" s="43" t="str">
        <f>IF(CCUS_Projects_Database!$S326&lt;&gt;"",HYPERLINK(CCUS_Projects_Database!$S326,"Link 2"),"")</f>
        <v>Link 2</v>
      </c>
      <c r="AA326" s="43" t="str">
        <f>IF(CCUS_Projects_Database!$T326&lt;&gt;"",HYPERLINK(CCUS_Projects_Database!$T326,"Link 3"),"")</f>
        <v/>
      </c>
      <c r="AB326" s="43" t="str">
        <f>IF(CCUS_Projects_Database!$U326&lt;&gt;"",HYPERLINK(CCUS_Projects_Database!$U326,"Link 4"),"")</f>
        <v/>
      </c>
      <c r="AC326" s="43" t="str">
        <f>IF(CCUS_Projects_Database!$V326&lt;&gt;"",HYPERLINK(CCUS_Projects_Database!$V326,"Link 5"),"")</f>
        <v/>
      </c>
      <c r="AD326" s="43" t="str">
        <f>IF(CCUS_Projects_Database!$W326&lt;&gt;"",HYPERLINK(CCUS_Projects_Database!$W326,"Link 6"),"")</f>
        <v/>
      </c>
      <c r="AE326" s="43" t="str">
        <f>IF(CCUS_Projects_Database!$X326&lt;&gt;"",HYPERLINK(CCUS_Projects_Database!$X326,"Link 7"),"")</f>
        <v/>
      </c>
    </row>
    <row r="327" ht="15.75" customHeight="1">
      <c r="A327" s="44" t="s">
        <v>1301</v>
      </c>
      <c r="B327" s="45">
        <v>157.0</v>
      </c>
      <c r="C327" s="45" t="s">
        <v>1302</v>
      </c>
      <c r="D327" s="46" t="s">
        <v>1303</v>
      </c>
      <c r="E327" s="45" t="s">
        <v>6</v>
      </c>
      <c r="F327" s="45">
        <v>2021.0</v>
      </c>
      <c r="G327" s="45" t="s">
        <v>124</v>
      </c>
      <c r="H327" s="45">
        <v>2030.0</v>
      </c>
      <c r="I327" s="45" t="s">
        <v>124</v>
      </c>
      <c r="J327" s="45" t="s">
        <v>28</v>
      </c>
      <c r="K327" s="47" t="s">
        <v>124</v>
      </c>
      <c r="L327" s="52">
        <v>0.423</v>
      </c>
      <c r="M327" s="47">
        <v>0.423</v>
      </c>
      <c r="N327" s="45" t="s">
        <v>50</v>
      </c>
      <c r="O327" s="48" t="s">
        <v>71</v>
      </c>
      <c r="P327" s="49" t="s">
        <v>124</v>
      </c>
      <c r="Q327" s="45" t="s">
        <v>1304</v>
      </c>
      <c r="R327" s="49" t="s">
        <v>1305</v>
      </c>
      <c r="S327" s="49" t="s">
        <v>1306</v>
      </c>
      <c r="T327" s="49" t="s">
        <v>1307</v>
      </c>
      <c r="U327" s="49" t="s">
        <v>1308</v>
      </c>
      <c r="V327" s="49" t="s">
        <v>1309</v>
      </c>
      <c r="W327" s="49" t="s">
        <v>124</v>
      </c>
      <c r="X327" s="49" t="s">
        <v>124</v>
      </c>
      <c r="Y327" s="50" t="str">
        <f>IF(CCUS_Projects_Database!$R327&lt;&gt;"",HYPERLINK(CCUS_Projects_Database!$R327,"Link 1"),"")</f>
        <v>Link 1</v>
      </c>
      <c r="Z327" s="50" t="str">
        <f>IF(CCUS_Projects_Database!$S327&lt;&gt;"",HYPERLINK(CCUS_Projects_Database!$S327,"Link 2"),"")</f>
        <v>Link 2</v>
      </c>
      <c r="AA327" s="50" t="str">
        <f>IF(CCUS_Projects_Database!$T327&lt;&gt;"",HYPERLINK(CCUS_Projects_Database!$T327,"Link 3"),"")</f>
        <v>Link 3</v>
      </c>
      <c r="AB327" s="50" t="str">
        <f>IF(CCUS_Projects_Database!$U327&lt;&gt;"",HYPERLINK(CCUS_Projects_Database!$U327,"Link 4"),"")</f>
        <v>Link 4</v>
      </c>
      <c r="AC327" s="50" t="str">
        <f>IF(CCUS_Projects_Database!$V327&lt;&gt;"",HYPERLINK(CCUS_Projects_Database!$V327,"Link 5"),"")</f>
        <v>Link 5</v>
      </c>
      <c r="AD327" s="50" t="str">
        <f>IF(CCUS_Projects_Database!$W327&lt;&gt;"",HYPERLINK(CCUS_Projects_Database!$W327,"Link 6"),"")</f>
        <v/>
      </c>
      <c r="AE327" s="50" t="str">
        <f>IF(CCUS_Projects_Database!$X327&lt;&gt;"",HYPERLINK(CCUS_Projects_Database!$X327,"Link 7"),"")</f>
        <v/>
      </c>
    </row>
    <row r="328" ht="15.75" customHeight="1">
      <c r="A328" s="37" t="s">
        <v>1310</v>
      </c>
      <c r="B328" s="38">
        <v>158.0</v>
      </c>
      <c r="C328" s="38" t="s">
        <v>157</v>
      </c>
      <c r="D328" s="39" t="s">
        <v>1311</v>
      </c>
      <c r="E328" s="38" t="s">
        <v>8</v>
      </c>
      <c r="F328" s="38">
        <v>2021.0</v>
      </c>
      <c r="G328" s="38" t="s">
        <v>124</v>
      </c>
      <c r="H328" s="38">
        <v>2024.0</v>
      </c>
      <c r="I328" s="38" t="s">
        <v>124</v>
      </c>
      <c r="J328" s="38" t="s">
        <v>28</v>
      </c>
      <c r="K328" s="40">
        <v>1.0</v>
      </c>
      <c r="L328" s="51">
        <v>0.2</v>
      </c>
      <c r="M328" s="40">
        <v>0.2</v>
      </c>
      <c r="N328" s="38" t="s">
        <v>50</v>
      </c>
      <c r="O328" s="41" t="s">
        <v>71</v>
      </c>
      <c r="P328" s="42" t="s">
        <v>375</v>
      </c>
      <c r="Q328" s="38" t="s">
        <v>125</v>
      </c>
      <c r="R328" s="42" t="s">
        <v>1312</v>
      </c>
      <c r="S328" s="42" t="s">
        <v>1313</v>
      </c>
      <c r="T328" s="42" t="s">
        <v>124</v>
      </c>
      <c r="U328" s="42" t="s">
        <v>124</v>
      </c>
      <c r="V328" s="42" t="s">
        <v>124</v>
      </c>
      <c r="W328" s="42" t="s">
        <v>124</v>
      </c>
      <c r="X328" s="42" t="s">
        <v>124</v>
      </c>
      <c r="Y328" s="43" t="str">
        <f>IF(CCUS_Projects_Database!$R328&lt;&gt;"",HYPERLINK(CCUS_Projects_Database!$R328,"Link 1"),"")</f>
        <v>Link 1</v>
      </c>
      <c r="Z328" s="43" t="str">
        <f>IF(CCUS_Projects_Database!$S328&lt;&gt;"",HYPERLINK(CCUS_Projects_Database!$S328,"Link 2"),"")</f>
        <v>Link 2</v>
      </c>
      <c r="AA328" s="43" t="str">
        <f>IF(CCUS_Projects_Database!$T328&lt;&gt;"",HYPERLINK(CCUS_Projects_Database!$T328,"Link 3"),"")</f>
        <v/>
      </c>
      <c r="AB328" s="43" t="str">
        <f>IF(CCUS_Projects_Database!$U328&lt;&gt;"",HYPERLINK(CCUS_Projects_Database!$U328,"Link 4"),"")</f>
        <v/>
      </c>
      <c r="AC328" s="43" t="str">
        <f>IF(CCUS_Projects_Database!$V328&lt;&gt;"",HYPERLINK(CCUS_Projects_Database!$V328,"Link 5"),"")</f>
        <v/>
      </c>
      <c r="AD328" s="43" t="str">
        <f>IF(CCUS_Projects_Database!$W328&lt;&gt;"",HYPERLINK(CCUS_Projects_Database!$W328,"Link 6"),"")</f>
        <v/>
      </c>
      <c r="AE328" s="43" t="str">
        <f>IF(CCUS_Projects_Database!$X328&lt;&gt;"",HYPERLINK(CCUS_Projects_Database!$X328,"Link 7"),"")</f>
        <v/>
      </c>
    </row>
    <row r="329" ht="15.75" customHeight="1">
      <c r="A329" s="44" t="s">
        <v>1314</v>
      </c>
      <c r="B329" s="45">
        <v>159.0</v>
      </c>
      <c r="C329" s="45" t="s">
        <v>157</v>
      </c>
      <c r="D329" s="46" t="s">
        <v>1311</v>
      </c>
      <c r="E329" s="45" t="s">
        <v>8</v>
      </c>
      <c r="F329" s="45">
        <v>2021.0</v>
      </c>
      <c r="G329" s="45" t="s">
        <v>124</v>
      </c>
      <c r="H329" s="45">
        <v>2028.0</v>
      </c>
      <c r="I329" s="45" t="s">
        <v>124</v>
      </c>
      <c r="J329" s="45" t="s">
        <v>28</v>
      </c>
      <c r="K329" s="47">
        <v>2.0</v>
      </c>
      <c r="L329" s="52">
        <v>0.345</v>
      </c>
      <c r="M329" s="47">
        <v>0.345</v>
      </c>
      <c r="N329" s="45" t="s">
        <v>50</v>
      </c>
      <c r="O329" s="48" t="s">
        <v>71</v>
      </c>
      <c r="P329" s="49" t="s">
        <v>375</v>
      </c>
      <c r="Q329" s="45" t="s">
        <v>125</v>
      </c>
      <c r="R329" s="49" t="s">
        <v>1312</v>
      </c>
      <c r="S329" s="49" t="s">
        <v>1313</v>
      </c>
      <c r="T329" s="49" t="s">
        <v>124</v>
      </c>
      <c r="U329" s="49" t="s">
        <v>124</v>
      </c>
      <c r="V329" s="49" t="s">
        <v>124</v>
      </c>
      <c r="W329" s="49" t="s">
        <v>124</v>
      </c>
      <c r="X329" s="49" t="s">
        <v>124</v>
      </c>
      <c r="Y329" s="50" t="str">
        <f>IF(CCUS_Projects_Database!$R329&lt;&gt;"",HYPERLINK(CCUS_Projects_Database!$R329,"Link 1"),"")</f>
        <v>Link 1</v>
      </c>
      <c r="Z329" s="50" t="str">
        <f>IF(CCUS_Projects_Database!$S329&lt;&gt;"",HYPERLINK(CCUS_Projects_Database!$S329,"Link 2"),"")</f>
        <v>Link 2</v>
      </c>
      <c r="AA329" s="50" t="str">
        <f>IF(CCUS_Projects_Database!$T329&lt;&gt;"",HYPERLINK(CCUS_Projects_Database!$T329,"Link 3"),"")</f>
        <v/>
      </c>
      <c r="AB329" s="50" t="str">
        <f>IF(CCUS_Projects_Database!$U329&lt;&gt;"",HYPERLINK(CCUS_Projects_Database!$U329,"Link 4"),"")</f>
        <v/>
      </c>
      <c r="AC329" s="50" t="str">
        <f>IF(CCUS_Projects_Database!$V329&lt;&gt;"",HYPERLINK(CCUS_Projects_Database!$V329,"Link 5"),"")</f>
        <v/>
      </c>
      <c r="AD329" s="50" t="str">
        <f>IF(CCUS_Projects_Database!$W329&lt;&gt;"",HYPERLINK(CCUS_Projects_Database!$W329,"Link 6"),"")</f>
        <v/>
      </c>
      <c r="AE329" s="50" t="str">
        <f>IF(CCUS_Projects_Database!$X329&lt;&gt;"",HYPERLINK(CCUS_Projects_Database!$X329,"Link 7"),"")</f>
        <v/>
      </c>
    </row>
    <row r="330" ht="15.75" customHeight="1">
      <c r="A330" s="37" t="s">
        <v>1315</v>
      </c>
      <c r="B330" s="38">
        <v>160.0</v>
      </c>
      <c r="C330" s="38" t="s">
        <v>141</v>
      </c>
      <c r="D330" s="39" t="s">
        <v>1316</v>
      </c>
      <c r="E330" s="38" t="s">
        <v>8</v>
      </c>
      <c r="F330" s="38">
        <v>2020.0</v>
      </c>
      <c r="G330" s="38" t="s">
        <v>124</v>
      </c>
      <c r="H330" s="38">
        <v>2027.0</v>
      </c>
      <c r="I330" s="38" t="s">
        <v>124</v>
      </c>
      <c r="J330" s="38" t="s">
        <v>28</v>
      </c>
      <c r="K330" s="40" t="s">
        <v>124</v>
      </c>
      <c r="L330" s="51">
        <v>4.0</v>
      </c>
      <c r="M330" s="40">
        <v>4.0</v>
      </c>
      <c r="N330" s="38" t="s">
        <v>48</v>
      </c>
      <c r="O330" s="41" t="s">
        <v>77</v>
      </c>
      <c r="P330" s="42" t="s">
        <v>124</v>
      </c>
      <c r="Q330" s="38" t="s">
        <v>143</v>
      </c>
      <c r="R330" s="42" t="s">
        <v>1317</v>
      </c>
      <c r="S330" s="42" t="s">
        <v>1318</v>
      </c>
      <c r="T330" s="42" t="s">
        <v>1319</v>
      </c>
      <c r="U330" s="42" t="s">
        <v>1320</v>
      </c>
      <c r="V330" s="42" t="s">
        <v>124</v>
      </c>
      <c r="W330" s="42" t="s">
        <v>124</v>
      </c>
      <c r="X330" s="42" t="s">
        <v>124</v>
      </c>
      <c r="Y330" s="43" t="str">
        <f>IF(CCUS_Projects_Database!$R330&lt;&gt;"",HYPERLINK(CCUS_Projects_Database!$R330,"Link 1"),"")</f>
        <v>Link 1</v>
      </c>
      <c r="Z330" s="43" t="str">
        <f>IF(CCUS_Projects_Database!$S330&lt;&gt;"",HYPERLINK(CCUS_Projects_Database!$S330,"Link 2"),"")</f>
        <v>Link 2</v>
      </c>
      <c r="AA330" s="43" t="str">
        <f>IF(CCUS_Projects_Database!$T330&lt;&gt;"",HYPERLINK(CCUS_Projects_Database!$T330,"Link 3"),"")</f>
        <v>Link 3</v>
      </c>
      <c r="AB330" s="43" t="str">
        <f>IF(CCUS_Projects_Database!$U330&lt;&gt;"",HYPERLINK(CCUS_Projects_Database!$U330,"Link 4"),"")</f>
        <v>Link 4</v>
      </c>
      <c r="AC330" s="43" t="str">
        <f>IF(CCUS_Projects_Database!$V330&lt;&gt;"",HYPERLINK(CCUS_Projects_Database!$V330,"Link 5"),"")</f>
        <v/>
      </c>
      <c r="AD330" s="43" t="str">
        <f>IF(CCUS_Projects_Database!$W330&lt;&gt;"",HYPERLINK(CCUS_Projects_Database!$W330,"Link 6"),"")</f>
        <v/>
      </c>
      <c r="AE330" s="43" t="str">
        <f>IF(CCUS_Projects_Database!$X330&lt;&gt;"",HYPERLINK(CCUS_Projects_Database!$X330,"Link 7"),"")</f>
        <v/>
      </c>
    </row>
    <row r="331" ht="15.75" customHeight="1">
      <c r="A331" s="44" t="s">
        <v>1321</v>
      </c>
      <c r="B331" s="45">
        <v>1087.0</v>
      </c>
      <c r="C331" s="45" t="s">
        <v>257</v>
      </c>
      <c r="D331" s="46" t="s">
        <v>1322</v>
      </c>
      <c r="E331" s="45" t="s">
        <v>8</v>
      </c>
      <c r="F331" s="45">
        <v>2024.0</v>
      </c>
      <c r="G331" s="45" t="s">
        <v>124</v>
      </c>
      <c r="H331" s="45" t="s">
        <v>124</v>
      </c>
      <c r="I331" s="45" t="s">
        <v>124</v>
      </c>
      <c r="J331" s="45" t="s">
        <v>28</v>
      </c>
      <c r="K331" s="47" t="s">
        <v>124</v>
      </c>
      <c r="L331" s="52">
        <v>0.25</v>
      </c>
      <c r="M331" s="47">
        <v>0.25</v>
      </c>
      <c r="N331" s="45" t="s">
        <v>46</v>
      </c>
      <c r="O331" s="48" t="s">
        <v>77</v>
      </c>
      <c r="P331" s="49" t="s">
        <v>124</v>
      </c>
      <c r="Q331" s="45" t="s">
        <v>125</v>
      </c>
      <c r="R331" s="49" t="s">
        <v>1323</v>
      </c>
      <c r="S331" s="49" t="s">
        <v>124</v>
      </c>
      <c r="T331" s="49" t="s">
        <v>124</v>
      </c>
      <c r="U331" s="49" t="s">
        <v>124</v>
      </c>
      <c r="V331" s="49" t="s">
        <v>124</v>
      </c>
      <c r="W331" s="49" t="s">
        <v>124</v>
      </c>
      <c r="X331" s="49" t="s">
        <v>124</v>
      </c>
      <c r="Y331" s="50" t="str">
        <f>IF(CCUS_Projects_Database!$R331&lt;&gt;"",HYPERLINK(CCUS_Projects_Database!$R331,"Link 1"),"")</f>
        <v>Link 1</v>
      </c>
      <c r="Z331" s="50" t="str">
        <f>IF(CCUS_Projects_Database!$S331&lt;&gt;"",HYPERLINK(CCUS_Projects_Database!$S331,"Link 2"),"")</f>
        <v/>
      </c>
      <c r="AA331" s="50" t="str">
        <f>IF(CCUS_Projects_Database!$T331&lt;&gt;"",HYPERLINK(CCUS_Projects_Database!$T331,"Link 3"),"")</f>
        <v/>
      </c>
      <c r="AB331" s="50" t="str">
        <f>IF(CCUS_Projects_Database!$U331&lt;&gt;"",HYPERLINK(CCUS_Projects_Database!$U331,"Link 4"),"")</f>
        <v/>
      </c>
      <c r="AC331" s="50" t="str">
        <f>IF(CCUS_Projects_Database!$V331&lt;&gt;"",HYPERLINK(CCUS_Projects_Database!$V331,"Link 5"),"")</f>
        <v/>
      </c>
      <c r="AD331" s="50" t="str">
        <f>IF(CCUS_Projects_Database!$W331&lt;&gt;"",HYPERLINK(CCUS_Projects_Database!$W331,"Link 6"),"")</f>
        <v/>
      </c>
      <c r="AE331" s="50" t="str">
        <f>IF(CCUS_Projects_Database!$X331&lt;&gt;"",HYPERLINK(CCUS_Projects_Database!$X331,"Link 7"),"")</f>
        <v/>
      </c>
    </row>
    <row r="332" ht="15.75" customHeight="1">
      <c r="A332" s="37" t="s">
        <v>1324</v>
      </c>
      <c r="B332" s="38">
        <v>857.0</v>
      </c>
      <c r="C332" s="38" t="s">
        <v>146</v>
      </c>
      <c r="D332" s="39" t="s">
        <v>1325</v>
      </c>
      <c r="E332" s="38" t="s">
        <v>8</v>
      </c>
      <c r="F332" s="38">
        <v>2023.0</v>
      </c>
      <c r="G332" s="38" t="s">
        <v>124</v>
      </c>
      <c r="H332" s="38" t="s">
        <v>124</v>
      </c>
      <c r="I332" s="38" t="s">
        <v>124</v>
      </c>
      <c r="J332" s="38" t="s">
        <v>28</v>
      </c>
      <c r="K332" s="40" t="s">
        <v>124</v>
      </c>
      <c r="L332" s="40"/>
      <c r="M332" s="40" t="s">
        <v>124</v>
      </c>
      <c r="N332" s="38" t="s">
        <v>46</v>
      </c>
      <c r="O332" s="41" t="s">
        <v>71</v>
      </c>
      <c r="P332" s="42" t="s">
        <v>124</v>
      </c>
      <c r="Q332" s="38" t="s">
        <v>148</v>
      </c>
      <c r="R332" s="42" t="s">
        <v>1326</v>
      </c>
      <c r="S332" s="42" t="s">
        <v>124</v>
      </c>
      <c r="T332" s="42" t="s">
        <v>124</v>
      </c>
      <c r="U332" s="42" t="s">
        <v>124</v>
      </c>
      <c r="V332" s="42" t="s">
        <v>124</v>
      </c>
      <c r="W332" s="42" t="s">
        <v>124</v>
      </c>
      <c r="X332" s="42" t="s">
        <v>124</v>
      </c>
      <c r="Y332" s="43" t="str">
        <f>IF(CCUS_Projects_Database!$R332&lt;&gt;"",HYPERLINK(CCUS_Projects_Database!$R332,"Link 1"),"")</f>
        <v>Link 1</v>
      </c>
      <c r="Z332" s="43" t="str">
        <f>IF(CCUS_Projects_Database!$S332&lt;&gt;"",HYPERLINK(CCUS_Projects_Database!$S332,"Link 2"),"")</f>
        <v/>
      </c>
      <c r="AA332" s="43" t="str">
        <f>IF(CCUS_Projects_Database!$T332&lt;&gt;"",HYPERLINK(CCUS_Projects_Database!$T332,"Link 3"),"")</f>
        <v/>
      </c>
      <c r="AB332" s="43" t="str">
        <f>IF(CCUS_Projects_Database!$U332&lt;&gt;"",HYPERLINK(CCUS_Projects_Database!$U332,"Link 4"),"")</f>
        <v/>
      </c>
      <c r="AC332" s="43" t="str">
        <f>IF(CCUS_Projects_Database!$V332&lt;&gt;"",HYPERLINK(CCUS_Projects_Database!$V332,"Link 5"),"")</f>
        <v/>
      </c>
      <c r="AD332" s="43" t="str">
        <f>IF(CCUS_Projects_Database!$W332&lt;&gt;"",HYPERLINK(CCUS_Projects_Database!$W332,"Link 6"),"")</f>
        <v/>
      </c>
      <c r="AE332" s="43" t="str">
        <f>IF(CCUS_Projects_Database!$X332&lt;&gt;"",HYPERLINK(CCUS_Projects_Database!$X332,"Link 7"),"")</f>
        <v/>
      </c>
    </row>
    <row r="333" ht="15.75" customHeight="1">
      <c r="A333" s="44" t="s">
        <v>1327</v>
      </c>
      <c r="B333" s="45">
        <v>670.0</v>
      </c>
      <c r="C333" s="45" t="s">
        <v>299</v>
      </c>
      <c r="D333" s="46" t="s">
        <v>1328</v>
      </c>
      <c r="E333" s="45" t="s">
        <v>12</v>
      </c>
      <c r="F333" s="45">
        <v>2022.0</v>
      </c>
      <c r="G333" s="45" t="s">
        <v>124</v>
      </c>
      <c r="H333" s="45">
        <v>2026.0</v>
      </c>
      <c r="I333" s="45" t="s">
        <v>124</v>
      </c>
      <c r="J333" s="45" t="s">
        <v>28</v>
      </c>
      <c r="K333" s="47">
        <v>1.0</v>
      </c>
      <c r="L333" s="52">
        <v>2.6</v>
      </c>
      <c r="M333" s="47">
        <v>2.6</v>
      </c>
      <c r="N333" s="45" t="s">
        <v>12</v>
      </c>
      <c r="O333" s="48" t="s">
        <v>71</v>
      </c>
      <c r="P333" s="49" t="s">
        <v>1329</v>
      </c>
      <c r="Q333" s="45" t="s">
        <v>125</v>
      </c>
      <c r="R333" s="49" t="s">
        <v>407</v>
      </c>
      <c r="S333" s="49" t="s">
        <v>1330</v>
      </c>
      <c r="T333" s="49" t="s">
        <v>1331</v>
      </c>
      <c r="U333" s="49" t="s">
        <v>1332</v>
      </c>
      <c r="V333" s="49" t="s">
        <v>1333</v>
      </c>
      <c r="W333" s="49" t="s">
        <v>1334</v>
      </c>
      <c r="X333" s="49" t="s">
        <v>124</v>
      </c>
      <c r="Y333" s="50" t="str">
        <f>IF(CCUS_Projects_Database!$R333&lt;&gt;"",HYPERLINK(CCUS_Projects_Database!$R333,"Link 1"),"")</f>
        <v>Link 1</v>
      </c>
      <c r="Z333" s="50" t="str">
        <f>IF(CCUS_Projects_Database!$S333&lt;&gt;"",HYPERLINK(CCUS_Projects_Database!$S333,"Link 2"),"")</f>
        <v>Link 2</v>
      </c>
      <c r="AA333" s="50" t="str">
        <f>IF(CCUS_Projects_Database!$T333&lt;&gt;"",HYPERLINK(CCUS_Projects_Database!$T333,"Link 3"),"")</f>
        <v>Link 3</v>
      </c>
      <c r="AB333" s="50" t="str">
        <f>IF(CCUS_Projects_Database!$U333&lt;&gt;"",HYPERLINK(CCUS_Projects_Database!$U333,"Link 4"),"")</f>
        <v>Link 4</v>
      </c>
      <c r="AC333" s="50" t="str">
        <f>IF(CCUS_Projects_Database!$V333&lt;&gt;"",HYPERLINK(CCUS_Projects_Database!$V333,"Link 5"),"")</f>
        <v>Link 5</v>
      </c>
      <c r="AD333" s="50" t="str">
        <f>IF(CCUS_Projects_Database!$W333&lt;&gt;"",HYPERLINK(CCUS_Projects_Database!$W333,"Link 6"),"")</f>
        <v>Link 6</v>
      </c>
      <c r="AE333" s="50" t="str">
        <f>IF(CCUS_Projects_Database!$X333&lt;&gt;"",HYPERLINK(CCUS_Projects_Database!$X333,"Link 7"),"")</f>
        <v/>
      </c>
    </row>
    <row r="334" ht="15.75" customHeight="1">
      <c r="A334" s="37" t="s">
        <v>1335</v>
      </c>
      <c r="B334" s="38">
        <v>764.0</v>
      </c>
      <c r="C334" s="38" t="s">
        <v>146</v>
      </c>
      <c r="D334" s="39" t="s">
        <v>1336</v>
      </c>
      <c r="E334" s="38" t="s">
        <v>12</v>
      </c>
      <c r="F334" s="38">
        <v>2022.0</v>
      </c>
      <c r="G334" s="38">
        <v>2025.0</v>
      </c>
      <c r="H334" s="38">
        <v>2031.0</v>
      </c>
      <c r="I334" s="38" t="s">
        <v>124</v>
      </c>
      <c r="J334" s="38" t="s">
        <v>28</v>
      </c>
      <c r="K334" s="40">
        <v>1.0</v>
      </c>
      <c r="L334" s="40"/>
      <c r="M334" s="40" t="s">
        <v>124</v>
      </c>
      <c r="N334" s="38" t="s">
        <v>12</v>
      </c>
      <c r="O334" s="41" t="s">
        <v>73</v>
      </c>
      <c r="P334" s="42" t="s">
        <v>124</v>
      </c>
      <c r="Q334" s="38" t="s">
        <v>148</v>
      </c>
      <c r="R334" s="42" t="s">
        <v>1337</v>
      </c>
      <c r="S334" s="42" t="s">
        <v>758</v>
      </c>
      <c r="T334" s="42" t="s">
        <v>124</v>
      </c>
      <c r="U334" s="42" t="s">
        <v>124</v>
      </c>
      <c r="V334" s="42" t="s">
        <v>124</v>
      </c>
      <c r="W334" s="42" t="s">
        <v>124</v>
      </c>
      <c r="X334" s="42" t="s">
        <v>124</v>
      </c>
      <c r="Y334" s="43" t="str">
        <f>IF(CCUS_Projects_Database!$R334&lt;&gt;"",HYPERLINK(CCUS_Projects_Database!$R334,"Link 1"),"")</f>
        <v>Link 1</v>
      </c>
      <c r="Z334" s="43" t="str">
        <f>IF(CCUS_Projects_Database!$S334&lt;&gt;"",HYPERLINK(CCUS_Projects_Database!$S334,"Link 2"),"")</f>
        <v>Link 2</v>
      </c>
      <c r="AA334" s="43" t="str">
        <f>IF(CCUS_Projects_Database!$T334&lt;&gt;"",HYPERLINK(CCUS_Projects_Database!$T334,"Link 3"),"")</f>
        <v/>
      </c>
      <c r="AB334" s="43" t="str">
        <f>IF(CCUS_Projects_Database!$U334&lt;&gt;"",HYPERLINK(CCUS_Projects_Database!$U334,"Link 4"),"")</f>
        <v/>
      </c>
      <c r="AC334" s="43" t="str">
        <f>IF(CCUS_Projects_Database!$V334&lt;&gt;"",HYPERLINK(CCUS_Projects_Database!$V334,"Link 5"),"")</f>
        <v/>
      </c>
      <c r="AD334" s="43" t="str">
        <f>IF(CCUS_Projects_Database!$W334&lt;&gt;"",HYPERLINK(CCUS_Projects_Database!$W334,"Link 6"),"")</f>
        <v/>
      </c>
      <c r="AE334" s="43" t="str">
        <f>IF(CCUS_Projects_Database!$X334&lt;&gt;"",HYPERLINK(CCUS_Projects_Database!$X334,"Link 7"),"")</f>
        <v/>
      </c>
    </row>
    <row r="335" ht="15.75" customHeight="1">
      <c r="A335" s="44" t="s">
        <v>1338</v>
      </c>
      <c r="B335" s="45">
        <v>477.0</v>
      </c>
      <c r="C335" s="45" t="s">
        <v>141</v>
      </c>
      <c r="D335" s="46" t="s">
        <v>348</v>
      </c>
      <c r="E335" s="45" t="s">
        <v>12</v>
      </c>
      <c r="F335" s="45">
        <v>2022.0</v>
      </c>
      <c r="G335" s="45" t="s">
        <v>124</v>
      </c>
      <c r="H335" s="45">
        <v>2026.0</v>
      </c>
      <c r="I335" s="45" t="s">
        <v>124</v>
      </c>
      <c r="J335" s="45" t="s">
        <v>28</v>
      </c>
      <c r="K335" s="47" t="s">
        <v>124</v>
      </c>
      <c r="L335" s="52">
        <v>15.0</v>
      </c>
      <c r="M335" s="47">
        <v>10.0</v>
      </c>
      <c r="N335" s="45" t="s">
        <v>12</v>
      </c>
      <c r="O335" s="48" t="s">
        <v>71</v>
      </c>
      <c r="P335" s="49" t="s">
        <v>1339</v>
      </c>
      <c r="Q335" s="45" t="s">
        <v>143</v>
      </c>
      <c r="R335" s="49" t="s">
        <v>1340</v>
      </c>
      <c r="S335" s="49" t="s">
        <v>1341</v>
      </c>
      <c r="T335" s="49" t="s">
        <v>1342</v>
      </c>
      <c r="U335" s="49" t="s">
        <v>124</v>
      </c>
      <c r="V335" s="49" t="s">
        <v>124</v>
      </c>
      <c r="W335" s="49" t="s">
        <v>124</v>
      </c>
      <c r="X335" s="49" t="s">
        <v>124</v>
      </c>
      <c r="Y335" s="50" t="str">
        <f>IF(CCUS_Projects_Database!$R335&lt;&gt;"",HYPERLINK(CCUS_Projects_Database!$R335,"Link 1"),"")</f>
        <v>Link 1</v>
      </c>
      <c r="Z335" s="50" t="str">
        <f>IF(CCUS_Projects_Database!$S335&lt;&gt;"",HYPERLINK(CCUS_Projects_Database!$S335,"Link 2"),"")</f>
        <v>Link 2</v>
      </c>
      <c r="AA335" s="50" t="str">
        <f>IF(CCUS_Projects_Database!$T335&lt;&gt;"",HYPERLINK(CCUS_Projects_Database!$T335,"Link 3"),"")</f>
        <v>Link 3</v>
      </c>
      <c r="AB335" s="50" t="str">
        <f>IF(CCUS_Projects_Database!$U335&lt;&gt;"",HYPERLINK(CCUS_Projects_Database!$U335,"Link 4"),"")</f>
        <v/>
      </c>
      <c r="AC335" s="50" t="str">
        <f>IF(CCUS_Projects_Database!$V335&lt;&gt;"",HYPERLINK(CCUS_Projects_Database!$V335,"Link 5"),"")</f>
        <v/>
      </c>
      <c r="AD335" s="50" t="str">
        <f>IF(CCUS_Projects_Database!$W335&lt;&gt;"",HYPERLINK(CCUS_Projects_Database!$W335,"Link 6"),"")</f>
        <v/>
      </c>
      <c r="AE335" s="50" t="str">
        <f>IF(CCUS_Projects_Database!$X335&lt;&gt;"",HYPERLINK(CCUS_Projects_Database!$X335,"Link 7"),"")</f>
        <v/>
      </c>
    </row>
    <row r="336" ht="15.75" customHeight="1">
      <c r="A336" s="37" t="s">
        <v>1343</v>
      </c>
      <c r="B336" s="38">
        <v>162.0</v>
      </c>
      <c r="C336" s="38" t="s">
        <v>239</v>
      </c>
      <c r="D336" s="39" t="s">
        <v>1344</v>
      </c>
      <c r="E336" s="38" t="s">
        <v>8</v>
      </c>
      <c r="F336" s="38">
        <v>2021.0</v>
      </c>
      <c r="G336" s="38">
        <v>2024.0</v>
      </c>
      <c r="H336" s="38">
        <v>2027.0</v>
      </c>
      <c r="I336" s="38" t="s">
        <v>124</v>
      </c>
      <c r="J336" s="38" t="s">
        <v>28</v>
      </c>
      <c r="K336" s="40" t="s">
        <v>124</v>
      </c>
      <c r="L336" s="51">
        <v>3.0</v>
      </c>
      <c r="M336" s="40">
        <v>3.0</v>
      </c>
      <c r="N336" s="38" t="s">
        <v>46</v>
      </c>
      <c r="O336" s="41" t="s">
        <v>71</v>
      </c>
      <c r="P336" s="42" t="s">
        <v>1345</v>
      </c>
      <c r="Q336" s="38" t="s">
        <v>143</v>
      </c>
      <c r="R336" s="42" t="s">
        <v>1346</v>
      </c>
      <c r="S336" s="42" t="s">
        <v>1347</v>
      </c>
      <c r="T336" s="42" t="s">
        <v>124</v>
      </c>
      <c r="U336" s="42" t="s">
        <v>124</v>
      </c>
      <c r="V336" s="42" t="s">
        <v>124</v>
      </c>
      <c r="W336" s="42" t="s">
        <v>124</v>
      </c>
      <c r="X336" s="42" t="s">
        <v>124</v>
      </c>
      <c r="Y336" s="43" t="str">
        <f>IF(CCUS_Projects_Database!$R336&lt;&gt;"",HYPERLINK(CCUS_Projects_Database!$R336,"Link 1"),"")</f>
        <v>Link 1</v>
      </c>
      <c r="Z336" s="43" t="str">
        <f>IF(CCUS_Projects_Database!$S336&lt;&gt;"",HYPERLINK(CCUS_Projects_Database!$S336,"Link 2"),"")</f>
        <v>Link 2</v>
      </c>
      <c r="AA336" s="43" t="str">
        <f>IF(CCUS_Projects_Database!$T336&lt;&gt;"",HYPERLINK(CCUS_Projects_Database!$T336,"Link 3"),"")</f>
        <v/>
      </c>
      <c r="AB336" s="43" t="str">
        <f>IF(CCUS_Projects_Database!$U336&lt;&gt;"",HYPERLINK(CCUS_Projects_Database!$U336,"Link 4"),"")</f>
        <v/>
      </c>
      <c r="AC336" s="43" t="str">
        <f>IF(CCUS_Projects_Database!$V336&lt;&gt;"",HYPERLINK(CCUS_Projects_Database!$V336,"Link 5"),"")</f>
        <v/>
      </c>
      <c r="AD336" s="43" t="str">
        <f>IF(CCUS_Projects_Database!$W336&lt;&gt;"",HYPERLINK(CCUS_Projects_Database!$W336,"Link 6"),"")</f>
        <v/>
      </c>
      <c r="AE336" s="43" t="str">
        <f>IF(CCUS_Projects_Database!$X336&lt;&gt;"",HYPERLINK(CCUS_Projects_Database!$X336,"Link 7"),"")</f>
        <v/>
      </c>
    </row>
    <row r="337" ht="15.75" customHeight="1">
      <c r="A337" s="44" t="s">
        <v>895</v>
      </c>
      <c r="B337" s="45">
        <v>684.0</v>
      </c>
      <c r="C337" s="45" t="s">
        <v>893</v>
      </c>
      <c r="D337" s="46" t="s">
        <v>1348</v>
      </c>
      <c r="E337" s="45" t="s">
        <v>14</v>
      </c>
      <c r="F337" s="45">
        <v>2022.0</v>
      </c>
      <c r="G337" s="45">
        <v>2025.0</v>
      </c>
      <c r="H337" s="45">
        <v>2031.0</v>
      </c>
      <c r="I337" s="45" t="s">
        <v>124</v>
      </c>
      <c r="J337" s="45" t="s">
        <v>28</v>
      </c>
      <c r="K337" s="47" t="s">
        <v>124</v>
      </c>
      <c r="L337" s="52">
        <v>0.63</v>
      </c>
      <c r="M337" s="47">
        <v>0.63</v>
      </c>
      <c r="N337" s="45" t="s">
        <v>14</v>
      </c>
      <c r="O337" s="48" t="s">
        <v>71</v>
      </c>
      <c r="P337" s="49" t="s">
        <v>895</v>
      </c>
      <c r="Q337" s="45" t="s">
        <v>125</v>
      </c>
      <c r="R337" s="49" t="s">
        <v>407</v>
      </c>
      <c r="S337" s="49" t="s">
        <v>124</v>
      </c>
      <c r="T337" s="49" t="s">
        <v>124</v>
      </c>
      <c r="U337" s="49" t="s">
        <v>124</v>
      </c>
      <c r="V337" s="49" t="s">
        <v>124</v>
      </c>
      <c r="W337" s="49" t="s">
        <v>124</v>
      </c>
      <c r="X337" s="49" t="s">
        <v>124</v>
      </c>
      <c r="Y337" s="50" t="str">
        <f>IF(CCUS_Projects_Database!$R337&lt;&gt;"",HYPERLINK(CCUS_Projects_Database!$R337,"Link 1"),"")</f>
        <v>Link 1</v>
      </c>
      <c r="Z337" s="50" t="str">
        <f>IF(CCUS_Projects_Database!$S337&lt;&gt;"",HYPERLINK(CCUS_Projects_Database!$S337,"Link 2"),"")</f>
        <v/>
      </c>
      <c r="AA337" s="50" t="str">
        <f>IF(CCUS_Projects_Database!$T337&lt;&gt;"",HYPERLINK(CCUS_Projects_Database!$T337,"Link 3"),"")</f>
        <v/>
      </c>
      <c r="AB337" s="50" t="str">
        <f>IF(CCUS_Projects_Database!$U337&lt;&gt;"",HYPERLINK(CCUS_Projects_Database!$U337,"Link 4"),"")</f>
        <v/>
      </c>
      <c r="AC337" s="50" t="str">
        <f>IF(CCUS_Projects_Database!$V337&lt;&gt;"",HYPERLINK(CCUS_Projects_Database!$V337,"Link 5"),"")</f>
        <v/>
      </c>
      <c r="AD337" s="50" t="str">
        <f>IF(CCUS_Projects_Database!$W337&lt;&gt;"",HYPERLINK(CCUS_Projects_Database!$W337,"Link 6"),"")</f>
        <v/>
      </c>
      <c r="AE337" s="50" t="str">
        <f>IF(CCUS_Projects_Database!$X337&lt;&gt;"",HYPERLINK(CCUS_Projects_Database!$X337,"Link 7"),"")</f>
        <v/>
      </c>
    </row>
    <row r="338" ht="15.75" customHeight="1">
      <c r="A338" s="37" t="s">
        <v>1349</v>
      </c>
      <c r="B338" s="38">
        <v>630.0</v>
      </c>
      <c r="C338" s="38" t="s">
        <v>181</v>
      </c>
      <c r="D338" s="39" t="s">
        <v>1350</v>
      </c>
      <c r="E338" s="38" t="s">
        <v>12</v>
      </c>
      <c r="F338" s="38">
        <v>2022.0</v>
      </c>
      <c r="G338" s="38" t="s">
        <v>124</v>
      </c>
      <c r="H338" s="38" t="s">
        <v>124</v>
      </c>
      <c r="I338" s="38" t="s">
        <v>124</v>
      </c>
      <c r="J338" s="38" t="s">
        <v>28</v>
      </c>
      <c r="K338" s="40" t="s">
        <v>124</v>
      </c>
      <c r="L338" s="40"/>
      <c r="M338" s="40" t="s">
        <v>124</v>
      </c>
      <c r="N338" s="38" t="s">
        <v>12</v>
      </c>
      <c r="O338" s="41" t="s">
        <v>71</v>
      </c>
      <c r="P338" s="42" t="s">
        <v>124</v>
      </c>
      <c r="Q338" s="38" t="s">
        <v>184</v>
      </c>
      <c r="R338" s="42" t="s">
        <v>1351</v>
      </c>
      <c r="S338" s="42" t="s">
        <v>124</v>
      </c>
      <c r="T338" s="42" t="s">
        <v>124</v>
      </c>
      <c r="U338" s="42" t="s">
        <v>124</v>
      </c>
      <c r="V338" s="42" t="s">
        <v>124</v>
      </c>
      <c r="W338" s="42" t="s">
        <v>124</v>
      </c>
      <c r="X338" s="42" t="s">
        <v>124</v>
      </c>
      <c r="Y338" s="43" t="str">
        <f>IF(CCUS_Projects_Database!$R338&lt;&gt;"",HYPERLINK(CCUS_Projects_Database!$R338,"Link 1"),"")</f>
        <v>Link 1</v>
      </c>
      <c r="Z338" s="43" t="str">
        <f>IF(CCUS_Projects_Database!$S338&lt;&gt;"",HYPERLINK(CCUS_Projects_Database!$S338,"Link 2"),"")</f>
        <v/>
      </c>
      <c r="AA338" s="43" t="str">
        <f>IF(CCUS_Projects_Database!$T338&lt;&gt;"",HYPERLINK(CCUS_Projects_Database!$T338,"Link 3"),"")</f>
        <v/>
      </c>
      <c r="AB338" s="43" t="str">
        <f>IF(CCUS_Projects_Database!$U338&lt;&gt;"",HYPERLINK(CCUS_Projects_Database!$U338,"Link 4"),"")</f>
        <v/>
      </c>
      <c r="AC338" s="43" t="str">
        <f>IF(CCUS_Projects_Database!$V338&lt;&gt;"",HYPERLINK(CCUS_Projects_Database!$V338,"Link 5"),"")</f>
        <v/>
      </c>
      <c r="AD338" s="43" t="str">
        <f>IF(CCUS_Projects_Database!$W338&lt;&gt;"",HYPERLINK(CCUS_Projects_Database!$W338,"Link 6"),"")</f>
        <v/>
      </c>
      <c r="AE338" s="43" t="str">
        <f>IF(CCUS_Projects_Database!$X338&lt;&gt;"",HYPERLINK(CCUS_Projects_Database!$X338,"Link 7"),"")</f>
        <v/>
      </c>
    </row>
    <row r="339" ht="15.75" customHeight="1">
      <c r="A339" s="44" t="s">
        <v>1352</v>
      </c>
      <c r="B339" s="45">
        <v>163.0</v>
      </c>
      <c r="C339" s="45" t="s">
        <v>141</v>
      </c>
      <c r="D339" s="46" t="s">
        <v>1353</v>
      </c>
      <c r="E339" s="45" t="s">
        <v>8</v>
      </c>
      <c r="F339" s="45">
        <v>2013.0</v>
      </c>
      <c r="G339" s="45" t="s">
        <v>124</v>
      </c>
      <c r="H339" s="45">
        <v>2025.0</v>
      </c>
      <c r="I339" s="45" t="s">
        <v>124</v>
      </c>
      <c r="J339" s="45" t="s">
        <v>28</v>
      </c>
      <c r="K339" s="47" t="s">
        <v>124</v>
      </c>
      <c r="L339" s="52">
        <v>3.8</v>
      </c>
      <c r="M339" s="47">
        <v>3.8</v>
      </c>
      <c r="N339" s="45" t="s">
        <v>46</v>
      </c>
      <c r="O339" s="48" t="s">
        <v>73</v>
      </c>
      <c r="P339" s="49" t="s">
        <v>124</v>
      </c>
      <c r="Q339" s="45" t="s">
        <v>143</v>
      </c>
      <c r="R339" s="49" t="s">
        <v>1354</v>
      </c>
      <c r="S339" s="49" t="s">
        <v>124</v>
      </c>
      <c r="T339" s="49" t="s">
        <v>124</v>
      </c>
      <c r="U339" s="49" t="s">
        <v>124</v>
      </c>
      <c r="V339" s="49" t="s">
        <v>124</v>
      </c>
      <c r="W339" s="49" t="s">
        <v>124</v>
      </c>
      <c r="X339" s="49" t="s">
        <v>124</v>
      </c>
      <c r="Y339" s="50" t="str">
        <f>IF(CCUS_Projects_Database!$R339&lt;&gt;"",HYPERLINK(CCUS_Projects_Database!$R339,"Link 1"),"")</f>
        <v>Link 1</v>
      </c>
      <c r="Z339" s="50" t="str">
        <f>IF(CCUS_Projects_Database!$S339&lt;&gt;"",HYPERLINK(CCUS_Projects_Database!$S339,"Link 2"),"")</f>
        <v/>
      </c>
      <c r="AA339" s="50" t="str">
        <f>IF(CCUS_Projects_Database!$T339&lt;&gt;"",HYPERLINK(CCUS_Projects_Database!$T339,"Link 3"),"")</f>
        <v/>
      </c>
      <c r="AB339" s="50" t="str">
        <f>IF(CCUS_Projects_Database!$U339&lt;&gt;"",HYPERLINK(CCUS_Projects_Database!$U339,"Link 4"),"")</f>
        <v/>
      </c>
      <c r="AC339" s="50" t="str">
        <f>IF(CCUS_Projects_Database!$V339&lt;&gt;"",HYPERLINK(CCUS_Projects_Database!$V339,"Link 5"),"")</f>
        <v/>
      </c>
      <c r="AD339" s="50" t="str">
        <f>IF(CCUS_Projects_Database!$W339&lt;&gt;"",HYPERLINK(CCUS_Projects_Database!$W339,"Link 6"),"")</f>
        <v/>
      </c>
      <c r="AE339" s="50" t="str">
        <f>IF(CCUS_Projects_Database!$X339&lt;&gt;"",HYPERLINK(CCUS_Projects_Database!$X339,"Link 7"),"")</f>
        <v/>
      </c>
    </row>
    <row r="340" ht="15.75" customHeight="1">
      <c r="A340" s="37" t="s">
        <v>1355</v>
      </c>
      <c r="B340" s="38">
        <v>675.0</v>
      </c>
      <c r="C340" s="38" t="s">
        <v>247</v>
      </c>
      <c r="D340" s="39" t="s">
        <v>1356</v>
      </c>
      <c r="E340" s="38" t="s">
        <v>10</v>
      </c>
      <c r="F340" s="38">
        <v>2022.0</v>
      </c>
      <c r="G340" s="38">
        <v>2024.0</v>
      </c>
      <c r="H340" s="38">
        <v>2028.0</v>
      </c>
      <c r="I340" s="38" t="s">
        <v>124</v>
      </c>
      <c r="J340" s="38" t="s">
        <v>28</v>
      </c>
      <c r="K340" s="40" t="s">
        <v>124</v>
      </c>
      <c r="L340" s="51">
        <v>22.3</v>
      </c>
      <c r="M340" s="40">
        <v>25.8</v>
      </c>
      <c r="N340" s="38" t="s">
        <v>10</v>
      </c>
      <c r="O340" s="41" t="s">
        <v>71</v>
      </c>
      <c r="P340" s="42" t="s">
        <v>1357</v>
      </c>
      <c r="Q340" s="38" t="s">
        <v>125</v>
      </c>
      <c r="R340" s="42" t="s">
        <v>1358</v>
      </c>
      <c r="S340" s="42" t="s">
        <v>329</v>
      </c>
      <c r="T340" s="42" t="s">
        <v>124</v>
      </c>
      <c r="U340" s="42" t="s">
        <v>124</v>
      </c>
      <c r="V340" s="42" t="s">
        <v>124</v>
      </c>
      <c r="W340" s="42" t="s">
        <v>124</v>
      </c>
      <c r="X340" s="42" t="s">
        <v>124</v>
      </c>
      <c r="Y340" s="43" t="str">
        <f>IF(CCUS_Projects_Database!$R340&lt;&gt;"",HYPERLINK(CCUS_Projects_Database!$R340,"Link 1"),"")</f>
        <v>Link 1</v>
      </c>
      <c r="Z340" s="43" t="str">
        <f>IF(CCUS_Projects_Database!$S340&lt;&gt;"",HYPERLINK(CCUS_Projects_Database!$S340,"Link 2"),"")</f>
        <v>Link 2</v>
      </c>
      <c r="AA340" s="43" t="str">
        <f>IF(CCUS_Projects_Database!$T340&lt;&gt;"",HYPERLINK(CCUS_Projects_Database!$T340,"Link 3"),"")</f>
        <v/>
      </c>
      <c r="AB340" s="43" t="str">
        <f>IF(CCUS_Projects_Database!$U340&lt;&gt;"",HYPERLINK(CCUS_Projects_Database!$U340,"Link 4"),"")</f>
        <v/>
      </c>
      <c r="AC340" s="43" t="str">
        <f>IF(CCUS_Projects_Database!$V340&lt;&gt;"",HYPERLINK(CCUS_Projects_Database!$V340,"Link 5"),"")</f>
        <v/>
      </c>
      <c r="AD340" s="43" t="str">
        <f>IF(CCUS_Projects_Database!$W340&lt;&gt;"",HYPERLINK(CCUS_Projects_Database!$W340,"Link 6"),"")</f>
        <v/>
      </c>
      <c r="AE340" s="43" t="str">
        <f>IF(CCUS_Projects_Database!$X340&lt;&gt;"",HYPERLINK(CCUS_Projects_Database!$X340,"Link 7"),"")</f>
        <v/>
      </c>
    </row>
    <row r="341" ht="15.75" customHeight="1">
      <c r="A341" s="44" t="s">
        <v>1359</v>
      </c>
      <c r="B341" s="45">
        <v>733.0</v>
      </c>
      <c r="C341" s="45" t="s">
        <v>1360</v>
      </c>
      <c r="D341" s="46" t="s">
        <v>1361</v>
      </c>
      <c r="E341" s="45" t="s">
        <v>8</v>
      </c>
      <c r="F341" s="45">
        <v>2010.0</v>
      </c>
      <c r="G341" s="45" t="s">
        <v>124</v>
      </c>
      <c r="H341" s="45" t="s">
        <v>124</v>
      </c>
      <c r="I341" s="45" t="s">
        <v>124</v>
      </c>
      <c r="J341" s="45" t="s">
        <v>28</v>
      </c>
      <c r="K341" s="47" t="s">
        <v>124</v>
      </c>
      <c r="L341" s="52">
        <v>1.3</v>
      </c>
      <c r="M341" s="47">
        <v>1.3</v>
      </c>
      <c r="N341" s="45" t="s">
        <v>46</v>
      </c>
      <c r="O341" s="48" t="s">
        <v>71</v>
      </c>
      <c r="P341" s="49" t="s">
        <v>124</v>
      </c>
      <c r="Q341" s="45" t="s">
        <v>125</v>
      </c>
      <c r="R341" s="49" t="s">
        <v>1362</v>
      </c>
      <c r="S341" s="49" t="s">
        <v>1363</v>
      </c>
      <c r="T341" s="49" t="s">
        <v>124</v>
      </c>
      <c r="U341" s="49" t="s">
        <v>124</v>
      </c>
      <c r="V341" s="49" t="s">
        <v>124</v>
      </c>
      <c r="W341" s="49" t="s">
        <v>124</v>
      </c>
      <c r="X341" s="49" t="s">
        <v>124</v>
      </c>
      <c r="Y341" s="50" t="str">
        <f>IF(CCUS_Projects_Database!$R341&lt;&gt;"",HYPERLINK(CCUS_Projects_Database!$R341,"Link 1"),"")</f>
        <v>Link 1</v>
      </c>
      <c r="Z341" s="50" t="str">
        <f>IF(CCUS_Projects_Database!$S341&lt;&gt;"",HYPERLINK(CCUS_Projects_Database!$S341,"Link 2"),"")</f>
        <v>Link 2</v>
      </c>
      <c r="AA341" s="50" t="str">
        <f>IF(CCUS_Projects_Database!$T341&lt;&gt;"",HYPERLINK(CCUS_Projects_Database!$T341,"Link 3"),"")</f>
        <v/>
      </c>
      <c r="AB341" s="50" t="str">
        <f>IF(CCUS_Projects_Database!$U341&lt;&gt;"",HYPERLINK(CCUS_Projects_Database!$U341,"Link 4"),"")</f>
        <v/>
      </c>
      <c r="AC341" s="50" t="str">
        <f>IF(CCUS_Projects_Database!$V341&lt;&gt;"",HYPERLINK(CCUS_Projects_Database!$V341,"Link 5"),"")</f>
        <v/>
      </c>
      <c r="AD341" s="50" t="str">
        <f>IF(CCUS_Projects_Database!$W341&lt;&gt;"",HYPERLINK(CCUS_Projects_Database!$W341,"Link 6"),"")</f>
        <v/>
      </c>
      <c r="AE341" s="50" t="str">
        <f>IF(CCUS_Projects_Database!$X341&lt;&gt;"",HYPERLINK(CCUS_Projects_Database!$X341,"Link 7"),"")</f>
        <v/>
      </c>
    </row>
    <row r="342" ht="15.75" customHeight="1">
      <c r="A342" s="37" t="s">
        <v>1364</v>
      </c>
      <c r="B342" s="38">
        <v>1012.0</v>
      </c>
      <c r="C342" s="38" t="s">
        <v>247</v>
      </c>
      <c r="D342" s="39" t="s">
        <v>1365</v>
      </c>
      <c r="E342" s="38" t="s">
        <v>8</v>
      </c>
      <c r="F342" s="38">
        <v>2023.0</v>
      </c>
      <c r="G342" s="38">
        <v>2026.0</v>
      </c>
      <c r="H342" s="38">
        <v>2029.0</v>
      </c>
      <c r="I342" s="38" t="s">
        <v>124</v>
      </c>
      <c r="J342" s="38" t="s">
        <v>28</v>
      </c>
      <c r="K342" s="40" t="s">
        <v>124</v>
      </c>
      <c r="L342" s="51">
        <v>0.76</v>
      </c>
      <c r="M342" s="40">
        <v>0.76</v>
      </c>
      <c r="N342" s="38" t="s">
        <v>56</v>
      </c>
      <c r="O342" s="41" t="s">
        <v>71</v>
      </c>
      <c r="P342" s="42" t="s">
        <v>888</v>
      </c>
      <c r="Q342" s="38" t="s">
        <v>125</v>
      </c>
      <c r="R342" s="42" t="s">
        <v>1366</v>
      </c>
      <c r="S342" s="42" t="s">
        <v>124</v>
      </c>
      <c r="T342" s="42" t="s">
        <v>124</v>
      </c>
      <c r="U342" s="42" t="s">
        <v>124</v>
      </c>
      <c r="V342" s="42" t="s">
        <v>124</v>
      </c>
      <c r="W342" s="42" t="s">
        <v>124</v>
      </c>
      <c r="X342" s="42" t="s">
        <v>124</v>
      </c>
      <c r="Y342" s="43" t="str">
        <f>IF(CCUS_Projects_Database!$R342&lt;&gt;"",HYPERLINK(CCUS_Projects_Database!$R342,"Link 1"),"")</f>
        <v>Link 1</v>
      </c>
      <c r="Z342" s="43" t="str">
        <f>IF(CCUS_Projects_Database!$S342&lt;&gt;"",HYPERLINK(CCUS_Projects_Database!$S342,"Link 2"),"")</f>
        <v/>
      </c>
      <c r="AA342" s="43" t="str">
        <f>IF(CCUS_Projects_Database!$T342&lt;&gt;"",HYPERLINK(CCUS_Projects_Database!$T342,"Link 3"),"")</f>
        <v/>
      </c>
      <c r="AB342" s="43" t="str">
        <f>IF(CCUS_Projects_Database!$U342&lt;&gt;"",HYPERLINK(CCUS_Projects_Database!$U342,"Link 4"),"")</f>
        <v/>
      </c>
      <c r="AC342" s="43" t="str">
        <f>IF(CCUS_Projects_Database!$V342&lt;&gt;"",HYPERLINK(CCUS_Projects_Database!$V342,"Link 5"),"")</f>
        <v/>
      </c>
      <c r="AD342" s="43" t="str">
        <f>IF(CCUS_Projects_Database!$W342&lt;&gt;"",HYPERLINK(CCUS_Projects_Database!$W342,"Link 6"),"")</f>
        <v/>
      </c>
      <c r="AE342" s="43" t="str">
        <f>IF(CCUS_Projects_Database!$X342&lt;&gt;"",HYPERLINK(CCUS_Projects_Database!$X342,"Link 7"),"")</f>
        <v/>
      </c>
    </row>
    <row r="343" ht="15.75" customHeight="1">
      <c r="A343" s="44" t="s">
        <v>1367</v>
      </c>
      <c r="B343" s="45">
        <v>532.0</v>
      </c>
      <c r="C343" s="45" t="s">
        <v>311</v>
      </c>
      <c r="D343" s="46" t="s">
        <v>1368</v>
      </c>
      <c r="E343" s="45" t="s">
        <v>10</v>
      </c>
      <c r="F343" s="45">
        <v>2022.0</v>
      </c>
      <c r="G343" s="45" t="s">
        <v>124</v>
      </c>
      <c r="H343" s="45">
        <v>2027.0</v>
      </c>
      <c r="I343" s="45" t="s">
        <v>124</v>
      </c>
      <c r="J343" s="45" t="s">
        <v>28</v>
      </c>
      <c r="K343" s="47" t="s">
        <v>124</v>
      </c>
      <c r="L343" s="52">
        <v>6.0</v>
      </c>
      <c r="M343" s="47">
        <v>6.0</v>
      </c>
      <c r="N343" s="45" t="s">
        <v>10</v>
      </c>
      <c r="O343" s="48" t="s">
        <v>71</v>
      </c>
      <c r="P343" s="49" t="s">
        <v>124</v>
      </c>
      <c r="Q343" s="45" t="s">
        <v>125</v>
      </c>
      <c r="R343" s="49" t="s">
        <v>1369</v>
      </c>
      <c r="S343" s="49" t="s">
        <v>316</v>
      </c>
      <c r="T343" s="49" t="s">
        <v>124</v>
      </c>
      <c r="U343" s="49" t="s">
        <v>124</v>
      </c>
      <c r="V343" s="49" t="s">
        <v>124</v>
      </c>
      <c r="W343" s="49" t="s">
        <v>124</v>
      </c>
      <c r="X343" s="49" t="s">
        <v>124</v>
      </c>
      <c r="Y343" s="50" t="str">
        <f>IF(CCUS_Projects_Database!$R343&lt;&gt;"",HYPERLINK(CCUS_Projects_Database!$R343,"Link 1"),"")</f>
        <v>Link 1</v>
      </c>
      <c r="Z343" s="50" t="str">
        <f>IF(CCUS_Projects_Database!$S343&lt;&gt;"",HYPERLINK(CCUS_Projects_Database!$S343,"Link 2"),"")</f>
        <v>Link 2</v>
      </c>
      <c r="AA343" s="50" t="str">
        <f>IF(CCUS_Projects_Database!$T343&lt;&gt;"",HYPERLINK(CCUS_Projects_Database!$T343,"Link 3"),"")</f>
        <v/>
      </c>
      <c r="AB343" s="50" t="str">
        <f>IF(CCUS_Projects_Database!$U343&lt;&gt;"",HYPERLINK(CCUS_Projects_Database!$U343,"Link 4"),"")</f>
        <v/>
      </c>
      <c r="AC343" s="50" t="str">
        <f>IF(CCUS_Projects_Database!$V343&lt;&gt;"",HYPERLINK(CCUS_Projects_Database!$V343,"Link 5"),"")</f>
        <v/>
      </c>
      <c r="AD343" s="50" t="str">
        <f>IF(CCUS_Projects_Database!$W343&lt;&gt;"",HYPERLINK(CCUS_Projects_Database!$W343,"Link 6"),"")</f>
        <v/>
      </c>
      <c r="AE343" s="50" t="str">
        <f>IF(CCUS_Projects_Database!$X343&lt;&gt;"",HYPERLINK(CCUS_Projects_Database!$X343,"Link 7"),"")</f>
        <v/>
      </c>
    </row>
    <row r="344" ht="15.75" customHeight="1">
      <c r="A344" s="37" t="s">
        <v>1370</v>
      </c>
      <c r="B344" s="38">
        <v>917.0</v>
      </c>
      <c r="C344" s="38" t="s">
        <v>284</v>
      </c>
      <c r="D344" s="39" t="s">
        <v>1371</v>
      </c>
      <c r="E344" s="38" t="s">
        <v>10</v>
      </c>
      <c r="F344" s="38">
        <v>2023.0</v>
      </c>
      <c r="G344" s="38" t="s">
        <v>124</v>
      </c>
      <c r="H344" s="38">
        <v>2028.0</v>
      </c>
      <c r="I344" s="38" t="s">
        <v>124</v>
      </c>
      <c r="J344" s="38" t="s">
        <v>28</v>
      </c>
      <c r="K344" s="40" t="s">
        <v>124</v>
      </c>
      <c r="L344" s="51">
        <v>22.0</v>
      </c>
      <c r="M344" s="40">
        <v>24.0</v>
      </c>
      <c r="N344" s="38" t="s">
        <v>10</v>
      </c>
      <c r="O344" s="41" t="s">
        <v>71</v>
      </c>
      <c r="P344" s="42" t="s">
        <v>1372</v>
      </c>
      <c r="Q344" s="38" t="s">
        <v>125</v>
      </c>
      <c r="R344" s="42" t="s">
        <v>124</v>
      </c>
      <c r="S344" s="42" t="s">
        <v>124</v>
      </c>
      <c r="T344" s="42" t="s">
        <v>124</v>
      </c>
      <c r="U344" s="42" t="s">
        <v>124</v>
      </c>
      <c r="V344" s="42" t="s">
        <v>124</v>
      </c>
      <c r="W344" s="42" t="s">
        <v>124</v>
      </c>
      <c r="X344" s="42" t="s">
        <v>124</v>
      </c>
      <c r="Y344" s="43" t="str">
        <f>IF(CCUS_Projects_Database!$R344&lt;&gt;"",HYPERLINK(CCUS_Projects_Database!$R344,"Link 1"),"")</f>
        <v/>
      </c>
      <c r="Z344" s="43" t="str">
        <f>IF(CCUS_Projects_Database!$S344&lt;&gt;"",HYPERLINK(CCUS_Projects_Database!$S344,"Link 2"),"")</f>
        <v/>
      </c>
      <c r="AA344" s="43" t="str">
        <f>IF(CCUS_Projects_Database!$T344&lt;&gt;"",HYPERLINK(CCUS_Projects_Database!$T344,"Link 3"),"")</f>
        <v/>
      </c>
      <c r="AB344" s="43" t="str">
        <f>IF(CCUS_Projects_Database!$U344&lt;&gt;"",HYPERLINK(CCUS_Projects_Database!$U344,"Link 4"),"")</f>
        <v/>
      </c>
      <c r="AC344" s="43" t="str">
        <f>IF(CCUS_Projects_Database!$V344&lt;&gt;"",HYPERLINK(CCUS_Projects_Database!$V344,"Link 5"),"")</f>
        <v/>
      </c>
      <c r="AD344" s="43" t="str">
        <f>IF(CCUS_Projects_Database!$W344&lt;&gt;"",HYPERLINK(CCUS_Projects_Database!$W344,"Link 6"),"")</f>
        <v/>
      </c>
      <c r="AE344" s="43" t="str">
        <f>IF(CCUS_Projects_Database!$X344&lt;&gt;"",HYPERLINK(CCUS_Projects_Database!$X344,"Link 7"),"")</f>
        <v/>
      </c>
    </row>
    <row r="345" ht="15.75" customHeight="1">
      <c r="A345" s="44" t="s">
        <v>1373</v>
      </c>
      <c r="B345" s="45">
        <v>166.0</v>
      </c>
      <c r="C345" s="45" t="s">
        <v>141</v>
      </c>
      <c r="D345" s="46" t="s">
        <v>1374</v>
      </c>
      <c r="E345" s="45" t="s">
        <v>8</v>
      </c>
      <c r="F345" s="45">
        <v>2021.0</v>
      </c>
      <c r="G345" s="45">
        <v>2024.0</v>
      </c>
      <c r="H345" s="45">
        <v>2025.0</v>
      </c>
      <c r="I345" s="45" t="s">
        <v>124</v>
      </c>
      <c r="J345" s="45" t="s">
        <v>28</v>
      </c>
      <c r="K345" s="47" t="s">
        <v>124</v>
      </c>
      <c r="L345" s="52">
        <v>0.13</v>
      </c>
      <c r="M345" s="47">
        <v>0.14</v>
      </c>
      <c r="N345" s="45" t="s">
        <v>50</v>
      </c>
      <c r="O345" s="48" t="s">
        <v>71</v>
      </c>
      <c r="P345" s="49" t="s">
        <v>567</v>
      </c>
      <c r="Q345" s="45" t="s">
        <v>143</v>
      </c>
      <c r="R345" s="49" t="s">
        <v>945</v>
      </c>
      <c r="S345" s="49" t="s">
        <v>946</v>
      </c>
      <c r="T345" s="49" t="s">
        <v>947</v>
      </c>
      <c r="U345" s="49" t="s">
        <v>124</v>
      </c>
      <c r="V345" s="49" t="s">
        <v>124</v>
      </c>
      <c r="W345" s="49" t="s">
        <v>124</v>
      </c>
      <c r="X345" s="49" t="s">
        <v>124</v>
      </c>
      <c r="Y345" s="50" t="str">
        <f>IF(CCUS_Projects_Database!$R345&lt;&gt;"",HYPERLINK(CCUS_Projects_Database!$R345,"Link 1"),"")</f>
        <v>Link 1</v>
      </c>
      <c r="Z345" s="50" t="str">
        <f>IF(CCUS_Projects_Database!$S345&lt;&gt;"",HYPERLINK(CCUS_Projects_Database!$S345,"Link 2"),"")</f>
        <v>Link 2</v>
      </c>
      <c r="AA345" s="50" t="str">
        <f>IF(CCUS_Projects_Database!$T345&lt;&gt;"",HYPERLINK(CCUS_Projects_Database!$T345,"Link 3"),"")</f>
        <v>Link 3</v>
      </c>
      <c r="AB345" s="50" t="str">
        <f>IF(CCUS_Projects_Database!$U345&lt;&gt;"",HYPERLINK(CCUS_Projects_Database!$U345,"Link 4"),"")</f>
        <v/>
      </c>
      <c r="AC345" s="50" t="str">
        <f>IF(CCUS_Projects_Database!$V345&lt;&gt;"",HYPERLINK(CCUS_Projects_Database!$V345,"Link 5"),"")</f>
        <v/>
      </c>
      <c r="AD345" s="50" t="str">
        <f>IF(CCUS_Projects_Database!$W345&lt;&gt;"",HYPERLINK(CCUS_Projects_Database!$W345,"Link 6"),"")</f>
        <v/>
      </c>
      <c r="AE345" s="50" t="str">
        <f>IF(CCUS_Projects_Database!$X345&lt;&gt;"",HYPERLINK(CCUS_Projects_Database!$X345,"Link 7"),"")</f>
        <v/>
      </c>
    </row>
    <row r="346" ht="15.75" customHeight="1">
      <c r="A346" s="37" t="s">
        <v>1375</v>
      </c>
      <c r="B346" s="38">
        <v>168.0</v>
      </c>
      <c r="C346" s="38" t="s">
        <v>141</v>
      </c>
      <c r="D346" s="39" t="s">
        <v>1374</v>
      </c>
      <c r="E346" s="38" t="s">
        <v>8</v>
      </c>
      <c r="F346" s="38">
        <v>2021.0</v>
      </c>
      <c r="G346" s="38">
        <v>2024.0</v>
      </c>
      <c r="H346" s="38">
        <v>2025.0</v>
      </c>
      <c r="I346" s="38" t="s">
        <v>124</v>
      </c>
      <c r="J346" s="38" t="s">
        <v>28</v>
      </c>
      <c r="K346" s="40" t="s">
        <v>124</v>
      </c>
      <c r="L346" s="51">
        <v>0.37</v>
      </c>
      <c r="M346" s="40">
        <v>0.4</v>
      </c>
      <c r="N346" s="38" t="s">
        <v>50</v>
      </c>
      <c r="O346" s="41" t="s">
        <v>71</v>
      </c>
      <c r="P346" s="42" t="s">
        <v>567</v>
      </c>
      <c r="Q346" s="38" t="s">
        <v>143</v>
      </c>
      <c r="R346" s="42" t="s">
        <v>945</v>
      </c>
      <c r="S346" s="42" t="s">
        <v>946</v>
      </c>
      <c r="T346" s="42" t="s">
        <v>947</v>
      </c>
      <c r="U346" s="42" t="s">
        <v>124</v>
      </c>
      <c r="V346" s="42" t="s">
        <v>124</v>
      </c>
      <c r="W346" s="42" t="s">
        <v>124</v>
      </c>
      <c r="X346" s="42" t="s">
        <v>124</v>
      </c>
      <c r="Y346" s="43" t="str">
        <f>IF(CCUS_Projects_Database!$R346&lt;&gt;"",HYPERLINK(CCUS_Projects_Database!$R346,"Link 1"),"")</f>
        <v>Link 1</v>
      </c>
      <c r="Z346" s="43" t="str">
        <f>IF(CCUS_Projects_Database!$S346&lt;&gt;"",HYPERLINK(CCUS_Projects_Database!$S346,"Link 2"),"")</f>
        <v>Link 2</v>
      </c>
      <c r="AA346" s="43" t="str">
        <f>IF(CCUS_Projects_Database!$T346&lt;&gt;"",HYPERLINK(CCUS_Projects_Database!$T346,"Link 3"),"")</f>
        <v>Link 3</v>
      </c>
      <c r="AB346" s="43" t="str">
        <f>IF(CCUS_Projects_Database!$U346&lt;&gt;"",HYPERLINK(CCUS_Projects_Database!$U346,"Link 4"),"")</f>
        <v/>
      </c>
      <c r="AC346" s="43" t="str">
        <f>IF(CCUS_Projects_Database!$V346&lt;&gt;"",HYPERLINK(CCUS_Projects_Database!$V346,"Link 5"),"")</f>
        <v/>
      </c>
      <c r="AD346" s="43" t="str">
        <f>IF(CCUS_Projects_Database!$W346&lt;&gt;"",HYPERLINK(CCUS_Projects_Database!$W346,"Link 6"),"")</f>
        <v/>
      </c>
      <c r="AE346" s="43" t="str">
        <f>IF(CCUS_Projects_Database!$X346&lt;&gt;"",HYPERLINK(CCUS_Projects_Database!$X346,"Link 7"),"")</f>
        <v/>
      </c>
    </row>
    <row r="347" ht="15.75" customHeight="1">
      <c r="A347" s="44" t="s">
        <v>1376</v>
      </c>
      <c r="B347" s="45">
        <v>169.0</v>
      </c>
      <c r="C347" s="45" t="s">
        <v>141</v>
      </c>
      <c r="D347" s="46" t="s">
        <v>1374</v>
      </c>
      <c r="E347" s="45" t="s">
        <v>8</v>
      </c>
      <c r="F347" s="45">
        <v>2021.0</v>
      </c>
      <c r="G347" s="45">
        <v>2024.0</v>
      </c>
      <c r="H347" s="45">
        <v>2025.0</v>
      </c>
      <c r="I347" s="45" t="s">
        <v>124</v>
      </c>
      <c r="J347" s="45" t="s">
        <v>28</v>
      </c>
      <c r="K347" s="47" t="s">
        <v>124</v>
      </c>
      <c r="L347" s="52">
        <v>0.345</v>
      </c>
      <c r="M347" s="47">
        <v>0.372</v>
      </c>
      <c r="N347" s="45" t="s">
        <v>50</v>
      </c>
      <c r="O347" s="48" t="s">
        <v>71</v>
      </c>
      <c r="P347" s="49" t="s">
        <v>567</v>
      </c>
      <c r="Q347" s="45" t="s">
        <v>143</v>
      </c>
      <c r="R347" s="49" t="s">
        <v>945</v>
      </c>
      <c r="S347" s="49" t="s">
        <v>946</v>
      </c>
      <c r="T347" s="49" t="s">
        <v>947</v>
      </c>
      <c r="U347" s="49" t="s">
        <v>124</v>
      </c>
      <c r="V347" s="49" t="s">
        <v>124</v>
      </c>
      <c r="W347" s="49" t="s">
        <v>124</v>
      </c>
      <c r="X347" s="49" t="s">
        <v>124</v>
      </c>
      <c r="Y347" s="50" t="str">
        <f>IF(CCUS_Projects_Database!$R347&lt;&gt;"",HYPERLINK(CCUS_Projects_Database!$R347,"Link 1"),"")</f>
        <v>Link 1</v>
      </c>
      <c r="Z347" s="50" t="str">
        <f>IF(CCUS_Projects_Database!$S347&lt;&gt;"",HYPERLINK(CCUS_Projects_Database!$S347,"Link 2"),"")</f>
        <v>Link 2</v>
      </c>
      <c r="AA347" s="50" t="str">
        <f>IF(CCUS_Projects_Database!$T347&lt;&gt;"",HYPERLINK(CCUS_Projects_Database!$T347,"Link 3"),"")</f>
        <v>Link 3</v>
      </c>
      <c r="AB347" s="50" t="str">
        <f>IF(CCUS_Projects_Database!$U347&lt;&gt;"",HYPERLINK(CCUS_Projects_Database!$U347,"Link 4"),"")</f>
        <v/>
      </c>
      <c r="AC347" s="50" t="str">
        <f>IF(CCUS_Projects_Database!$V347&lt;&gt;"",HYPERLINK(CCUS_Projects_Database!$V347,"Link 5"),"")</f>
        <v/>
      </c>
      <c r="AD347" s="50" t="str">
        <f>IF(CCUS_Projects_Database!$W347&lt;&gt;"",HYPERLINK(CCUS_Projects_Database!$W347,"Link 6"),"")</f>
        <v/>
      </c>
      <c r="AE347" s="50" t="str">
        <f>IF(CCUS_Projects_Database!$X347&lt;&gt;"",HYPERLINK(CCUS_Projects_Database!$X347,"Link 7"),"")</f>
        <v/>
      </c>
    </row>
    <row r="348" ht="15.75" customHeight="1">
      <c r="A348" s="37" t="s">
        <v>1377</v>
      </c>
      <c r="B348" s="38">
        <v>171.0</v>
      </c>
      <c r="C348" s="38" t="s">
        <v>239</v>
      </c>
      <c r="D348" s="39" t="s">
        <v>1378</v>
      </c>
      <c r="E348" s="38" t="s">
        <v>6</v>
      </c>
      <c r="F348" s="38">
        <v>2021.0</v>
      </c>
      <c r="G348" s="38">
        <v>2023.0</v>
      </c>
      <c r="H348" s="38">
        <v>2024.0</v>
      </c>
      <c r="I348" s="38" t="s">
        <v>124</v>
      </c>
      <c r="J348" s="38" t="s">
        <v>30</v>
      </c>
      <c r="K348" s="40">
        <v>1.0</v>
      </c>
      <c r="L348" s="51">
        <v>0.2</v>
      </c>
      <c r="M348" s="40">
        <v>0.2</v>
      </c>
      <c r="N348" s="38" t="s">
        <v>48</v>
      </c>
      <c r="O348" s="41" t="s">
        <v>71</v>
      </c>
      <c r="P348" s="42" t="s">
        <v>124</v>
      </c>
      <c r="Q348" s="38" t="s">
        <v>143</v>
      </c>
      <c r="R348" s="42" t="s">
        <v>1379</v>
      </c>
      <c r="S348" s="42" t="s">
        <v>1380</v>
      </c>
      <c r="T348" s="42" t="s">
        <v>1381</v>
      </c>
      <c r="U348" s="42" t="s">
        <v>1382</v>
      </c>
      <c r="V348" s="42" t="s">
        <v>124</v>
      </c>
      <c r="W348" s="42" t="s">
        <v>124</v>
      </c>
      <c r="X348" s="42" t="s">
        <v>124</v>
      </c>
      <c r="Y348" s="43" t="str">
        <f>IF(CCUS_Projects_Database!$R348&lt;&gt;"",HYPERLINK(CCUS_Projects_Database!$R348,"Link 1"),"")</f>
        <v>Link 1</v>
      </c>
      <c r="Z348" s="43" t="str">
        <f>IF(CCUS_Projects_Database!$S348&lt;&gt;"",HYPERLINK(CCUS_Projects_Database!$S348,"Link 2"),"")</f>
        <v>Link 2</v>
      </c>
      <c r="AA348" s="43" t="str">
        <f>IF(CCUS_Projects_Database!$T348&lt;&gt;"",HYPERLINK(CCUS_Projects_Database!$T348,"Link 3"),"")</f>
        <v>Link 3</v>
      </c>
      <c r="AB348" s="43" t="str">
        <f>IF(CCUS_Projects_Database!$U348&lt;&gt;"",HYPERLINK(CCUS_Projects_Database!$U348,"Link 4"),"")</f>
        <v>Link 4</v>
      </c>
      <c r="AC348" s="43" t="str">
        <f>IF(CCUS_Projects_Database!$V348&lt;&gt;"",HYPERLINK(CCUS_Projects_Database!$V348,"Link 5"),"")</f>
        <v/>
      </c>
      <c r="AD348" s="43" t="str">
        <f>IF(CCUS_Projects_Database!$W348&lt;&gt;"",HYPERLINK(CCUS_Projects_Database!$W348,"Link 6"),"")</f>
        <v/>
      </c>
      <c r="AE348" s="43" t="str">
        <f>IF(CCUS_Projects_Database!$X348&lt;&gt;"",HYPERLINK(CCUS_Projects_Database!$X348,"Link 7"),"")</f>
        <v/>
      </c>
    </row>
    <row r="349" ht="15.75" customHeight="1">
      <c r="A349" s="44" t="s">
        <v>1383</v>
      </c>
      <c r="B349" s="45">
        <v>437.0</v>
      </c>
      <c r="C349" s="45" t="s">
        <v>141</v>
      </c>
      <c r="D349" s="46" t="s">
        <v>1384</v>
      </c>
      <c r="E349" s="45" t="s">
        <v>8</v>
      </c>
      <c r="F349" s="45"/>
      <c r="G349" s="45" t="s">
        <v>124</v>
      </c>
      <c r="H349" s="45">
        <v>2023.0</v>
      </c>
      <c r="I349" s="45" t="s">
        <v>124</v>
      </c>
      <c r="J349" s="45" t="s">
        <v>32</v>
      </c>
      <c r="K349" s="47" t="s">
        <v>124</v>
      </c>
      <c r="L349" s="52">
        <v>0.001</v>
      </c>
      <c r="M349" s="47">
        <v>0.001</v>
      </c>
      <c r="N349" s="45" t="s">
        <v>64</v>
      </c>
      <c r="O349" s="48" t="s">
        <v>77</v>
      </c>
      <c r="P349" s="49" t="s">
        <v>124</v>
      </c>
      <c r="Q349" s="45" t="s">
        <v>143</v>
      </c>
      <c r="R349" s="49" t="s">
        <v>1385</v>
      </c>
      <c r="S349" s="49" t="s">
        <v>1386</v>
      </c>
      <c r="T349" s="49" t="s">
        <v>124</v>
      </c>
      <c r="U349" s="49" t="s">
        <v>124</v>
      </c>
      <c r="V349" s="49" t="s">
        <v>124</v>
      </c>
      <c r="W349" s="49" t="s">
        <v>124</v>
      </c>
      <c r="X349" s="49" t="s">
        <v>124</v>
      </c>
      <c r="Y349" s="50" t="str">
        <f>IF(CCUS_Projects_Database!$R349&lt;&gt;"",HYPERLINK(CCUS_Projects_Database!$R349,"Link 1"),"")</f>
        <v>Link 1</v>
      </c>
      <c r="Z349" s="50" t="str">
        <f>IF(CCUS_Projects_Database!$S349&lt;&gt;"",HYPERLINK(CCUS_Projects_Database!$S349,"Link 2"),"")</f>
        <v>Link 2</v>
      </c>
      <c r="AA349" s="50" t="str">
        <f>IF(CCUS_Projects_Database!$T349&lt;&gt;"",HYPERLINK(CCUS_Projects_Database!$T349,"Link 3"),"")</f>
        <v/>
      </c>
      <c r="AB349" s="50" t="str">
        <f>IF(CCUS_Projects_Database!$U349&lt;&gt;"",HYPERLINK(CCUS_Projects_Database!$U349,"Link 4"),"")</f>
        <v/>
      </c>
      <c r="AC349" s="50" t="str">
        <f>IF(CCUS_Projects_Database!$V349&lt;&gt;"",HYPERLINK(CCUS_Projects_Database!$V349,"Link 5"),"")</f>
        <v/>
      </c>
      <c r="AD349" s="50" t="str">
        <f>IF(CCUS_Projects_Database!$W349&lt;&gt;"",HYPERLINK(CCUS_Projects_Database!$W349,"Link 6"),"")</f>
        <v/>
      </c>
      <c r="AE349" s="50" t="str">
        <f>IF(CCUS_Projects_Database!$X349&lt;&gt;"",HYPERLINK(CCUS_Projects_Database!$X349,"Link 7"),"")</f>
        <v/>
      </c>
    </row>
    <row r="350" ht="15.75" customHeight="1">
      <c r="A350" s="37" t="s">
        <v>1387</v>
      </c>
      <c r="B350" s="38">
        <v>565.0</v>
      </c>
      <c r="C350" s="38" t="s">
        <v>1388</v>
      </c>
      <c r="D350" s="39" t="s">
        <v>1389</v>
      </c>
      <c r="E350" s="38" t="s">
        <v>8</v>
      </c>
      <c r="F350" s="38">
        <v>2022.0</v>
      </c>
      <c r="G350" s="38" t="s">
        <v>124</v>
      </c>
      <c r="H350" s="38">
        <v>2027.0</v>
      </c>
      <c r="I350" s="38" t="s">
        <v>124</v>
      </c>
      <c r="J350" s="38" t="s">
        <v>28</v>
      </c>
      <c r="K350" s="40" t="s">
        <v>124</v>
      </c>
      <c r="L350" s="51">
        <v>1.02</v>
      </c>
      <c r="M350" s="40">
        <v>1.02</v>
      </c>
      <c r="N350" s="38" t="s">
        <v>56</v>
      </c>
      <c r="O350" s="41" t="s">
        <v>71</v>
      </c>
      <c r="P350" s="42" t="s">
        <v>1125</v>
      </c>
      <c r="Q350" s="38" t="s">
        <v>125</v>
      </c>
      <c r="R350" s="42" t="s">
        <v>590</v>
      </c>
      <c r="S350" s="42" t="s">
        <v>1390</v>
      </c>
      <c r="T350" s="42" t="s">
        <v>124</v>
      </c>
      <c r="U350" s="42" t="s">
        <v>124</v>
      </c>
      <c r="V350" s="42" t="s">
        <v>124</v>
      </c>
      <c r="W350" s="42" t="s">
        <v>124</v>
      </c>
      <c r="X350" s="42" t="s">
        <v>124</v>
      </c>
      <c r="Y350" s="43" t="str">
        <f>IF(CCUS_Projects_Database!$R350&lt;&gt;"",HYPERLINK(CCUS_Projects_Database!$R350,"Link 1"),"")</f>
        <v>Link 1</v>
      </c>
      <c r="Z350" s="43" t="str">
        <f>IF(CCUS_Projects_Database!$S350&lt;&gt;"",HYPERLINK(CCUS_Projects_Database!$S350,"Link 2"),"")</f>
        <v>Link 2</v>
      </c>
      <c r="AA350" s="43" t="str">
        <f>IF(CCUS_Projects_Database!$T350&lt;&gt;"",HYPERLINK(CCUS_Projects_Database!$T350,"Link 3"),"")</f>
        <v/>
      </c>
      <c r="AB350" s="43" t="str">
        <f>IF(CCUS_Projects_Database!$U350&lt;&gt;"",HYPERLINK(CCUS_Projects_Database!$U350,"Link 4"),"")</f>
        <v/>
      </c>
      <c r="AC350" s="43" t="str">
        <f>IF(CCUS_Projects_Database!$V350&lt;&gt;"",HYPERLINK(CCUS_Projects_Database!$V350,"Link 5"),"")</f>
        <v/>
      </c>
      <c r="AD350" s="43" t="str">
        <f>IF(CCUS_Projects_Database!$W350&lt;&gt;"",HYPERLINK(CCUS_Projects_Database!$W350,"Link 6"),"")</f>
        <v/>
      </c>
      <c r="AE350" s="43" t="str">
        <f>IF(CCUS_Projects_Database!$X350&lt;&gt;"",HYPERLINK(CCUS_Projects_Database!$X350,"Link 7"),"")</f>
        <v/>
      </c>
    </row>
    <row r="351" ht="15.75" customHeight="1">
      <c r="A351" s="44" t="s">
        <v>1391</v>
      </c>
      <c r="B351" s="45">
        <v>557.0</v>
      </c>
      <c r="C351" s="45" t="s">
        <v>311</v>
      </c>
      <c r="D351" s="46" t="s">
        <v>1392</v>
      </c>
      <c r="E351" s="45" t="s">
        <v>8</v>
      </c>
      <c r="F351" s="45">
        <v>2022.0</v>
      </c>
      <c r="G351" s="45" t="s">
        <v>124</v>
      </c>
      <c r="H351" s="45">
        <v>2028.0</v>
      </c>
      <c r="I351" s="45" t="s">
        <v>124</v>
      </c>
      <c r="J351" s="45" t="s">
        <v>28</v>
      </c>
      <c r="K351" s="47" t="s">
        <v>124</v>
      </c>
      <c r="L351" s="52">
        <v>1.1</v>
      </c>
      <c r="M351" s="47">
        <v>1.1</v>
      </c>
      <c r="N351" s="45" t="s">
        <v>56</v>
      </c>
      <c r="O351" s="48" t="s">
        <v>71</v>
      </c>
      <c r="P351" s="49" t="s">
        <v>313</v>
      </c>
      <c r="Q351" s="45" t="s">
        <v>125</v>
      </c>
      <c r="R351" s="49" t="s">
        <v>1393</v>
      </c>
      <c r="S351" s="49" t="s">
        <v>1394</v>
      </c>
      <c r="T351" s="49" t="s">
        <v>1395</v>
      </c>
      <c r="U351" s="49" t="s">
        <v>1395</v>
      </c>
      <c r="V351" s="49" t="s">
        <v>124</v>
      </c>
      <c r="W351" s="49" t="s">
        <v>124</v>
      </c>
      <c r="X351" s="49" t="s">
        <v>124</v>
      </c>
      <c r="Y351" s="50" t="str">
        <f>IF(CCUS_Projects_Database!$R351&lt;&gt;"",HYPERLINK(CCUS_Projects_Database!$R351,"Link 1"),"")</f>
        <v>Link 1</v>
      </c>
      <c r="Z351" s="50" t="str">
        <f>IF(CCUS_Projects_Database!$S351&lt;&gt;"",HYPERLINK(CCUS_Projects_Database!$S351,"Link 2"),"")</f>
        <v>Link 2</v>
      </c>
      <c r="AA351" s="50" t="str">
        <f>IF(CCUS_Projects_Database!$T351&lt;&gt;"",HYPERLINK(CCUS_Projects_Database!$T351,"Link 3"),"")</f>
        <v>Link 3</v>
      </c>
      <c r="AB351" s="50" t="str">
        <f>IF(CCUS_Projects_Database!$U351&lt;&gt;"",HYPERLINK(CCUS_Projects_Database!$U351,"Link 4"),"")</f>
        <v>Link 4</v>
      </c>
      <c r="AC351" s="50" t="str">
        <f>IF(CCUS_Projects_Database!$V351&lt;&gt;"",HYPERLINK(CCUS_Projects_Database!$V351,"Link 5"),"")</f>
        <v/>
      </c>
      <c r="AD351" s="50" t="str">
        <f>IF(CCUS_Projects_Database!$W351&lt;&gt;"",HYPERLINK(CCUS_Projects_Database!$W351,"Link 6"),"")</f>
        <v/>
      </c>
      <c r="AE351" s="50" t="str">
        <f>IF(CCUS_Projects_Database!$X351&lt;&gt;"",HYPERLINK(CCUS_Projects_Database!$X351,"Link 7"),"")</f>
        <v/>
      </c>
    </row>
    <row r="352" ht="15.75" customHeight="1">
      <c r="A352" s="37" t="s">
        <v>1396</v>
      </c>
      <c r="B352" s="38">
        <v>172.0</v>
      </c>
      <c r="C352" s="38" t="s">
        <v>141</v>
      </c>
      <c r="D352" s="39" t="s">
        <v>1397</v>
      </c>
      <c r="E352" s="38" t="s">
        <v>8</v>
      </c>
      <c r="F352" s="38">
        <v>2021.0</v>
      </c>
      <c r="G352" s="38">
        <v>2024.0</v>
      </c>
      <c r="H352" s="38">
        <v>2025.0</v>
      </c>
      <c r="I352" s="38" t="s">
        <v>124</v>
      </c>
      <c r="J352" s="38" t="s">
        <v>28</v>
      </c>
      <c r="K352" s="40" t="s">
        <v>124</v>
      </c>
      <c r="L352" s="51">
        <v>0.315</v>
      </c>
      <c r="M352" s="40">
        <v>0.343</v>
      </c>
      <c r="N352" s="38" t="s">
        <v>50</v>
      </c>
      <c r="O352" s="41" t="s">
        <v>71</v>
      </c>
      <c r="P352" s="42" t="s">
        <v>567</v>
      </c>
      <c r="Q352" s="38" t="s">
        <v>143</v>
      </c>
      <c r="R352" s="42" t="s">
        <v>945</v>
      </c>
      <c r="S352" s="42" t="s">
        <v>946</v>
      </c>
      <c r="T352" s="42" t="s">
        <v>947</v>
      </c>
      <c r="U352" s="42" t="s">
        <v>124</v>
      </c>
      <c r="V352" s="42" t="s">
        <v>124</v>
      </c>
      <c r="W352" s="42" t="s">
        <v>124</v>
      </c>
      <c r="X352" s="42" t="s">
        <v>124</v>
      </c>
      <c r="Y352" s="43" t="str">
        <f>IF(CCUS_Projects_Database!$R352&lt;&gt;"",HYPERLINK(CCUS_Projects_Database!$R352,"Link 1"),"")</f>
        <v>Link 1</v>
      </c>
      <c r="Z352" s="43" t="str">
        <f>IF(CCUS_Projects_Database!$S352&lt;&gt;"",HYPERLINK(CCUS_Projects_Database!$S352,"Link 2"),"")</f>
        <v>Link 2</v>
      </c>
      <c r="AA352" s="43" t="str">
        <f>IF(CCUS_Projects_Database!$T352&lt;&gt;"",HYPERLINK(CCUS_Projects_Database!$T352,"Link 3"),"")</f>
        <v>Link 3</v>
      </c>
      <c r="AB352" s="43" t="str">
        <f>IF(CCUS_Projects_Database!$U352&lt;&gt;"",HYPERLINK(CCUS_Projects_Database!$U352,"Link 4"),"")</f>
        <v/>
      </c>
      <c r="AC352" s="43" t="str">
        <f>IF(CCUS_Projects_Database!$V352&lt;&gt;"",HYPERLINK(CCUS_Projects_Database!$V352,"Link 5"),"")</f>
        <v/>
      </c>
      <c r="AD352" s="43" t="str">
        <f>IF(CCUS_Projects_Database!$W352&lt;&gt;"",HYPERLINK(CCUS_Projects_Database!$W352,"Link 6"),"")</f>
        <v/>
      </c>
      <c r="AE352" s="43" t="str">
        <f>IF(CCUS_Projects_Database!$X352&lt;&gt;"",HYPERLINK(CCUS_Projects_Database!$X352,"Link 7"),"")</f>
        <v/>
      </c>
    </row>
    <row r="353" ht="15.75" customHeight="1">
      <c r="A353" s="44" t="s">
        <v>1398</v>
      </c>
      <c r="B353" s="45">
        <v>392.0</v>
      </c>
      <c r="C353" s="45" t="s">
        <v>122</v>
      </c>
      <c r="D353" s="46" t="s">
        <v>1399</v>
      </c>
      <c r="E353" s="45" t="s">
        <v>8</v>
      </c>
      <c r="F353" s="45">
        <v>2021.0</v>
      </c>
      <c r="G353" s="45" t="s">
        <v>124</v>
      </c>
      <c r="H353" s="45">
        <v>2030.0</v>
      </c>
      <c r="I353" s="45" t="s">
        <v>124</v>
      </c>
      <c r="J353" s="45" t="s">
        <v>28</v>
      </c>
      <c r="K353" s="47" t="s">
        <v>124</v>
      </c>
      <c r="L353" s="52">
        <v>0.65</v>
      </c>
      <c r="M353" s="47">
        <v>0.65</v>
      </c>
      <c r="N353" s="45" t="s">
        <v>54</v>
      </c>
      <c r="O353" s="48" t="s">
        <v>77</v>
      </c>
      <c r="P353" s="49" t="s">
        <v>124</v>
      </c>
      <c r="Q353" s="45" t="s">
        <v>125</v>
      </c>
      <c r="R353" s="49" t="s">
        <v>1400</v>
      </c>
      <c r="S353" s="49" t="s">
        <v>124</v>
      </c>
      <c r="T353" s="49" t="s">
        <v>124</v>
      </c>
      <c r="U353" s="49" t="s">
        <v>124</v>
      </c>
      <c r="V353" s="49" t="s">
        <v>124</v>
      </c>
      <c r="W353" s="49" t="s">
        <v>124</v>
      </c>
      <c r="X353" s="49" t="s">
        <v>124</v>
      </c>
      <c r="Y353" s="50" t="str">
        <f>IF(CCUS_Projects_Database!$R353&lt;&gt;"",HYPERLINK(CCUS_Projects_Database!$R353,"Link 1"),"")</f>
        <v>Link 1</v>
      </c>
      <c r="Z353" s="50" t="str">
        <f>IF(CCUS_Projects_Database!$S353&lt;&gt;"",HYPERLINK(CCUS_Projects_Database!$S353,"Link 2"),"")</f>
        <v/>
      </c>
      <c r="AA353" s="50" t="str">
        <f>IF(CCUS_Projects_Database!$T353&lt;&gt;"",HYPERLINK(CCUS_Projects_Database!$T353,"Link 3"),"")</f>
        <v/>
      </c>
      <c r="AB353" s="50" t="str">
        <f>IF(CCUS_Projects_Database!$U353&lt;&gt;"",HYPERLINK(CCUS_Projects_Database!$U353,"Link 4"),"")</f>
        <v/>
      </c>
      <c r="AC353" s="50" t="str">
        <f>IF(CCUS_Projects_Database!$V353&lt;&gt;"",HYPERLINK(CCUS_Projects_Database!$V353,"Link 5"),"")</f>
        <v/>
      </c>
      <c r="AD353" s="50" t="str">
        <f>IF(CCUS_Projects_Database!$W353&lt;&gt;"",HYPERLINK(CCUS_Projects_Database!$W353,"Link 6"),"")</f>
        <v/>
      </c>
      <c r="AE353" s="50" t="str">
        <f>IF(CCUS_Projects_Database!$X353&lt;&gt;"",HYPERLINK(CCUS_Projects_Database!$X353,"Link 7"),"")</f>
        <v/>
      </c>
    </row>
    <row r="354" ht="15.75" customHeight="1">
      <c r="A354" s="37" t="s">
        <v>1401</v>
      </c>
      <c r="B354" s="38">
        <v>874.0</v>
      </c>
      <c r="C354" s="38" t="s">
        <v>141</v>
      </c>
      <c r="D354" s="39" t="s">
        <v>1402</v>
      </c>
      <c r="E354" s="38" t="s">
        <v>12</v>
      </c>
      <c r="F354" s="38">
        <v>2022.0</v>
      </c>
      <c r="G354" s="38" t="s">
        <v>124</v>
      </c>
      <c r="H354" s="38" t="s">
        <v>124</v>
      </c>
      <c r="I354" s="38" t="s">
        <v>124</v>
      </c>
      <c r="J354" s="38" t="s">
        <v>28</v>
      </c>
      <c r="K354" s="40" t="s">
        <v>124</v>
      </c>
      <c r="L354" s="40"/>
      <c r="M354" s="40" t="s">
        <v>124</v>
      </c>
      <c r="N354" s="38" t="s">
        <v>12</v>
      </c>
      <c r="O354" s="41" t="s">
        <v>77</v>
      </c>
      <c r="P354" s="42" t="s">
        <v>1403</v>
      </c>
      <c r="Q354" s="38" t="s">
        <v>143</v>
      </c>
      <c r="R354" s="42" t="s">
        <v>194</v>
      </c>
      <c r="S354" s="42" t="s">
        <v>124</v>
      </c>
      <c r="T354" s="42" t="s">
        <v>124</v>
      </c>
      <c r="U354" s="42" t="s">
        <v>124</v>
      </c>
      <c r="V354" s="42" t="s">
        <v>124</v>
      </c>
      <c r="W354" s="42" t="s">
        <v>124</v>
      </c>
      <c r="X354" s="42" t="s">
        <v>124</v>
      </c>
      <c r="Y354" s="43" t="str">
        <f>IF(CCUS_Projects_Database!$R354&lt;&gt;"",HYPERLINK(CCUS_Projects_Database!$R354,"Link 1"),"")</f>
        <v>Link 1</v>
      </c>
      <c r="Z354" s="43" t="str">
        <f>IF(CCUS_Projects_Database!$S354&lt;&gt;"",HYPERLINK(CCUS_Projects_Database!$S354,"Link 2"),"")</f>
        <v/>
      </c>
      <c r="AA354" s="43" t="str">
        <f>IF(CCUS_Projects_Database!$T354&lt;&gt;"",HYPERLINK(CCUS_Projects_Database!$T354,"Link 3"),"")</f>
        <v/>
      </c>
      <c r="AB354" s="43" t="str">
        <f>IF(CCUS_Projects_Database!$U354&lt;&gt;"",HYPERLINK(CCUS_Projects_Database!$U354,"Link 4"),"")</f>
        <v/>
      </c>
      <c r="AC354" s="43" t="str">
        <f>IF(CCUS_Projects_Database!$V354&lt;&gt;"",HYPERLINK(CCUS_Projects_Database!$V354,"Link 5"),"")</f>
        <v/>
      </c>
      <c r="AD354" s="43" t="str">
        <f>IF(CCUS_Projects_Database!$W354&lt;&gt;"",HYPERLINK(CCUS_Projects_Database!$W354,"Link 6"),"")</f>
        <v/>
      </c>
      <c r="AE354" s="43" t="str">
        <f>IF(CCUS_Projects_Database!$X354&lt;&gt;"",HYPERLINK(CCUS_Projects_Database!$X354,"Link 7"),"")</f>
        <v/>
      </c>
    </row>
    <row r="355" ht="15.75" customHeight="1">
      <c r="A355" s="44" t="s">
        <v>1404</v>
      </c>
      <c r="B355" s="45">
        <v>173.0</v>
      </c>
      <c r="C355" s="45" t="s">
        <v>181</v>
      </c>
      <c r="D355" s="46" t="s">
        <v>1405</v>
      </c>
      <c r="E355" s="45" t="s">
        <v>6</v>
      </c>
      <c r="F355" s="45">
        <v>2009.0</v>
      </c>
      <c r="G355" s="45">
        <v>2009.0</v>
      </c>
      <c r="H355" s="45">
        <v>2019.0</v>
      </c>
      <c r="I355" s="45" t="s">
        <v>124</v>
      </c>
      <c r="J355" s="45" t="s">
        <v>32</v>
      </c>
      <c r="K355" s="47" t="s">
        <v>124</v>
      </c>
      <c r="L355" s="52">
        <v>3.7</v>
      </c>
      <c r="M355" s="47">
        <v>4.0</v>
      </c>
      <c r="N355" s="45" t="s">
        <v>48</v>
      </c>
      <c r="O355" s="48" t="s">
        <v>71</v>
      </c>
      <c r="P355" s="49" t="s">
        <v>124</v>
      </c>
      <c r="Q355" s="45" t="s">
        <v>184</v>
      </c>
      <c r="R355" s="49" t="s">
        <v>1406</v>
      </c>
      <c r="S355" s="49" t="s">
        <v>1407</v>
      </c>
      <c r="T355" s="49" t="s">
        <v>124</v>
      </c>
      <c r="U355" s="49" t="s">
        <v>124</v>
      </c>
      <c r="V355" s="49" t="s">
        <v>124</v>
      </c>
      <c r="W355" s="49" t="s">
        <v>124</v>
      </c>
      <c r="X355" s="49" t="s">
        <v>124</v>
      </c>
      <c r="Y355" s="50" t="str">
        <f>IF(CCUS_Projects_Database!$R355&lt;&gt;"",HYPERLINK(CCUS_Projects_Database!$R355,"Link 1"),"")</f>
        <v>Link 1</v>
      </c>
      <c r="Z355" s="50" t="str">
        <f>IF(CCUS_Projects_Database!$S355&lt;&gt;"",HYPERLINK(CCUS_Projects_Database!$S355,"Link 2"),"")</f>
        <v>Link 2</v>
      </c>
      <c r="AA355" s="50" t="str">
        <f>IF(CCUS_Projects_Database!$T355&lt;&gt;"",HYPERLINK(CCUS_Projects_Database!$T355,"Link 3"),"")</f>
        <v/>
      </c>
      <c r="AB355" s="50" t="str">
        <f>IF(CCUS_Projects_Database!$U355&lt;&gt;"",HYPERLINK(CCUS_Projects_Database!$U355,"Link 4"),"")</f>
        <v/>
      </c>
      <c r="AC355" s="50" t="str">
        <f>IF(CCUS_Projects_Database!$V355&lt;&gt;"",HYPERLINK(CCUS_Projects_Database!$V355,"Link 5"),"")</f>
        <v/>
      </c>
      <c r="AD355" s="50" t="str">
        <f>IF(CCUS_Projects_Database!$W355&lt;&gt;"",HYPERLINK(CCUS_Projects_Database!$W355,"Link 6"),"")</f>
        <v/>
      </c>
      <c r="AE355" s="50" t="str">
        <f>IF(CCUS_Projects_Database!$X355&lt;&gt;"",HYPERLINK(CCUS_Projects_Database!$X355,"Link 7"),"")</f>
        <v/>
      </c>
    </row>
    <row r="356" ht="15.75" customHeight="1">
      <c r="A356" s="37" t="s">
        <v>1408</v>
      </c>
      <c r="B356" s="38">
        <v>568.0</v>
      </c>
      <c r="C356" s="38" t="s">
        <v>157</v>
      </c>
      <c r="D356" s="39" t="s">
        <v>1409</v>
      </c>
      <c r="E356" s="38" t="s">
        <v>8</v>
      </c>
      <c r="F356" s="38">
        <v>2022.0</v>
      </c>
      <c r="G356" s="38" t="s">
        <v>124</v>
      </c>
      <c r="H356" s="38" t="s">
        <v>124</v>
      </c>
      <c r="I356" s="38" t="s">
        <v>124</v>
      </c>
      <c r="J356" s="38" t="s">
        <v>28</v>
      </c>
      <c r="K356" s="40" t="s">
        <v>124</v>
      </c>
      <c r="L356" s="51">
        <v>2.0</v>
      </c>
      <c r="M356" s="40">
        <v>2.0</v>
      </c>
      <c r="N356" s="38" t="s">
        <v>46</v>
      </c>
      <c r="O356" s="41" t="s">
        <v>71</v>
      </c>
      <c r="P356" s="42" t="s">
        <v>1410</v>
      </c>
      <c r="Q356" s="38" t="s">
        <v>125</v>
      </c>
      <c r="R356" s="42" t="s">
        <v>1019</v>
      </c>
      <c r="S356" s="42" t="s">
        <v>1411</v>
      </c>
      <c r="T356" s="42" t="s">
        <v>1412</v>
      </c>
      <c r="U356" s="42" t="s">
        <v>124</v>
      </c>
      <c r="V356" s="42" t="s">
        <v>124</v>
      </c>
      <c r="W356" s="42" t="s">
        <v>124</v>
      </c>
      <c r="X356" s="42" t="s">
        <v>124</v>
      </c>
      <c r="Y356" s="43" t="str">
        <f>IF(CCUS_Projects_Database!$R356&lt;&gt;"",HYPERLINK(CCUS_Projects_Database!$R356,"Link 1"),"")</f>
        <v>Link 1</v>
      </c>
      <c r="Z356" s="43" t="str">
        <f>IF(CCUS_Projects_Database!$S356&lt;&gt;"",HYPERLINK(CCUS_Projects_Database!$S356,"Link 2"),"")</f>
        <v>Link 2</v>
      </c>
      <c r="AA356" s="43" t="str">
        <f>IF(CCUS_Projects_Database!$T356&lt;&gt;"",HYPERLINK(CCUS_Projects_Database!$T356,"Link 3"),"")</f>
        <v>Link 3</v>
      </c>
      <c r="AB356" s="43" t="str">
        <f>IF(CCUS_Projects_Database!$U356&lt;&gt;"",HYPERLINK(CCUS_Projects_Database!$U356,"Link 4"),"")</f>
        <v/>
      </c>
      <c r="AC356" s="43" t="str">
        <f>IF(CCUS_Projects_Database!$V356&lt;&gt;"",HYPERLINK(CCUS_Projects_Database!$V356,"Link 5"),"")</f>
        <v/>
      </c>
      <c r="AD356" s="43" t="str">
        <f>IF(CCUS_Projects_Database!$W356&lt;&gt;"",HYPERLINK(CCUS_Projects_Database!$W356,"Link 6"),"")</f>
        <v/>
      </c>
      <c r="AE356" s="43" t="str">
        <f>IF(CCUS_Projects_Database!$X356&lt;&gt;"",HYPERLINK(CCUS_Projects_Database!$X356,"Link 7"),"")</f>
        <v/>
      </c>
    </row>
    <row r="357" ht="15.75" customHeight="1">
      <c r="A357" s="44" t="s">
        <v>1413</v>
      </c>
      <c r="B357" s="45">
        <v>1114.0</v>
      </c>
      <c r="C357" s="45" t="s">
        <v>122</v>
      </c>
      <c r="D357" s="46" t="s">
        <v>1414</v>
      </c>
      <c r="E357" s="45" t="s">
        <v>10</v>
      </c>
      <c r="F357" s="45">
        <v>2023.0</v>
      </c>
      <c r="G357" s="45">
        <v>2027.0</v>
      </c>
      <c r="H357" s="45">
        <v>2030.0</v>
      </c>
      <c r="I357" s="45" t="s">
        <v>124</v>
      </c>
      <c r="J357" s="45" t="s">
        <v>28</v>
      </c>
      <c r="K357" s="47" t="s">
        <v>124</v>
      </c>
      <c r="L357" s="52">
        <v>2.6</v>
      </c>
      <c r="M357" s="47">
        <v>2.6</v>
      </c>
      <c r="N357" s="45" t="s">
        <v>10</v>
      </c>
      <c r="O357" s="48" t="s">
        <v>71</v>
      </c>
      <c r="P357" s="49" t="s">
        <v>1415</v>
      </c>
      <c r="Q357" s="45" t="s">
        <v>125</v>
      </c>
      <c r="R357" s="49" t="s">
        <v>1416</v>
      </c>
      <c r="S357" s="49" t="s">
        <v>1417</v>
      </c>
      <c r="T357" s="49" t="s">
        <v>124</v>
      </c>
      <c r="U357" s="49" t="s">
        <v>124</v>
      </c>
      <c r="V357" s="49" t="s">
        <v>124</v>
      </c>
      <c r="W357" s="49" t="s">
        <v>124</v>
      </c>
      <c r="X357" s="49" t="s">
        <v>124</v>
      </c>
      <c r="Y357" s="50" t="str">
        <f>IF(CCUS_Projects_Database!$R357&lt;&gt;"",HYPERLINK(CCUS_Projects_Database!$R357,"Link 1"),"")</f>
        <v>Link 1</v>
      </c>
      <c r="Z357" s="50" t="str">
        <f>IF(CCUS_Projects_Database!$S357&lt;&gt;"",HYPERLINK(CCUS_Projects_Database!$S357,"Link 2"),"")</f>
        <v>Link 2</v>
      </c>
      <c r="AA357" s="50" t="str">
        <f>IF(CCUS_Projects_Database!$T357&lt;&gt;"",HYPERLINK(CCUS_Projects_Database!$T357,"Link 3"),"")</f>
        <v/>
      </c>
      <c r="AB357" s="50" t="str">
        <f>IF(CCUS_Projects_Database!$U357&lt;&gt;"",HYPERLINK(CCUS_Projects_Database!$U357,"Link 4"),"")</f>
        <v/>
      </c>
      <c r="AC357" s="50" t="str">
        <f>IF(CCUS_Projects_Database!$V357&lt;&gt;"",HYPERLINK(CCUS_Projects_Database!$V357,"Link 5"),"")</f>
        <v/>
      </c>
      <c r="AD357" s="50" t="str">
        <f>IF(CCUS_Projects_Database!$W357&lt;&gt;"",HYPERLINK(CCUS_Projects_Database!$W357,"Link 6"),"")</f>
        <v/>
      </c>
      <c r="AE357" s="50" t="str">
        <f>IF(CCUS_Projects_Database!$X357&lt;&gt;"",HYPERLINK(CCUS_Projects_Database!$X357,"Link 7"),"")</f>
        <v/>
      </c>
    </row>
    <row r="358" ht="15.75" customHeight="1">
      <c r="A358" s="37" t="s">
        <v>1418</v>
      </c>
      <c r="B358" s="38">
        <v>502.0</v>
      </c>
      <c r="C358" s="38" t="s">
        <v>239</v>
      </c>
      <c r="D358" s="39" t="s">
        <v>1419</v>
      </c>
      <c r="E358" s="38" t="s">
        <v>12</v>
      </c>
      <c r="F358" s="38">
        <v>2022.0</v>
      </c>
      <c r="G358" s="38" t="s">
        <v>124</v>
      </c>
      <c r="H358" s="38" t="s">
        <v>124</v>
      </c>
      <c r="I358" s="38" t="s">
        <v>124</v>
      </c>
      <c r="J358" s="38" t="s">
        <v>28</v>
      </c>
      <c r="K358" s="40" t="s">
        <v>124</v>
      </c>
      <c r="L358" s="51">
        <v>3.3</v>
      </c>
      <c r="M358" s="40">
        <v>3.3</v>
      </c>
      <c r="N358" s="38" t="s">
        <v>12</v>
      </c>
      <c r="O358" s="41" t="s">
        <v>71</v>
      </c>
      <c r="P358" s="42" t="s">
        <v>1420</v>
      </c>
      <c r="Q358" s="38" t="s">
        <v>143</v>
      </c>
      <c r="R358" s="42" t="s">
        <v>464</v>
      </c>
      <c r="S358" s="42" t="s">
        <v>540</v>
      </c>
      <c r="T358" s="42" t="s">
        <v>1421</v>
      </c>
      <c r="U358" s="42" t="s">
        <v>124</v>
      </c>
      <c r="V358" s="42" t="s">
        <v>124</v>
      </c>
      <c r="W358" s="42" t="s">
        <v>124</v>
      </c>
      <c r="X358" s="42" t="s">
        <v>124</v>
      </c>
      <c r="Y358" s="43" t="str">
        <f>IF(CCUS_Projects_Database!$R358&lt;&gt;"",HYPERLINK(CCUS_Projects_Database!$R358,"Link 1"),"")</f>
        <v>Link 1</v>
      </c>
      <c r="Z358" s="43" t="str">
        <f>IF(CCUS_Projects_Database!$S358&lt;&gt;"",HYPERLINK(CCUS_Projects_Database!$S358,"Link 2"),"")</f>
        <v>Link 2</v>
      </c>
      <c r="AA358" s="43" t="str">
        <f>IF(CCUS_Projects_Database!$T358&lt;&gt;"",HYPERLINK(CCUS_Projects_Database!$T358,"Link 3"),"")</f>
        <v>Link 3</v>
      </c>
      <c r="AB358" s="43" t="str">
        <f>IF(CCUS_Projects_Database!$U358&lt;&gt;"",HYPERLINK(CCUS_Projects_Database!$U358,"Link 4"),"")</f>
        <v/>
      </c>
      <c r="AC358" s="43" t="str">
        <f>IF(CCUS_Projects_Database!$V358&lt;&gt;"",HYPERLINK(CCUS_Projects_Database!$V358,"Link 5"),"")</f>
        <v/>
      </c>
      <c r="AD358" s="43" t="str">
        <f>IF(CCUS_Projects_Database!$W358&lt;&gt;"",HYPERLINK(CCUS_Projects_Database!$W358,"Link 6"),"")</f>
        <v/>
      </c>
      <c r="AE358" s="43" t="str">
        <f>IF(CCUS_Projects_Database!$X358&lt;&gt;"",HYPERLINK(CCUS_Projects_Database!$X358,"Link 7"),"")</f>
        <v/>
      </c>
    </row>
    <row r="359" ht="15.75" customHeight="1">
      <c r="A359" s="44" t="s">
        <v>1422</v>
      </c>
      <c r="B359" s="45">
        <v>581.0</v>
      </c>
      <c r="C359" s="45" t="s">
        <v>122</v>
      </c>
      <c r="D359" s="46" t="s">
        <v>1423</v>
      </c>
      <c r="E359" s="45" t="s">
        <v>16</v>
      </c>
      <c r="F359" s="45">
        <v>2022.0</v>
      </c>
      <c r="G359" s="45">
        <v>2022.0</v>
      </c>
      <c r="H359" s="45">
        <v>2025.0</v>
      </c>
      <c r="I359" s="45" t="s">
        <v>124</v>
      </c>
      <c r="J359" s="45" t="s">
        <v>30</v>
      </c>
      <c r="K359" s="47" t="s">
        <v>124</v>
      </c>
      <c r="L359" s="52">
        <v>0.11</v>
      </c>
      <c r="M359" s="47">
        <v>0.11</v>
      </c>
      <c r="N359" s="45" t="s">
        <v>54</v>
      </c>
      <c r="O359" s="48" t="s">
        <v>75</v>
      </c>
      <c r="P359" s="49" t="s">
        <v>124</v>
      </c>
      <c r="Q359" s="45" t="s">
        <v>125</v>
      </c>
      <c r="R359" s="49" t="s">
        <v>1424</v>
      </c>
      <c r="S359" s="49" t="s">
        <v>124</v>
      </c>
      <c r="T359" s="49" t="s">
        <v>124</v>
      </c>
      <c r="U359" s="49" t="s">
        <v>124</v>
      </c>
      <c r="V359" s="49" t="s">
        <v>124</v>
      </c>
      <c r="W359" s="49" t="s">
        <v>124</v>
      </c>
      <c r="X359" s="49" t="s">
        <v>124</v>
      </c>
      <c r="Y359" s="50" t="str">
        <f>IF(CCUS_Projects_Database!$R359&lt;&gt;"",HYPERLINK(CCUS_Projects_Database!$R359,"Link 1"),"")</f>
        <v>Link 1</v>
      </c>
      <c r="Z359" s="50" t="str">
        <f>IF(CCUS_Projects_Database!$S359&lt;&gt;"",HYPERLINK(CCUS_Projects_Database!$S359,"Link 2"),"")</f>
        <v/>
      </c>
      <c r="AA359" s="50" t="str">
        <f>IF(CCUS_Projects_Database!$T359&lt;&gt;"",HYPERLINK(CCUS_Projects_Database!$T359,"Link 3"),"")</f>
        <v/>
      </c>
      <c r="AB359" s="50" t="str">
        <f>IF(CCUS_Projects_Database!$U359&lt;&gt;"",HYPERLINK(CCUS_Projects_Database!$U359,"Link 4"),"")</f>
        <v/>
      </c>
      <c r="AC359" s="50" t="str">
        <f>IF(CCUS_Projects_Database!$V359&lt;&gt;"",HYPERLINK(CCUS_Projects_Database!$V359,"Link 5"),"")</f>
        <v/>
      </c>
      <c r="AD359" s="50" t="str">
        <f>IF(CCUS_Projects_Database!$W359&lt;&gt;"",HYPERLINK(CCUS_Projects_Database!$W359,"Link 6"),"")</f>
        <v/>
      </c>
      <c r="AE359" s="50" t="str">
        <f>IF(CCUS_Projects_Database!$X359&lt;&gt;"",HYPERLINK(CCUS_Projects_Database!$X359,"Link 7"),"")</f>
        <v/>
      </c>
    </row>
    <row r="360" ht="15.75" customHeight="1">
      <c r="A360" s="37" t="s">
        <v>1425</v>
      </c>
      <c r="B360" s="38">
        <v>175.0</v>
      </c>
      <c r="C360" s="38" t="s">
        <v>141</v>
      </c>
      <c r="D360" s="39" t="s">
        <v>1426</v>
      </c>
      <c r="E360" s="38" t="s">
        <v>8</v>
      </c>
      <c r="F360" s="38">
        <v>2021.0</v>
      </c>
      <c r="G360" s="38">
        <v>2024.0</v>
      </c>
      <c r="H360" s="38">
        <v>2025.0</v>
      </c>
      <c r="I360" s="38" t="s">
        <v>124</v>
      </c>
      <c r="J360" s="38" t="s">
        <v>28</v>
      </c>
      <c r="K360" s="40" t="s">
        <v>124</v>
      </c>
      <c r="L360" s="51">
        <v>0.165</v>
      </c>
      <c r="M360" s="40">
        <v>0.18</v>
      </c>
      <c r="N360" s="38" t="s">
        <v>50</v>
      </c>
      <c r="O360" s="41" t="s">
        <v>71</v>
      </c>
      <c r="P360" s="42" t="s">
        <v>567</v>
      </c>
      <c r="Q360" s="38" t="s">
        <v>143</v>
      </c>
      <c r="R360" s="42" t="s">
        <v>945</v>
      </c>
      <c r="S360" s="42" t="s">
        <v>946</v>
      </c>
      <c r="T360" s="42" t="s">
        <v>947</v>
      </c>
      <c r="U360" s="42" t="s">
        <v>124</v>
      </c>
      <c r="V360" s="42" t="s">
        <v>124</v>
      </c>
      <c r="W360" s="42" t="s">
        <v>124</v>
      </c>
      <c r="X360" s="42" t="s">
        <v>124</v>
      </c>
      <c r="Y360" s="43" t="str">
        <f>IF(CCUS_Projects_Database!$R360&lt;&gt;"",HYPERLINK(CCUS_Projects_Database!$R360,"Link 1"),"")</f>
        <v>Link 1</v>
      </c>
      <c r="Z360" s="43" t="str">
        <f>IF(CCUS_Projects_Database!$S360&lt;&gt;"",HYPERLINK(CCUS_Projects_Database!$S360,"Link 2"),"")</f>
        <v>Link 2</v>
      </c>
      <c r="AA360" s="43" t="str">
        <f>IF(CCUS_Projects_Database!$T360&lt;&gt;"",HYPERLINK(CCUS_Projects_Database!$T360,"Link 3"),"")</f>
        <v>Link 3</v>
      </c>
      <c r="AB360" s="43" t="str">
        <f>IF(CCUS_Projects_Database!$U360&lt;&gt;"",HYPERLINK(CCUS_Projects_Database!$U360,"Link 4"),"")</f>
        <v/>
      </c>
      <c r="AC360" s="43" t="str">
        <f>IF(CCUS_Projects_Database!$V360&lt;&gt;"",HYPERLINK(CCUS_Projects_Database!$V360,"Link 5"),"")</f>
        <v/>
      </c>
      <c r="AD360" s="43" t="str">
        <f>IF(CCUS_Projects_Database!$W360&lt;&gt;"",HYPERLINK(CCUS_Projects_Database!$W360,"Link 6"),"")</f>
        <v/>
      </c>
      <c r="AE360" s="43" t="str">
        <f>IF(CCUS_Projects_Database!$X360&lt;&gt;"",HYPERLINK(CCUS_Projects_Database!$X360,"Link 7"),"")</f>
        <v/>
      </c>
    </row>
    <row r="361" ht="15.75" customHeight="1">
      <c r="A361" s="44" t="s">
        <v>1427</v>
      </c>
      <c r="B361" s="45">
        <v>838.0</v>
      </c>
      <c r="C361" s="45" t="s">
        <v>1428</v>
      </c>
      <c r="D361" s="46" t="s">
        <v>1429</v>
      </c>
      <c r="E361" s="45" t="s">
        <v>6</v>
      </c>
      <c r="F361" s="45">
        <v>2023.0</v>
      </c>
      <c r="G361" s="45" t="s">
        <v>124</v>
      </c>
      <c r="H361" s="45" t="s">
        <v>124</v>
      </c>
      <c r="I361" s="45" t="s">
        <v>124</v>
      </c>
      <c r="J361" s="45" t="s">
        <v>28</v>
      </c>
      <c r="K361" s="47" t="s">
        <v>124</v>
      </c>
      <c r="L361" s="52">
        <v>1.0</v>
      </c>
      <c r="M361" s="47">
        <v>1.0</v>
      </c>
      <c r="N361" s="45" t="s">
        <v>64</v>
      </c>
      <c r="O361" s="48" t="s">
        <v>71</v>
      </c>
      <c r="P361" s="49" t="s">
        <v>124</v>
      </c>
      <c r="Q361" s="45" t="s">
        <v>1430</v>
      </c>
      <c r="R361" s="49" t="s">
        <v>1431</v>
      </c>
      <c r="S361" s="49" t="s">
        <v>124</v>
      </c>
      <c r="T361" s="49" t="s">
        <v>124</v>
      </c>
      <c r="U361" s="49" t="s">
        <v>124</v>
      </c>
      <c r="V361" s="49" t="s">
        <v>124</v>
      </c>
      <c r="W361" s="49" t="s">
        <v>124</v>
      </c>
      <c r="X361" s="49" t="s">
        <v>124</v>
      </c>
      <c r="Y361" s="50" t="str">
        <f>IF(CCUS_Projects_Database!$R361&lt;&gt;"",HYPERLINK(CCUS_Projects_Database!$R361,"Link 1"),"")</f>
        <v>Link 1</v>
      </c>
      <c r="Z361" s="50" t="str">
        <f>IF(CCUS_Projects_Database!$S361&lt;&gt;"",HYPERLINK(CCUS_Projects_Database!$S361,"Link 2"),"")</f>
        <v/>
      </c>
      <c r="AA361" s="50" t="str">
        <f>IF(CCUS_Projects_Database!$T361&lt;&gt;"",HYPERLINK(CCUS_Projects_Database!$T361,"Link 3"),"")</f>
        <v/>
      </c>
      <c r="AB361" s="50" t="str">
        <f>IF(CCUS_Projects_Database!$U361&lt;&gt;"",HYPERLINK(CCUS_Projects_Database!$U361,"Link 4"),"")</f>
        <v/>
      </c>
      <c r="AC361" s="50" t="str">
        <f>IF(CCUS_Projects_Database!$V361&lt;&gt;"",HYPERLINK(CCUS_Projects_Database!$V361,"Link 5"),"")</f>
        <v/>
      </c>
      <c r="AD361" s="50" t="str">
        <f>IF(CCUS_Projects_Database!$W361&lt;&gt;"",HYPERLINK(CCUS_Projects_Database!$W361,"Link 6"),"")</f>
        <v/>
      </c>
      <c r="AE361" s="50" t="str">
        <f>IF(CCUS_Projects_Database!$X361&lt;&gt;"",HYPERLINK(CCUS_Projects_Database!$X361,"Link 7"),"")</f>
        <v/>
      </c>
    </row>
    <row r="362" ht="15.75" customHeight="1">
      <c r="A362" s="37" t="s">
        <v>1432</v>
      </c>
      <c r="B362" s="38">
        <v>176.0</v>
      </c>
      <c r="C362" s="38" t="s">
        <v>141</v>
      </c>
      <c r="D362" s="39" t="s">
        <v>1433</v>
      </c>
      <c r="E362" s="38" t="s">
        <v>6</v>
      </c>
      <c r="F362" s="38">
        <v>1997.0</v>
      </c>
      <c r="G362" s="38" t="s">
        <v>124</v>
      </c>
      <c r="H362" s="38">
        <v>2000.0</v>
      </c>
      <c r="I362" s="38" t="s">
        <v>124</v>
      </c>
      <c r="J362" s="38" t="s">
        <v>32</v>
      </c>
      <c r="K362" s="40">
        <v>1.0</v>
      </c>
      <c r="L362" s="51">
        <v>3.0</v>
      </c>
      <c r="M362" s="40">
        <v>3.0</v>
      </c>
      <c r="N362" s="38" t="s">
        <v>54</v>
      </c>
      <c r="O362" s="41" t="s">
        <v>73</v>
      </c>
      <c r="P362" s="42" t="s">
        <v>1434</v>
      </c>
      <c r="Q362" s="38" t="s">
        <v>143</v>
      </c>
      <c r="R362" s="42" t="s">
        <v>1009</v>
      </c>
      <c r="S362" s="42" t="s">
        <v>1435</v>
      </c>
      <c r="T362" s="42" t="s">
        <v>1436</v>
      </c>
      <c r="U362" s="42" t="s">
        <v>1437</v>
      </c>
      <c r="V362" s="42" t="s">
        <v>124</v>
      </c>
      <c r="W362" s="42" t="s">
        <v>124</v>
      </c>
      <c r="X362" s="42" t="s">
        <v>124</v>
      </c>
      <c r="Y362" s="43" t="str">
        <f>IF(CCUS_Projects_Database!$R362&lt;&gt;"",HYPERLINK(CCUS_Projects_Database!$R362,"Link 1"),"")</f>
        <v>Link 1</v>
      </c>
      <c r="Z362" s="43" t="str">
        <f>IF(CCUS_Projects_Database!$S362&lt;&gt;"",HYPERLINK(CCUS_Projects_Database!$S362,"Link 2"),"")</f>
        <v>Link 2</v>
      </c>
      <c r="AA362" s="43" t="str">
        <f>IF(CCUS_Projects_Database!$T362&lt;&gt;"",HYPERLINK(CCUS_Projects_Database!$T362,"Link 3"),"")</f>
        <v>Link 3</v>
      </c>
      <c r="AB362" s="43" t="str">
        <f>IF(CCUS_Projects_Database!$U362&lt;&gt;"",HYPERLINK(CCUS_Projects_Database!$U362,"Link 4"),"")</f>
        <v>Link 4</v>
      </c>
      <c r="AC362" s="43" t="str">
        <f>IF(CCUS_Projects_Database!$V362&lt;&gt;"",HYPERLINK(CCUS_Projects_Database!$V362,"Link 5"),"")</f>
        <v/>
      </c>
      <c r="AD362" s="43" t="str">
        <f>IF(CCUS_Projects_Database!$W362&lt;&gt;"",HYPERLINK(CCUS_Projects_Database!$W362,"Link 6"),"")</f>
        <v/>
      </c>
      <c r="AE362" s="43" t="str">
        <f>IF(CCUS_Projects_Database!$X362&lt;&gt;"",HYPERLINK(CCUS_Projects_Database!$X362,"Link 7"),"")</f>
        <v/>
      </c>
    </row>
    <row r="363" ht="15.75" customHeight="1">
      <c r="A363" s="44" t="s">
        <v>1438</v>
      </c>
      <c r="B363" s="45">
        <v>1058.0</v>
      </c>
      <c r="C363" s="45" t="s">
        <v>141</v>
      </c>
      <c r="D363" s="46" t="s">
        <v>1439</v>
      </c>
      <c r="E363" s="45" t="s">
        <v>6</v>
      </c>
      <c r="F363" s="45">
        <v>2021.0</v>
      </c>
      <c r="G363" s="45" t="s">
        <v>124</v>
      </c>
      <c r="H363" s="45" t="s">
        <v>124</v>
      </c>
      <c r="I363" s="45" t="s">
        <v>124</v>
      </c>
      <c r="J363" s="45" t="s">
        <v>28</v>
      </c>
      <c r="K363" s="47">
        <v>2.0</v>
      </c>
      <c r="L363" s="52">
        <v>1.815</v>
      </c>
      <c r="M363" s="47">
        <v>1.5</v>
      </c>
      <c r="N363" s="45" t="s">
        <v>54</v>
      </c>
      <c r="O363" s="48" t="s">
        <v>71</v>
      </c>
      <c r="P363" s="49" t="s">
        <v>124</v>
      </c>
      <c r="Q363" s="45" t="s">
        <v>143</v>
      </c>
      <c r="R363" s="49" t="s">
        <v>1440</v>
      </c>
      <c r="S363" s="49" t="s">
        <v>1441</v>
      </c>
      <c r="T363" s="49" t="s">
        <v>124</v>
      </c>
      <c r="U363" s="49" t="s">
        <v>124</v>
      </c>
      <c r="V363" s="49" t="s">
        <v>124</v>
      </c>
      <c r="W363" s="49" t="s">
        <v>124</v>
      </c>
      <c r="X363" s="49" t="s">
        <v>124</v>
      </c>
      <c r="Y363" s="50" t="str">
        <f>IF(CCUS_Projects_Database!$R363&lt;&gt;"",HYPERLINK(CCUS_Projects_Database!$R363,"Link 1"),"")</f>
        <v>Link 1</v>
      </c>
      <c r="Z363" s="50" t="str">
        <f>IF(CCUS_Projects_Database!$S363&lt;&gt;"",HYPERLINK(CCUS_Projects_Database!$S363,"Link 2"),"")</f>
        <v>Link 2</v>
      </c>
      <c r="AA363" s="50" t="str">
        <f>IF(CCUS_Projects_Database!$T363&lt;&gt;"",HYPERLINK(CCUS_Projects_Database!$T363,"Link 3"),"")</f>
        <v/>
      </c>
      <c r="AB363" s="50" t="str">
        <f>IF(CCUS_Projects_Database!$U363&lt;&gt;"",HYPERLINK(CCUS_Projects_Database!$U363,"Link 4"),"")</f>
        <v/>
      </c>
      <c r="AC363" s="50" t="str">
        <f>IF(CCUS_Projects_Database!$V363&lt;&gt;"",HYPERLINK(CCUS_Projects_Database!$V363,"Link 5"),"")</f>
        <v/>
      </c>
      <c r="AD363" s="50" t="str">
        <f>IF(CCUS_Projects_Database!$W363&lt;&gt;"",HYPERLINK(CCUS_Projects_Database!$W363,"Link 6"),"")</f>
        <v/>
      </c>
      <c r="AE363" s="50" t="str">
        <f>IF(CCUS_Projects_Database!$X363&lt;&gt;"",HYPERLINK(CCUS_Projects_Database!$X363,"Link 7"),"")</f>
        <v/>
      </c>
    </row>
    <row r="364" ht="15.75" customHeight="1">
      <c r="A364" s="37" t="s">
        <v>1442</v>
      </c>
      <c r="B364" s="38">
        <v>177.0</v>
      </c>
      <c r="C364" s="38" t="s">
        <v>141</v>
      </c>
      <c r="D364" s="39" t="s">
        <v>1443</v>
      </c>
      <c r="E364" s="38" t="s">
        <v>8</v>
      </c>
      <c r="F364" s="38">
        <v>2021.0</v>
      </c>
      <c r="G364" s="38">
        <v>2024.0</v>
      </c>
      <c r="H364" s="38">
        <v>2025.0</v>
      </c>
      <c r="I364" s="38" t="s">
        <v>124</v>
      </c>
      <c r="J364" s="38" t="s">
        <v>28</v>
      </c>
      <c r="K364" s="40" t="s">
        <v>124</v>
      </c>
      <c r="L364" s="51">
        <v>0.15</v>
      </c>
      <c r="M364" s="40">
        <v>0.157</v>
      </c>
      <c r="N364" s="38" t="s">
        <v>50</v>
      </c>
      <c r="O364" s="41" t="s">
        <v>71</v>
      </c>
      <c r="P364" s="42" t="s">
        <v>567</v>
      </c>
      <c r="Q364" s="38" t="s">
        <v>143</v>
      </c>
      <c r="R364" s="42" t="s">
        <v>945</v>
      </c>
      <c r="S364" s="42" t="s">
        <v>946</v>
      </c>
      <c r="T364" s="42" t="s">
        <v>947</v>
      </c>
      <c r="U364" s="42" t="s">
        <v>124</v>
      </c>
      <c r="V364" s="42" t="s">
        <v>124</v>
      </c>
      <c r="W364" s="42" t="s">
        <v>124</v>
      </c>
      <c r="X364" s="42" t="s">
        <v>124</v>
      </c>
      <c r="Y364" s="43" t="str">
        <f>IF(CCUS_Projects_Database!$R364&lt;&gt;"",HYPERLINK(CCUS_Projects_Database!$R364,"Link 1"),"")</f>
        <v>Link 1</v>
      </c>
      <c r="Z364" s="43" t="str">
        <f>IF(CCUS_Projects_Database!$S364&lt;&gt;"",HYPERLINK(CCUS_Projects_Database!$S364,"Link 2"),"")</f>
        <v>Link 2</v>
      </c>
      <c r="AA364" s="43" t="str">
        <f>IF(CCUS_Projects_Database!$T364&lt;&gt;"",HYPERLINK(CCUS_Projects_Database!$T364,"Link 3"),"")</f>
        <v>Link 3</v>
      </c>
      <c r="AB364" s="43" t="str">
        <f>IF(CCUS_Projects_Database!$U364&lt;&gt;"",HYPERLINK(CCUS_Projects_Database!$U364,"Link 4"),"")</f>
        <v/>
      </c>
      <c r="AC364" s="43" t="str">
        <f>IF(CCUS_Projects_Database!$V364&lt;&gt;"",HYPERLINK(CCUS_Projects_Database!$V364,"Link 5"),"")</f>
        <v/>
      </c>
      <c r="AD364" s="43" t="str">
        <f>IF(CCUS_Projects_Database!$W364&lt;&gt;"",HYPERLINK(CCUS_Projects_Database!$W364,"Link 6"),"")</f>
        <v/>
      </c>
      <c r="AE364" s="43" t="str">
        <f>IF(CCUS_Projects_Database!$X364&lt;&gt;"",HYPERLINK(CCUS_Projects_Database!$X364,"Link 7"),"")</f>
        <v/>
      </c>
    </row>
    <row r="365" ht="15.75" customHeight="1">
      <c r="A365" s="44" t="s">
        <v>1444</v>
      </c>
      <c r="B365" s="45">
        <v>178.0</v>
      </c>
      <c r="C365" s="45" t="s">
        <v>141</v>
      </c>
      <c r="D365" s="46" t="s">
        <v>1445</v>
      </c>
      <c r="E365" s="45" t="s">
        <v>8</v>
      </c>
      <c r="F365" s="45">
        <v>2021.0</v>
      </c>
      <c r="G365" s="45">
        <v>2024.0</v>
      </c>
      <c r="H365" s="45">
        <v>2025.0</v>
      </c>
      <c r="I365" s="45" t="s">
        <v>124</v>
      </c>
      <c r="J365" s="45" t="s">
        <v>28</v>
      </c>
      <c r="K365" s="47" t="s">
        <v>124</v>
      </c>
      <c r="L365" s="52">
        <v>0.315</v>
      </c>
      <c r="M365" s="47">
        <v>0.332</v>
      </c>
      <c r="N365" s="45" t="s">
        <v>50</v>
      </c>
      <c r="O365" s="48" t="s">
        <v>71</v>
      </c>
      <c r="P365" s="49" t="s">
        <v>567</v>
      </c>
      <c r="Q365" s="45" t="s">
        <v>143</v>
      </c>
      <c r="R365" s="49" t="s">
        <v>945</v>
      </c>
      <c r="S365" s="49" t="s">
        <v>946</v>
      </c>
      <c r="T365" s="49" t="s">
        <v>947</v>
      </c>
      <c r="U365" s="49" t="s">
        <v>124</v>
      </c>
      <c r="V365" s="49" t="s">
        <v>124</v>
      </c>
      <c r="W365" s="49" t="s">
        <v>124</v>
      </c>
      <c r="X365" s="49" t="s">
        <v>124</v>
      </c>
      <c r="Y365" s="50" t="str">
        <f>IF(CCUS_Projects_Database!$R365&lt;&gt;"",HYPERLINK(CCUS_Projects_Database!$R365,"Link 1"),"")</f>
        <v>Link 1</v>
      </c>
      <c r="Z365" s="50" t="str">
        <f>IF(CCUS_Projects_Database!$S365&lt;&gt;"",HYPERLINK(CCUS_Projects_Database!$S365,"Link 2"),"")</f>
        <v>Link 2</v>
      </c>
      <c r="AA365" s="50" t="str">
        <f>IF(CCUS_Projects_Database!$T365&lt;&gt;"",HYPERLINK(CCUS_Projects_Database!$T365,"Link 3"),"")</f>
        <v>Link 3</v>
      </c>
      <c r="AB365" s="50" t="str">
        <f>IF(CCUS_Projects_Database!$U365&lt;&gt;"",HYPERLINK(CCUS_Projects_Database!$U365,"Link 4"),"")</f>
        <v/>
      </c>
      <c r="AC365" s="50" t="str">
        <f>IF(CCUS_Projects_Database!$V365&lt;&gt;"",HYPERLINK(CCUS_Projects_Database!$V365,"Link 5"),"")</f>
        <v/>
      </c>
      <c r="AD365" s="50" t="str">
        <f>IF(CCUS_Projects_Database!$W365&lt;&gt;"",HYPERLINK(CCUS_Projects_Database!$W365,"Link 6"),"")</f>
        <v/>
      </c>
      <c r="AE365" s="50" t="str">
        <f>IF(CCUS_Projects_Database!$X365&lt;&gt;"",HYPERLINK(CCUS_Projects_Database!$X365,"Link 7"),"")</f>
        <v/>
      </c>
    </row>
    <row r="366" ht="15.75" customHeight="1">
      <c r="A366" s="37" t="s">
        <v>1446</v>
      </c>
      <c r="B366" s="38">
        <v>179.0</v>
      </c>
      <c r="C366" s="38" t="s">
        <v>141</v>
      </c>
      <c r="D366" s="39" t="s">
        <v>1447</v>
      </c>
      <c r="E366" s="38" t="s">
        <v>8</v>
      </c>
      <c r="F366" s="38">
        <v>2021.0</v>
      </c>
      <c r="G366" s="38">
        <v>2024.0</v>
      </c>
      <c r="H366" s="38">
        <v>2025.0</v>
      </c>
      <c r="I366" s="38" t="s">
        <v>124</v>
      </c>
      <c r="J366" s="38" t="s">
        <v>28</v>
      </c>
      <c r="K366" s="40" t="s">
        <v>124</v>
      </c>
      <c r="L366" s="51">
        <v>0.32</v>
      </c>
      <c r="M366" s="40">
        <v>0.343</v>
      </c>
      <c r="N366" s="38" t="s">
        <v>50</v>
      </c>
      <c r="O366" s="41" t="s">
        <v>71</v>
      </c>
      <c r="P366" s="42" t="s">
        <v>567</v>
      </c>
      <c r="Q366" s="38" t="s">
        <v>143</v>
      </c>
      <c r="R366" s="42" t="s">
        <v>945</v>
      </c>
      <c r="S366" s="42" t="s">
        <v>946</v>
      </c>
      <c r="T366" s="42" t="s">
        <v>947</v>
      </c>
      <c r="U366" s="42" t="s">
        <v>124</v>
      </c>
      <c r="V366" s="42" t="s">
        <v>124</v>
      </c>
      <c r="W366" s="42" t="s">
        <v>124</v>
      </c>
      <c r="X366" s="42" t="s">
        <v>124</v>
      </c>
      <c r="Y366" s="43" t="str">
        <f>IF(CCUS_Projects_Database!$R366&lt;&gt;"",HYPERLINK(CCUS_Projects_Database!$R366,"Link 1"),"")</f>
        <v>Link 1</v>
      </c>
      <c r="Z366" s="43" t="str">
        <f>IF(CCUS_Projects_Database!$S366&lt;&gt;"",HYPERLINK(CCUS_Projects_Database!$S366,"Link 2"),"")</f>
        <v>Link 2</v>
      </c>
      <c r="AA366" s="43" t="str">
        <f>IF(CCUS_Projects_Database!$T366&lt;&gt;"",HYPERLINK(CCUS_Projects_Database!$T366,"Link 3"),"")</f>
        <v>Link 3</v>
      </c>
      <c r="AB366" s="43" t="str">
        <f>IF(CCUS_Projects_Database!$U366&lt;&gt;"",HYPERLINK(CCUS_Projects_Database!$U366,"Link 4"),"")</f>
        <v/>
      </c>
      <c r="AC366" s="43" t="str">
        <f>IF(CCUS_Projects_Database!$V366&lt;&gt;"",HYPERLINK(CCUS_Projects_Database!$V366,"Link 5"),"")</f>
        <v/>
      </c>
      <c r="AD366" s="43" t="str">
        <f>IF(CCUS_Projects_Database!$W366&lt;&gt;"",HYPERLINK(CCUS_Projects_Database!$W366,"Link 6"),"")</f>
        <v/>
      </c>
      <c r="AE366" s="43" t="str">
        <f>IF(CCUS_Projects_Database!$X366&lt;&gt;"",HYPERLINK(CCUS_Projects_Database!$X366,"Link 7"),"")</f>
        <v/>
      </c>
    </row>
    <row r="367" ht="15.75" customHeight="1">
      <c r="A367" s="44" t="s">
        <v>1448</v>
      </c>
      <c r="B367" s="45">
        <v>180.0</v>
      </c>
      <c r="C367" s="45" t="s">
        <v>141</v>
      </c>
      <c r="D367" s="46" t="s">
        <v>1449</v>
      </c>
      <c r="E367" s="45" t="s">
        <v>8</v>
      </c>
      <c r="F367" s="45">
        <v>2021.0</v>
      </c>
      <c r="G367" s="45">
        <v>2024.0</v>
      </c>
      <c r="H367" s="45">
        <v>2025.0</v>
      </c>
      <c r="I367" s="45" t="s">
        <v>124</v>
      </c>
      <c r="J367" s="45" t="s">
        <v>28</v>
      </c>
      <c r="K367" s="47" t="s">
        <v>124</v>
      </c>
      <c r="L367" s="52">
        <v>0.172</v>
      </c>
      <c r="M367" s="47">
        <v>0.172</v>
      </c>
      <c r="N367" s="45" t="s">
        <v>50</v>
      </c>
      <c r="O367" s="48" t="s">
        <v>71</v>
      </c>
      <c r="P367" s="49" t="s">
        <v>567</v>
      </c>
      <c r="Q367" s="45" t="s">
        <v>143</v>
      </c>
      <c r="R367" s="49" t="s">
        <v>945</v>
      </c>
      <c r="S367" s="49" t="s">
        <v>946</v>
      </c>
      <c r="T367" s="49" t="s">
        <v>947</v>
      </c>
      <c r="U367" s="49" t="s">
        <v>124</v>
      </c>
      <c r="V367" s="49" t="s">
        <v>124</v>
      </c>
      <c r="W367" s="49" t="s">
        <v>124</v>
      </c>
      <c r="X367" s="49" t="s">
        <v>124</v>
      </c>
      <c r="Y367" s="50" t="str">
        <f>IF(CCUS_Projects_Database!$R367&lt;&gt;"",HYPERLINK(CCUS_Projects_Database!$R367,"Link 1"),"")</f>
        <v>Link 1</v>
      </c>
      <c r="Z367" s="50" t="str">
        <f>IF(CCUS_Projects_Database!$S367&lt;&gt;"",HYPERLINK(CCUS_Projects_Database!$S367,"Link 2"),"")</f>
        <v>Link 2</v>
      </c>
      <c r="AA367" s="50" t="str">
        <f>IF(CCUS_Projects_Database!$T367&lt;&gt;"",HYPERLINK(CCUS_Projects_Database!$T367,"Link 3"),"")</f>
        <v>Link 3</v>
      </c>
      <c r="AB367" s="50" t="str">
        <f>IF(CCUS_Projects_Database!$U367&lt;&gt;"",HYPERLINK(CCUS_Projects_Database!$U367,"Link 4"),"")</f>
        <v/>
      </c>
      <c r="AC367" s="50" t="str">
        <f>IF(CCUS_Projects_Database!$V367&lt;&gt;"",HYPERLINK(CCUS_Projects_Database!$V367,"Link 5"),"")</f>
        <v/>
      </c>
      <c r="AD367" s="50" t="str">
        <f>IF(CCUS_Projects_Database!$W367&lt;&gt;"",HYPERLINK(CCUS_Projects_Database!$W367,"Link 6"),"")</f>
        <v/>
      </c>
      <c r="AE367" s="50" t="str">
        <f>IF(CCUS_Projects_Database!$X367&lt;&gt;"",HYPERLINK(CCUS_Projects_Database!$X367,"Link 7"),"")</f>
        <v/>
      </c>
    </row>
    <row r="368" ht="15.75" customHeight="1">
      <c r="A368" s="37" t="s">
        <v>1450</v>
      </c>
      <c r="B368" s="38">
        <v>181.0</v>
      </c>
      <c r="C368" s="38" t="s">
        <v>141</v>
      </c>
      <c r="D368" s="39" t="s">
        <v>1451</v>
      </c>
      <c r="E368" s="38" t="s">
        <v>8</v>
      </c>
      <c r="F368" s="38">
        <v>2021.0</v>
      </c>
      <c r="G368" s="38">
        <v>2024.0</v>
      </c>
      <c r="H368" s="38">
        <v>2025.0</v>
      </c>
      <c r="I368" s="38" t="s">
        <v>124</v>
      </c>
      <c r="J368" s="38" t="s">
        <v>28</v>
      </c>
      <c r="K368" s="40" t="s">
        <v>124</v>
      </c>
      <c r="L368" s="51">
        <v>0.225</v>
      </c>
      <c r="M368" s="40">
        <v>0.235</v>
      </c>
      <c r="N368" s="38" t="s">
        <v>50</v>
      </c>
      <c r="O368" s="41" t="s">
        <v>71</v>
      </c>
      <c r="P368" s="42" t="s">
        <v>567</v>
      </c>
      <c r="Q368" s="38" t="s">
        <v>143</v>
      </c>
      <c r="R368" s="42" t="s">
        <v>945</v>
      </c>
      <c r="S368" s="42" t="s">
        <v>946</v>
      </c>
      <c r="T368" s="42" t="s">
        <v>947</v>
      </c>
      <c r="U368" s="42" t="s">
        <v>124</v>
      </c>
      <c r="V368" s="42" t="s">
        <v>124</v>
      </c>
      <c r="W368" s="42" t="s">
        <v>124</v>
      </c>
      <c r="X368" s="42" t="s">
        <v>124</v>
      </c>
      <c r="Y368" s="43" t="str">
        <f>IF(CCUS_Projects_Database!$R368&lt;&gt;"",HYPERLINK(CCUS_Projects_Database!$R368,"Link 1"),"")</f>
        <v>Link 1</v>
      </c>
      <c r="Z368" s="43" t="str">
        <f>IF(CCUS_Projects_Database!$S368&lt;&gt;"",HYPERLINK(CCUS_Projects_Database!$S368,"Link 2"),"")</f>
        <v>Link 2</v>
      </c>
      <c r="AA368" s="43" t="str">
        <f>IF(CCUS_Projects_Database!$T368&lt;&gt;"",HYPERLINK(CCUS_Projects_Database!$T368,"Link 3"),"")</f>
        <v>Link 3</v>
      </c>
      <c r="AB368" s="43" t="str">
        <f>IF(CCUS_Projects_Database!$U368&lt;&gt;"",HYPERLINK(CCUS_Projects_Database!$U368,"Link 4"),"")</f>
        <v/>
      </c>
      <c r="AC368" s="43" t="str">
        <f>IF(CCUS_Projects_Database!$V368&lt;&gt;"",HYPERLINK(CCUS_Projects_Database!$V368,"Link 5"),"")</f>
        <v/>
      </c>
      <c r="AD368" s="43" t="str">
        <f>IF(CCUS_Projects_Database!$W368&lt;&gt;"",HYPERLINK(CCUS_Projects_Database!$W368,"Link 6"),"")</f>
        <v/>
      </c>
      <c r="AE368" s="43" t="str">
        <f>IF(CCUS_Projects_Database!$X368&lt;&gt;"",HYPERLINK(CCUS_Projects_Database!$X368,"Link 7"),"")</f>
        <v/>
      </c>
    </row>
    <row r="369" ht="15.75" customHeight="1">
      <c r="A369" s="44" t="s">
        <v>1452</v>
      </c>
      <c r="B369" s="45">
        <v>182.0</v>
      </c>
      <c r="C369" s="45" t="s">
        <v>141</v>
      </c>
      <c r="D369" s="46" t="s">
        <v>1453</v>
      </c>
      <c r="E369" s="45" t="s">
        <v>8</v>
      </c>
      <c r="F369" s="45">
        <v>2021.0</v>
      </c>
      <c r="G369" s="45">
        <v>2024.0</v>
      </c>
      <c r="H369" s="45">
        <v>2025.0</v>
      </c>
      <c r="I369" s="45" t="s">
        <v>124</v>
      </c>
      <c r="J369" s="45" t="s">
        <v>28</v>
      </c>
      <c r="K369" s="47" t="s">
        <v>124</v>
      </c>
      <c r="L369" s="52">
        <v>0.16</v>
      </c>
      <c r="M369" s="47">
        <v>0.172</v>
      </c>
      <c r="N369" s="45" t="s">
        <v>50</v>
      </c>
      <c r="O369" s="48" t="s">
        <v>71</v>
      </c>
      <c r="P369" s="49" t="s">
        <v>567</v>
      </c>
      <c r="Q369" s="45" t="s">
        <v>143</v>
      </c>
      <c r="R369" s="49" t="s">
        <v>945</v>
      </c>
      <c r="S369" s="49" t="s">
        <v>946</v>
      </c>
      <c r="T369" s="49" t="s">
        <v>947</v>
      </c>
      <c r="U369" s="49" t="s">
        <v>124</v>
      </c>
      <c r="V369" s="49" t="s">
        <v>124</v>
      </c>
      <c r="W369" s="49" t="s">
        <v>124</v>
      </c>
      <c r="X369" s="49" t="s">
        <v>124</v>
      </c>
      <c r="Y369" s="50" t="str">
        <f>IF(CCUS_Projects_Database!$R369&lt;&gt;"",HYPERLINK(CCUS_Projects_Database!$R369,"Link 1"),"")</f>
        <v>Link 1</v>
      </c>
      <c r="Z369" s="50" t="str">
        <f>IF(CCUS_Projects_Database!$S369&lt;&gt;"",HYPERLINK(CCUS_Projects_Database!$S369,"Link 2"),"")</f>
        <v>Link 2</v>
      </c>
      <c r="AA369" s="50" t="str">
        <f>IF(CCUS_Projects_Database!$T369&lt;&gt;"",HYPERLINK(CCUS_Projects_Database!$T369,"Link 3"),"")</f>
        <v>Link 3</v>
      </c>
      <c r="AB369" s="50" t="str">
        <f>IF(CCUS_Projects_Database!$U369&lt;&gt;"",HYPERLINK(CCUS_Projects_Database!$U369,"Link 4"),"")</f>
        <v/>
      </c>
      <c r="AC369" s="50" t="str">
        <f>IF(CCUS_Projects_Database!$V369&lt;&gt;"",HYPERLINK(CCUS_Projects_Database!$V369,"Link 5"),"")</f>
        <v/>
      </c>
      <c r="AD369" s="50" t="str">
        <f>IF(CCUS_Projects_Database!$W369&lt;&gt;"",HYPERLINK(CCUS_Projects_Database!$W369,"Link 6"),"")</f>
        <v/>
      </c>
      <c r="AE369" s="50" t="str">
        <f>IF(CCUS_Projects_Database!$X369&lt;&gt;"",HYPERLINK(CCUS_Projects_Database!$X369,"Link 7"),"")</f>
        <v/>
      </c>
    </row>
    <row r="370" ht="15.75" customHeight="1">
      <c r="A370" s="37" t="s">
        <v>1454</v>
      </c>
      <c r="B370" s="38">
        <v>183.0</v>
      </c>
      <c r="C370" s="38" t="s">
        <v>141</v>
      </c>
      <c r="D370" s="39" t="s">
        <v>1455</v>
      </c>
      <c r="E370" s="38" t="s">
        <v>8</v>
      </c>
      <c r="F370" s="38">
        <v>2021.0</v>
      </c>
      <c r="G370" s="38">
        <v>2024.0</v>
      </c>
      <c r="H370" s="38">
        <v>2025.0</v>
      </c>
      <c r="I370" s="38" t="s">
        <v>124</v>
      </c>
      <c r="J370" s="38" t="s">
        <v>28</v>
      </c>
      <c r="K370" s="40" t="s">
        <v>124</v>
      </c>
      <c r="L370" s="51">
        <v>0.33</v>
      </c>
      <c r="M370" s="40">
        <v>0.346</v>
      </c>
      <c r="N370" s="38" t="s">
        <v>50</v>
      </c>
      <c r="O370" s="41" t="s">
        <v>71</v>
      </c>
      <c r="P370" s="42" t="s">
        <v>567</v>
      </c>
      <c r="Q370" s="38" t="s">
        <v>143</v>
      </c>
      <c r="R370" s="42" t="s">
        <v>945</v>
      </c>
      <c r="S370" s="42" t="s">
        <v>946</v>
      </c>
      <c r="T370" s="42" t="s">
        <v>947</v>
      </c>
      <c r="U370" s="42" t="s">
        <v>124</v>
      </c>
      <c r="V370" s="42" t="s">
        <v>124</v>
      </c>
      <c r="W370" s="42" t="s">
        <v>124</v>
      </c>
      <c r="X370" s="42" t="s">
        <v>124</v>
      </c>
      <c r="Y370" s="43" t="str">
        <f>IF(CCUS_Projects_Database!$R370&lt;&gt;"",HYPERLINK(CCUS_Projects_Database!$R370,"Link 1"),"")</f>
        <v>Link 1</v>
      </c>
      <c r="Z370" s="43" t="str">
        <f>IF(CCUS_Projects_Database!$S370&lt;&gt;"",HYPERLINK(CCUS_Projects_Database!$S370,"Link 2"),"")</f>
        <v>Link 2</v>
      </c>
      <c r="AA370" s="43" t="str">
        <f>IF(CCUS_Projects_Database!$T370&lt;&gt;"",HYPERLINK(CCUS_Projects_Database!$T370,"Link 3"),"")</f>
        <v>Link 3</v>
      </c>
      <c r="AB370" s="43" t="str">
        <f>IF(CCUS_Projects_Database!$U370&lt;&gt;"",HYPERLINK(CCUS_Projects_Database!$U370,"Link 4"),"")</f>
        <v/>
      </c>
      <c r="AC370" s="43" t="str">
        <f>IF(CCUS_Projects_Database!$V370&lt;&gt;"",HYPERLINK(CCUS_Projects_Database!$V370,"Link 5"),"")</f>
        <v/>
      </c>
      <c r="AD370" s="43" t="str">
        <f>IF(CCUS_Projects_Database!$W370&lt;&gt;"",HYPERLINK(CCUS_Projects_Database!$W370,"Link 6"),"")</f>
        <v/>
      </c>
      <c r="AE370" s="43" t="str">
        <f>IF(CCUS_Projects_Database!$X370&lt;&gt;"",HYPERLINK(CCUS_Projects_Database!$X370,"Link 7"),"")</f>
        <v/>
      </c>
    </row>
    <row r="371" ht="15.75" customHeight="1">
      <c r="A371" s="44" t="s">
        <v>1456</v>
      </c>
      <c r="B371" s="45">
        <v>184.0</v>
      </c>
      <c r="C371" s="45" t="s">
        <v>141</v>
      </c>
      <c r="D371" s="46" t="s">
        <v>1457</v>
      </c>
      <c r="E371" s="45" t="s">
        <v>8</v>
      </c>
      <c r="F371" s="45">
        <v>2021.0</v>
      </c>
      <c r="G371" s="45">
        <v>2024.0</v>
      </c>
      <c r="H371" s="45">
        <v>2025.0</v>
      </c>
      <c r="I371" s="45" t="s">
        <v>124</v>
      </c>
      <c r="J371" s="45" t="s">
        <v>28</v>
      </c>
      <c r="K371" s="47" t="s">
        <v>124</v>
      </c>
      <c r="L371" s="52">
        <v>0.135</v>
      </c>
      <c r="M371" s="47">
        <v>0.143</v>
      </c>
      <c r="N371" s="45" t="s">
        <v>50</v>
      </c>
      <c r="O371" s="48" t="s">
        <v>71</v>
      </c>
      <c r="P371" s="49" t="s">
        <v>567</v>
      </c>
      <c r="Q371" s="45" t="s">
        <v>143</v>
      </c>
      <c r="R371" s="49" t="s">
        <v>945</v>
      </c>
      <c r="S371" s="49" t="s">
        <v>946</v>
      </c>
      <c r="T371" s="49" t="s">
        <v>947</v>
      </c>
      <c r="U371" s="49" t="s">
        <v>124</v>
      </c>
      <c r="V371" s="49" t="s">
        <v>124</v>
      </c>
      <c r="W371" s="49" t="s">
        <v>124</v>
      </c>
      <c r="X371" s="49" t="s">
        <v>124</v>
      </c>
      <c r="Y371" s="50" t="str">
        <f>IF(CCUS_Projects_Database!$R371&lt;&gt;"",HYPERLINK(CCUS_Projects_Database!$R371,"Link 1"),"")</f>
        <v>Link 1</v>
      </c>
      <c r="Z371" s="50" t="str">
        <f>IF(CCUS_Projects_Database!$S371&lt;&gt;"",HYPERLINK(CCUS_Projects_Database!$S371,"Link 2"),"")</f>
        <v>Link 2</v>
      </c>
      <c r="AA371" s="50" t="str">
        <f>IF(CCUS_Projects_Database!$T371&lt;&gt;"",HYPERLINK(CCUS_Projects_Database!$T371,"Link 3"),"")</f>
        <v>Link 3</v>
      </c>
      <c r="AB371" s="50" t="str">
        <f>IF(CCUS_Projects_Database!$U371&lt;&gt;"",HYPERLINK(CCUS_Projects_Database!$U371,"Link 4"),"")</f>
        <v/>
      </c>
      <c r="AC371" s="50" t="str">
        <f>IF(CCUS_Projects_Database!$V371&lt;&gt;"",HYPERLINK(CCUS_Projects_Database!$V371,"Link 5"),"")</f>
        <v/>
      </c>
      <c r="AD371" s="50" t="str">
        <f>IF(CCUS_Projects_Database!$W371&lt;&gt;"",HYPERLINK(CCUS_Projects_Database!$W371,"Link 6"),"")</f>
        <v/>
      </c>
      <c r="AE371" s="50" t="str">
        <f>IF(CCUS_Projects_Database!$X371&lt;&gt;"",HYPERLINK(CCUS_Projects_Database!$X371,"Link 7"),"")</f>
        <v/>
      </c>
    </row>
    <row r="372" ht="15.75" customHeight="1">
      <c r="A372" s="37" t="s">
        <v>1458</v>
      </c>
      <c r="B372" s="38">
        <v>728.0</v>
      </c>
      <c r="C372" s="38" t="s">
        <v>299</v>
      </c>
      <c r="D372" s="39" t="s">
        <v>1459</v>
      </c>
      <c r="E372" s="38" t="s">
        <v>8</v>
      </c>
      <c r="F372" s="38">
        <v>2021.0</v>
      </c>
      <c r="G372" s="38" t="s">
        <v>124</v>
      </c>
      <c r="H372" s="38">
        <v>2030.0</v>
      </c>
      <c r="I372" s="38" t="s">
        <v>124</v>
      </c>
      <c r="J372" s="38" t="s">
        <v>28</v>
      </c>
      <c r="K372" s="40" t="s">
        <v>124</v>
      </c>
      <c r="L372" s="51">
        <v>0.4</v>
      </c>
      <c r="M372" s="40">
        <v>0.4</v>
      </c>
      <c r="N372" s="38" t="s">
        <v>56</v>
      </c>
      <c r="O372" s="41" t="s">
        <v>71</v>
      </c>
      <c r="P372" s="42" t="s">
        <v>1329</v>
      </c>
      <c r="Q372" s="38" t="s">
        <v>125</v>
      </c>
      <c r="R372" s="42" t="s">
        <v>346</v>
      </c>
      <c r="S372" s="42" t="s">
        <v>1460</v>
      </c>
      <c r="T372" s="42" t="s">
        <v>1461</v>
      </c>
      <c r="U372" s="42" t="s">
        <v>124</v>
      </c>
      <c r="V372" s="42" t="s">
        <v>124</v>
      </c>
      <c r="W372" s="42" t="s">
        <v>124</v>
      </c>
      <c r="X372" s="42" t="s">
        <v>124</v>
      </c>
      <c r="Y372" s="43" t="str">
        <f>IF(CCUS_Projects_Database!$R372&lt;&gt;"",HYPERLINK(CCUS_Projects_Database!$R372,"Link 1"),"")</f>
        <v>Link 1</v>
      </c>
      <c r="Z372" s="43" t="str">
        <f>IF(CCUS_Projects_Database!$S372&lt;&gt;"",HYPERLINK(CCUS_Projects_Database!$S372,"Link 2"),"")</f>
        <v>Link 2</v>
      </c>
      <c r="AA372" s="43" t="str">
        <f>IF(CCUS_Projects_Database!$T372&lt;&gt;"",HYPERLINK(CCUS_Projects_Database!$T372,"Link 3"),"")</f>
        <v>Link 3</v>
      </c>
      <c r="AB372" s="43" t="str">
        <f>IF(CCUS_Projects_Database!$U372&lt;&gt;"",HYPERLINK(CCUS_Projects_Database!$U372,"Link 4"),"")</f>
        <v/>
      </c>
      <c r="AC372" s="43" t="str">
        <f>IF(CCUS_Projects_Database!$V372&lt;&gt;"",HYPERLINK(CCUS_Projects_Database!$V372,"Link 5"),"")</f>
        <v/>
      </c>
      <c r="AD372" s="43" t="str">
        <f>IF(CCUS_Projects_Database!$W372&lt;&gt;"",HYPERLINK(CCUS_Projects_Database!$W372,"Link 6"),"")</f>
        <v/>
      </c>
      <c r="AE372" s="43" t="str">
        <f>IF(CCUS_Projects_Database!$X372&lt;&gt;"",HYPERLINK(CCUS_Projects_Database!$X372,"Link 7"),"")</f>
        <v/>
      </c>
    </row>
    <row r="373" ht="15.75" customHeight="1">
      <c r="A373" s="44" t="s">
        <v>1462</v>
      </c>
      <c r="B373" s="45">
        <v>186.0</v>
      </c>
      <c r="C373" s="45" t="s">
        <v>224</v>
      </c>
      <c r="D373" s="46" t="s">
        <v>1463</v>
      </c>
      <c r="E373" s="45" t="s">
        <v>6</v>
      </c>
      <c r="F373" s="45">
        <v>2011.0</v>
      </c>
      <c r="G373" s="45" t="s">
        <v>124</v>
      </c>
      <c r="H373" s="45">
        <v>2030.0</v>
      </c>
      <c r="I373" s="45" t="s">
        <v>124</v>
      </c>
      <c r="J373" s="45" t="s">
        <v>28</v>
      </c>
      <c r="K373" s="47">
        <v>1.0</v>
      </c>
      <c r="L373" s="52">
        <v>2.0</v>
      </c>
      <c r="M373" s="47">
        <v>2.0</v>
      </c>
      <c r="N373" s="45" t="s">
        <v>46</v>
      </c>
      <c r="O373" s="48" t="s">
        <v>77</v>
      </c>
      <c r="P373" s="49" t="s">
        <v>124</v>
      </c>
      <c r="Q373" s="45" t="s">
        <v>148</v>
      </c>
      <c r="R373" s="49" t="s">
        <v>840</v>
      </c>
      <c r="S373" s="49" t="s">
        <v>124</v>
      </c>
      <c r="T373" s="49" t="s">
        <v>124</v>
      </c>
      <c r="U373" s="49" t="s">
        <v>124</v>
      </c>
      <c r="V373" s="49" t="s">
        <v>124</v>
      </c>
      <c r="W373" s="49" t="s">
        <v>124</v>
      </c>
      <c r="X373" s="49" t="s">
        <v>124</v>
      </c>
      <c r="Y373" s="50" t="str">
        <f>IF(CCUS_Projects_Database!$R373&lt;&gt;"",HYPERLINK(CCUS_Projects_Database!$R373,"Link 1"),"")</f>
        <v>Link 1</v>
      </c>
      <c r="Z373" s="50" t="str">
        <f>IF(CCUS_Projects_Database!$S373&lt;&gt;"",HYPERLINK(CCUS_Projects_Database!$S373,"Link 2"),"")</f>
        <v/>
      </c>
      <c r="AA373" s="50" t="str">
        <f>IF(CCUS_Projects_Database!$T373&lt;&gt;"",HYPERLINK(CCUS_Projects_Database!$T373,"Link 3"),"")</f>
        <v/>
      </c>
      <c r="AB373" s="50" t="str">
        <f>IF(CCUS_Projects_Database!$U373&lt;&gt;"",HYPERLINK(CCUS_Projects_Database!$U373,"Link 4"),"")</f>
        <v/>
      </c>
      <c r="AC373" s="50" t="str">
        <f>IF(CCUS_Projects_Database!$V373&lt;&gt;"",HYPERLINK(CCUS_Projects_Database!$V373,"Link 5"),"")</f>
        <v/>
      </c>
      <c r="AD373" s="50" t="str">
        <f>IF(CCUS_Projects_Database!$W373&lt;&gt;"",HYPERLINK(CCUS_Projects_Database!$W373,"Link 6"),"")</f>
        <v/>
      </c>
      <c r="AE373" s="50" t="str">
        <f>IF(CCUS_Projects_Database!$X373&lt;&gt;"",HYPERLINK(CCUS_Projects_Database!$X373,"Link 7"),"")</f>
        <v/>
      </c>
    </row>
    <row r="374" ht="15.75" customHeight="1">
      <c r="A374" s="37" t="s">
        <v>1464</v>
      </c>
      <c r="B374" s="38">
        <v>503.0</v>
      </c>
      <c r="C374" s="38" t="s">
        <v>239</v>
      </c>
      <c r="D374" s="39" t="s">
        <v>1465</v>
      </c>
      <c r="E374" s="38" t="s">
        <v>12</v>
      </c>
      <c r="F374" s="38">
        <v>2022.0</v>
      </c>
      <c r="G374" s="38" t="s">
        <v>124</v>
      </c>
      <c r="H374" s="38" t="s">
        <v>124</v>
      </c>
      <c r="I374" s="38" t="s">
        <v>124</v>
      </c>
      <c r="J374" s="38" t="s">
        <v>28</v>
      </c>
      <c r="K374" s="40" t="s">
        <v>124</v>
      </c>
      <c r="L374" s="40"/>
      <c r="M374" s="40" t="s">
        <v>124</v>
      </c>
      <c r="N374" s="38" t="s">
        <v>12</v>
      </c>
      <c r="O374" s="41" t="s">
        <v>71</v>
      </c>
      <c r="P374" s="42" t="s">
        <v>1464</v>
      </c>
      <c r="Q374" s="38" t="s">
        <v>143</v>
      </c>
      <c r="R374" s="42" t="s">
        <v>464</v>
      </c>
      <c r="S374" s="42" t="s">
        <v>124</v>
      </c>
      <c r="T374" s="42" t="s">
        <v>124</v>
      </c>
      <c r="U374" s="42" t="s">
        <v>124</v>
      </c>
      <c r="V374" s="42" t="s">
        <v>124</v>
      </c>
      <c r="W374" s="42" t="s">
        <v>124</v>
      </c>
      <c r="X374" s="42" t="s">
        <v>124</v>
      </c>
      <c r="Y374" s="43" t="str">
        <f>IF(CCUS_Projects_Database!$R374&lt;&gt;"",HYPERLINK(CCUS_Projects_Database!$R374,"Link 1"),"")</f>
        <v>Link 1</v>
      </c>
      <c r="Z374" s="43" t="str">
        <f>IF(CCUS_Projects_Database!$S374&lt;&gt;"",HYPERLINK(CCUS_Projects_Database!$S374,"Link 2"),"")</f>
        <v/>
      </c>
      <c r="AA374" s="43" t="str">
        <f>IF(CCUS_Projects_Database!$T374&lt;&gt;"",HYPERLINK(CCUS_Projects_Database!$T374,"Link 3"),"")</f>
        <v/>
      </c>
      <c r="AB374" s="43" t="str">
        <f>IF(CCUS_Projects_Database!$U374&lt;&gt;"",HYPERLINK(CCUS_Projects_Database!$U374,"Link 4"),"")</f>
        <v/>
      </c>
      <c r="AC374" s="43" t="str">
        <f>IF(CCUS_Projects_Database!$V374&lt;&gt;"",HYPERLINK(CCUS_Projects_Database!$V374,"Link 5"),"")</f>
        <v/>
      </c>
      <c r="AD374" s="43" t="str">
        <f>IF(CCUS_Projects_Database!$W374&lt;&gt;"",HYPERLINK(CCUS_Projects_Database!$W374,"Link 6"),"")</f>
        <v/>
      </c>
      <c r="AE374" s="43" t="str">
        <f>IF(CCUS_Projects_Database!$X374&lt;&gt;"",HYPERLINK(CCUS_Projects_Database!$X374,"Link 7"),"")</f>
        <v/>
      </c>
    </row>
    <row r="375" ht="15.75" customHeight="1">
      <c r="A375" s="44" t="s">
        <v>1466</v>
      </c>
      <c r="B375" s="45">
        <v>1139.0</v>
      </c>
      <c r="C375" s="45" t="s">
        <v>122</v>
      </c>
      <c r="D375" s="46" t="s">
        <v>1467</v>
      </c>
      <c r="E375" s="45" t="s">
        <v>10</v>
      </c>
      <c r="F375" s="45">
        <v>2023.0</v>
      </c>
      <c r="G375" s="45" t="s">
        <v>124</v>
      </c>
      <c r="H375" s="45">
        <v>2028.0</v>
      </c>
      <c r="I375" s="45" t="s">
        <v>124</v>
      </c>
      <c r="J375" s="45" t="s">
        <v>28</v>
      </c>
      <c r="K375" s="47" t="s">
        <v>124</v>
      </c>
      <c r="L375" s="52">
        <v>5.0</v>
      </c>
      <c r="M375" s="47">
        <v>5.0</v>
      </c>
      <c r="N375" s="45" t="s">
        <v>10</v>
      </c>
      <c r="O375" s="48" t="s">
        <v>71</v>
      </c>
      <c r="P375" s="49" t="s">
        <v>124</v>
      </c>
      <c r="Q375" s="45" t="s">
        <v>125</v>
      </c>
      <c r="R375" s="49" t="s">
        <v>1468</v>
      </c>
      <c r="S375" s="49" t="s">
        <v>124</v>
      </c>
      <c r="T375" s="49" t="s">
        <v>124</v>
      </c>
      <c r="U375" s="49" t="s">
        <v>124</v>
      </c>
      <c r="V375" s="49" t="s">
        <v>124</v>
      </c>
      <c r="W375" s="49" t="s">
        <v>124</v>
      </c>
      <c r="X375" s="49" t="s">
        <v>124</v>
      </c>
      <c r="Y375" s="50" t="str">
        <f>IF(CCUS_Projects_Database!$R375&lt;&gt;"",HYPERLINK(CCUS_Projects_Database!$R375,"Link 1"),"")</f>
        <v>Link 1</v>
      </c>
      <c r="Z375" s="50" t="str">
        <f>IF(CCUS_Projects_Database!$S375&lt;&gt;"",HYPERLINK(CCUS_Projects_Database!$S375,"Link 2"),"")</f>
        <v/>
      </c>
      <c r="AA375" s="50" t="str">
        <f>IF(CCUS_Projects_Database!$T375&lt;&gt;"",HYPERLINK(CCUS_Projects_Database!$T375,"Link 3"),"")</f>
        <v/>
      </c>
      <c r="AB375" s="50" t="str">
        <f>IF(CCUS_Projects_Database!$U375&lt;&gt;"",HYPERLINK(CCUS_Projects_Database!$U375,"Link 4"),"")</f>
        <v/>
      </c>
      <c r="AC375" s="50" t="str">
        <f>IF(CCUS_Projects_Database!$V375&lt;&gt;"",HYPERLINK(CCUS_Projects_Database!$V375,"Link 5"),"")</f>
        <v/>
      </c>
      <c r="AD375" s="50" t="str">
        <f>IF(CCUS_Projects_Database!$W375&lt;&gt;"",HYPERLINK(CCUS_Projects_Database!$W375,"Link 6"),"")</f>
        <v/>
      </c>
      <c r="AE375" s="50" t="str">
        <f>IF(CCUS_Projects_Database!$X375&lt;&gt;"",HYPERLINK(CCUS_Projects_Database!$X375,"Link 7"),"")</f>
        <v/>
      </c>
    </row>
    <row r="376" ht="15.75" customHeight="1">
      <c r="A376" s="37" t="s">
        <v>1469</v>
      </c>
      <c r="B376" s="38">
        <v>642.0</v>
      </c>
      <c r="C376" s="38" t="s">
        <v>224</v>
      </c>
      <c r="D376" s="39" t="s">
        <v>1470</v>
      </c>
      <c r="E376" s="38" t="s">
        <v>6</v>
      </c>
      <c r="F376" s="38">
        <v>2021.0</v>
      </c>
      <c r="G376" s="38">
        <v>2022.0</v>
      </c>
      <c r="H376" s="38">
        <v>2023.0</v>
      </c>
      <c r="I376" s="38" t="s">
        <v>124</v>
      </c>
      <c r="J376" s="38" t="s">
        <v>32</v>
      </c>
      <c r="K376" s="40" t="s">
        <v>124</v>
      </c>
      <c r="L376" s="51">
        <v>0.1</v>
      </c>
      <c r="M376" s="40">
        <v>0.1</v>
      </c>
      <c r="N376" s="38" t="s">
        <v>60</v>
      </c>
      <c r="O376" s="41" t="s">
        <v>73</v>
      </c>
      <c r="P376" s="42" t="s">
        <v>124</v>
      </c>
      <c r="Q376" s="38" t="s">
        <v>148</v>
      </c>
      <c r="R376" s="42" t="s">
        <v>1471</v>
      </c>
      <c r="S376" s="42" t="s">
        <v>1472</v>
      </c>
      <c r="T376" s="42" t="s">
        <v>1473</v>
      </c>
      <c r="U376" s="42" t="s">
        <v>124</v>
      </c>
      <c r="V376" s="42" t="s">
        <v>124</v>
      </c>
      <c r="W376" s="42" t="s">
        <v>124</v>
      </c>
      <c r="X376" s="42" t="s">
        <v>124</v>
      </c>
      <c r="Y376" s="43" t="str">
        <f>IF(CCUS_Projects_Database!$R376&lt;&gt;"",HYPERLINK(CCUS_Projects_Database!$R376,"Link 1"),"")</f>
        <v>Link 1</v>
      </c>
      <c r="Z376" s="43" t="str">
        <f>IF(CCUS_Projects_Database!$S376&lt;&gt;"",HYPERLINK(CCUS_Projects_Database!$S376,"Link 2"),"")</f>
        <v>Link 2</v>
      </c>
      <c r="AA376" s="43" t="str">
        <f>IF(CCUS_Projects_Database!$T376&lt;&gt;"",HYPERLINK(CCUS_Projects_Database!$T376,"Link 3"),"")</f>
        <v>Link 3</v>
      </c>
      <c r="AB376" s="43" t="str">
        <f>IF(CCUS_Projects_Database!$U376&lt;&gt;"",HYPERLINK(CCUS_Projects_Database!$U376,"Link 4"),"")</f>
        <v/>
      </c>
      <c r="AC376" s="43" t="str">
        <f>IF(CCUS_Projects_Database!$V376&lt;&gt;"",HYPERLINK(CCUS_Projects_Database!$V376,"Link 5"),"")</f>
        <v/>
      </c>
      <c r="AD376" s="43" t="str">
        <f>IF(CCUS_Projects_Database!$W376&lt;&gt;"",HYPERLINK(CCUS_Projects_Database!$W376,"Link 6"),"")</f>
        <v/>
      </c>
      <c r="AE376" s="43" t="str">
        <f>IF(CCUS_Projects_Database!$X376&lt;&gt;"",HYPERLINK(CCUS_Projects_Database!$X376,"Link 7"),"")</f>
        <v/>
      </c>
    </row>
    <row r="377" ht="15.75" customHeight="1">
      <c r="A377" s="44" t="s">
        <v>1474</v>
      </c>
      <c r="B377" s="45">
        <v>923.0</v>
      </c>
      <c r="C377" s="45" t="s">
        <v>141</v>
      </c>
      <c r="D377" s="46" t="s">
        <v>1475</v>
      </c>
      <c r="E377" s="45" t="s">
        <v>8</v>
      </c>
      <c r="F377" s="45">
        <v>2023.0</v>
      </c>
      <c r="G377" s="45" t="s">
        <v>124</v>
      </c>
      <c r="H377" s="45" t="s">
        <v>124</v>
      </c>
      <c r="I377" s="45" t="s">
        <v>124</v>
      </c>
      <c r="J377" s="45" t="s">
        <v>28</v>
      </c>
      <c r="K377" s="47" t="s">
        <v>124</v>
      </c>
      <c r="L377" s="47"/>
      <c r="M377" s="47" t="s">
        <v>124</v>
      </c>
      <c r="N377" s="45" t="s">
        <v>136</v>
      </c>
      <c r="O377" s="48" t="s">
        <v>71</v>
      </c>
      <c r="P377" s="49" t="s">
        <v>124</v>
      </c>
      <c r="Q377" s="45" t="s">
        <v>143</v>
      </c>
      <c r="R377" s="49" t="s">
        <v>1476</v>
      </c>
      <c r="S377" s="49" t="s">
        <v>1477</v>
      </c>
      <c r="T377" s="49" t="s">
        <v>124</v>
      </c>
      <c r="U377" s="49" t="s">
        <v>124</v>
      </c>
      <c r="V377" s="49" t="s">
        <v>124</v>
      </c>
      <c r="W377" s="49" t="s">
        <v>124</v>
      </c>
      <c r="X377" s="49" t="s">
        <v>124</v>
      </c>
      <c r="Y377" s="50" t="str">
        <f>IF(CCUS_Projects_Database!$R377&lt;&gt;"",HYPERLINK(CCUS_Projects_Database!$R377,"Link 1"),"")</f>
        <v>Link 1</v>
      </c>
      <c r="Z377" s="50" t="str">
        <f>IF(CCUS_Projects_Database!$S377&lt;&gt;"",HYPERLINK(CCUS_Projects_Database!$S377,"Link 2"),"")</f>
        <v>Link 2</v>
      </c>
      <c r="AA377" s="50" t="str">
        <f>IF(CCUS_Projects_Database!$T377&lt;&gt;"",HYPERLINK(CCUS_Projects_Database!$T377,"Link 3"),"")</f>
        <v/>
      </c>
      <c r="AB377" s="50" t="str">
        <f>IF(CCUS_Projects_Database!$U377&lt;&gt;"",HYPERLINK(CCUS_Projects_Database!$U377,"Link 4"),"")</f>
        <v/>
      </c>
      <c r="AC377" s="50" t="str">
        <f>IF(CCUS_Projects_Database!$V377&lt;&gt;"",HYPERLINK(CCUS_Projects_Database!$V377,"Link 5"),"")</f>
        <v/>
      </c>
      <c r="AD377" s="50" t="str">
        <f>IF(CCUS_Projects_Database!$W377&lt;&gt;"",HYPERLINK(CCUS_Projects_Database!$W377,"Link 6"),"")</f>
        <v/>
      </c>
      <c r="AE377" s="50" t="str">
        <f>IF(CCUS_Projects_Database!$X377&lt;&gt;"",HYPERLINK(CCUS_Projects_Database!$X377,"Link 7"),"")</f>
        <v/>
      </c>
    </row>
    <row r="378" ht="15.75" customHeight="1">
      <c r="A378" s="37" t="s">
        <v>1478</v>
      </c>
      <c r="B378" s="38">
        <v>579.0</v>
      </c>
      <c r="C378" s="38" t="s">
        <v>141</v>
      </c>
      <c r="D378" s="39" t="s">
        <v>1402</v>
      </c>
      <c r="E378" s="38" t="s">
        <v>12</v>
      </c>
      <c r="F378" s="38">
        <v>2020.0</v>
      </c>
      <c r="G378" s="38" t="s">
        <v>124</v>
      </c>
      <c r="H378" s="38">
        <v>2030.0</v>
      </c>
      <c r="I378" s="38" t="s">
        <v>124</v>
      </c>
      <c r="J378" s="38" t="s">
        <v>28</v>
      </c>
      <c r="K378" s="40" t="s">
        <v>124</v>
      </c>
      <c r="L378" s="51">
        <v>2.7</v>
      </c>
      <c r="M378" s="40">
        <v>2.7</v>
      </c>
      <c r="N378" s="38" t="s">
        <v>12</v>
      </c>
      <c r="O378" s="41" t="s">
        <v>71</v>
      </c>
      <c r="P378" s="42" t="s">
        <v>1403</v>
      </c>
      <c r="Q378" s="38" t="s">
        <v>143</v>
      </c>
      <c r="R378" s="42" t="s">
        <v>1479</v>
      </c>
      <c r="S378" s="42" t="s">
        <v>1480</v>
      </c>
      <c r="T378" s="42" t="s">
        <v>1481</v>
      </c>
      <c r="U378" s="42" t="s">
        <v>124</v>
      </c>
      <c r="V378" s="42" t="s">
        <v>124</v>
      </c>
      <c r="W378" s="42" t="s">
        <v>124</v>
      </c>
      <c r="X378" s="42" t="s">
        <v>124</v>
      </c>
      <c r="Y378" s="43" t="str">
        <f>IF(CCUS_Projects_Database!$R378&lt;&gt;"",HYPERLINK(CCUS_Projects_Database!$R378,"Link 1"),"")</f>
        <v>Link 1</v>
      </c>
      <c r="Z378" s="43" t="str">
        <f>IF(CCUS_Projects_Database!$S378&lt;&gt;"",HYPERLINK(CCUS_Projects_Database!$S378,"Link 2"),"")</f>
        <v>Link 2</v>
      </c>
      <c r="AA378" s="43" t="str">
        <f>IF(CCUS_Projects_Database!$T378&lt;&gt;"",HYPERLINK(CCUS_Projects_Database!$T378,"Link 3"),"")</f>
        <v>Link 3</v>
      </c>
      <c r="AB378" s="43" t="str">
        <f>IF(CCUS_Projects_Database!$U378&lt;&gt;"",HYPERLINK(CCUS_Projects_Database!$U378,"Link 4"),"")</f>
        <v/>
      </c>
      <c r="AC378" s="43" t="str">
        <f>IF(CCUS_Projects_Database!$V378&lt;&gt;"",HYPERLINK(CCUS_Projects_Database!$V378,"Link 5"),"")</f>
        <v/>
      </c>
      <c r="AD378" s="43" t="str">
        <f>IF(CCUS_Projects_Database!$W378&lt;&gt;"",HYPERLINK(CCUS_Projects_Database!$W378,"Link 6"),"")</f>
        <v/>
      </c>
      <c r="AE378" s="43" t="str">
        <f>IF(CCUS_Projects_Database!$X378&lt;&gt;"",HYPERLINK(CCUS_Projects_Database!$X378,"Link 7"),"")</f>
        <v/>
      </c>
    </row>
    <row r="379" ht="15.75" customHeight="1">
      <c r="A379" s="44" t="s">
        <v>1482</v>
      </c>
      <c r="B379" s="45">
        <v>187.0</v>
      </c>
      <c r="C379" s="45" t="s">
        <v>146</v>
      </c>
      <c r="D379" s="46" t="s">
        <v>1483</v>
      </c>
      <c r="E379" s="45" t="s">
        <v>6</v>
      </c>
      <c r="F379" s="45">
        <v>2020.0</v>
      </c>
      <c r="G379" s="45" t="s">
        <v>124</v>
      </c>
      <c r="H379" s="45">
        <v>2030.0</v>
      </c>
      <c r="I379" s="45" t="s">
        <v>124</v>
      </c>
      <c r="J379" s="45" t="s">
        <v>28</v>
      </c>
      <c r="K379" s="47" t="s">
        <v>124</v>
      </c>
      <c r="L379" s="52">
        <v>0.3</v>
      </c>
      <c r="M379" s="47">
        <v>0.3</v>
      </c>
      <c r="N379" s="45" t="s">
        <v>48</v>
      </c>
      <c r="O379" s="48" t="s">
        <v>73</v>
      </c>
      <c r="P379" s="49" t="s">
        <v>124</v>
      </c>
      <c r="Q379" s="45" t="s">
        <v>148</v>
      </c>
      <c r="R379" s="49" t="s">
        <v>1484</v>
      </c>
      <c r="S379" s="49" t="s">
        <v>124</v>
      </c>
      <c r="T379" s="49" t="s">
        <v>124</v>
      </c>
      <c r="U379" s="49" t="s">
        <v>124</v>
      </c>
      <c r="V379" s="49" t="s">
        <v>124</v>
      </c>
      <c r="W379" s="49" t="s">
        <v>124</v>
      </c>
      <c r="X379" s="49" t="s">
        <v>124</v>
      </c>
      <c r="Y379" s="50" t="str">
        <f>IF(CCUS_Projects_Database!$R379&lt;&gt;"",HYPERLINK(CCUS_Projects_Database!$R379,"Link 1"),"")</f>
        <v>Link 1</v>
      </c>
      <c r="Z379" s="50" t="str">
        <f>IF(CCUS_Projects_Database!$S379&lt;&gt;"",HYPERLINK(CCUS_Projects_Database!$S379,"Link 2"),"")</f>
        <v/>
      </c>
      <c r="AA379" s="50" t="str">
        <f>IF(CCUS_Projects_Database!$T379&lt;&gt;"",HYPERLINK(CCUS_Projects_Database!$T379,"Link 3"),"")</f>
        <v/>
      </c>
      <c r="AB379" s="50" t="str">
        <f>IF(CCUS_Projects_Database!$U379&lt;&gt;"",HYPERLINK(CCUS_Projects_Database!$U379,"Link 4"),"")</f>
        <v/>
      </c>
      <c r="AC379" s="50" t="str">
        <f>IF(CCUS_Projects_Database!$V379&lt;&gt;"",HYPERLINK(CCUS_Projects_Database!$V379,"Link 5"),"")</f>
        <v/>
      </c>
      <c r="AD379" s="50" t="str">
        <f>IF(CCUS_Projects_Database!$W379&lt;&gt;"",HYPERLINK(CCUS_Projects_Database!$W379,"Link 6"),"")</f>
        <v/>
      </c>
      <c r="AE379" s="50" t="str">
        <f>IF(CCUS_Projects_Database!$X379&lt;&gt;"",HYPERLINK(CCUS_Projects_Database!$X379,"Link 7"),"")</f>
        <v/>
      </c>
    </row>
    <row r="380" ht="15.75" customHeight="1">
      <c r="A380" s="37" t="s">
        <v>1485</v>
      </c>
      <c r="B380" s="38">
        <v>1066.0</v>
      </c>
      <c r="C380" s="38" t="s">
        <v>521</v>
      </c>
      <c r="D380" s="39" t="s">
        <v>1486</v>
      </c>
      <c r="E380" s="38" t="s">
        <v>8</v>
      </c>
      <c r="F380" s="38">
        <v>2024.0</v>
      </c>
      <c r="G380" s="38" t="s">
        <v>124</v>
      </c>
      <c r="H380" s="38">
        <v>2029.0</v>
      </c>
      <c r="I380" s="38" t="s">
        <v>124</v>
      </c>
      <c r="J380" s="38" t="s">
        <v>28</v>
      </c>
      <c r="K380" s="40" t="s">
        <v>124</v>
      </c>
      <c r="L380" s="40"/>
      <c r="M380" s="40" t="s">
        <v>124</v>
      </c>
      <c r="N380" s="38" t="s">
        <v>136</v>
      </c>
      <c r="O380" s="41" t="s">
        <v>77</v>
      </c>
      <c r="P380" s="42" t="s">
        <v>124</v>
      </c>
      <c r="Q380" s="38" t="s">
        <v>148</v>
      </c>
      <c r="R380" s="42" t="s">
        <v>1487</v>
      </c>
      <c r="S380" s="42" t="s">
        <v>124</v>
      </c>
      <c r="T380" s="42" t="s">
        <v>124</v>
      </c>
      <c r="U380" s="42" t="s">
        <v>124</v>
      </c>
      <c r="V380" s="42" t="s">
        <v>124</v>
      </c>
      <c r="W380" s="42" t="s">
        <v>124</v>
      </c>
      <c r="X380" s="42" t="s">
        <v>124</v>
      </c>
      <c r="Y380" s="43" t="str">
        <f>IF(CCUS_Projects_Database!$R380&lt;&gt;"",HYPERLINK(CCUS_Projects_Database!$R380,"Link 1"),"")</f>
        <v>Link 1</v>
      </c>
      <c r="Z380" s="43" t="str">
        <f>IF(CCUS_Projects_Database!$S380&lt;&gt;"",HYPERLINK(CCUS_Projects_Database!$S380,"Link 2"),"")</f>
        <v/>
      </c>
      <c r="AA380" s="43" t="str">
        <f>IF(CCUS_Projects_Database!$T380&lt;&gt;"",HYPERLINK(CCUS_Projects_Database!$T380,"Link 3"),"")</f>
        <v/>
      </c>
      <c r="AB380" s="43" t="str">
        <f>IF(CCUS_Projects_Database!$U380&lt;&gt;"",HYPERLINK(CCUS_Projects_Database!$U380,"Link 4"),"")</f>
        <v/>
      </c>
      <c r="AC380" s="43" t="str">
        <f>IF(CCUS_Projects_Database!$V380&lt;&gt;"",HYPERLINK(CCUS_Projects_Database!$V380,"Link 5"),"")</f>
        <v/>
      </c>
      <c r="AD380" s="43" t="str">
        <f>IF(CCUS_Projects_Database!$W380&lt;&gt;"",HYPERLINK(CCUS_Projects_Database!$W380,"Link 6"),"")</f>
        <v/>
      </c>
      <c r="AE380" s="43" t="str">
        <f>IF(CCUS_Projects_Database!$X380&lt;&gt;"",HYPERLINK(CCUS_Projects_Database!$X380,"Link 7"),"")</f>
        <v/>
      </c>
    </row>
    <row r="381" ht="15.75" customHeight="1">
      <c r="A381" s="44" t="s">
        <v>1488</v>
      </c>
      <c r="B381" s="45">
        <v>215.0</v>
      </c>
      <c r="C381" s="45" t="s">
        <v>204</v>
      </c>
      <c r="D381" s="46" t="s">
        <v>1489</v>
      </c>
      <c r="E381" s="45" t="s">
        <v>8</v>
      </c>
      <c r="F381" s="45">
        <v>2018.0</v>
      </c>
      <c r="G381" s="45">
        <v>2026.0</v>
      </c>
      <c r="H381" s="45">
        <v>2030.0</v>
      </c>
      <c r="I381" s="45" t="s">
        <v>124</v>
      </c>
      <c r="J381" s="45" t="s">
        <v>28</v>
      </c>
      <c r="K381" s="47">
        <v>1.0</v>
      </c>
      <c r="L381" s="52">
        <v>1.5</v>
      </c>
      <c r="M381" s="47">
        <v>1.3</v>
      </c>
      <c r="N381" s="45" t="s">
        <v>54</v>
      </c>
      <c r="O381" s="48" t="s">
        <v>71</v>
      </c>
      <c r="P381" s="49" t="s">
        <v>124</v>
      </c>
      <c r="Q381" s="45" t="s">
        <v>125</v>
      </c>
      <c r="R381" s="49" t="s">
        <v>1490</v>
      </c>
      <c r="S381" s="49" t="s">
        <v>124</v>
      </c>
      <c r="T381" s="49" t="s">
        <v>124</v>
      </c>
      <c r="U381" s="49" t="s">
        <v>124</v>
      </c>
      <c r="V381" s="49" t="s">
        <v>124</v>
      </c>
      <c r="W381" s="49" t="s">
        <v>124</v>
      </c>
      <c r="X381" s="49" t="s">
        <v>124</v>
      </c>
      <c r="Y381" s="50" t="str">
        <f>IF(CCUS_Projects_Database!$R421&lt;&gt;"",HYPERLINK(CCUS_Projects_Database!$R421,"Link 1"),"")</f>
        <v>Link 1</v>
      </c>
      <c r="Z381" s="50" t="str">
        <f>IF(CCUS_Projects_Database!$S421&lt;&gt;"",HYPERLINK(CCUS_Projects_Database!$S421,"Link 2"),"")</f>
        <v>Link 2</v>
      </c>
      <c r="AA381" s="50" t="str">
        <f>IF(CCUS_Projects_Database!$T421&lt;&gt;"",HYPERLINK(CCUS_Projects_Database!$T421,"Link 3"),"")</f>
        <v>Link 3</v>
      </c>
      <c r="AB381" s="50" t="str">
        <f>IF(CCUS_Projects_Database!$U421&lt;&gt;"",HYPERLINK(CCUS_Projects_Database!$U421,"Link 4"),"")</f>
        <v/>
      </c>
      <c r="AC381" s="50" t="str">
        <f>IF(CCUS_Projects_Database!$V421&lt;&gt;"",HYPERLINK(CCUS_Projects_Database!$V421,"Link 5"),"")</f>
        <v/>
      </c>
      <c r="AD381" s="50" t="str">
        <f>IF(CCUS_Projects_Database!$W421&lt;&gt;"",HYPERLINK(CCUS_Projects_Database!$W421,"Link 6"),"")</f>
        <v/>
      </c>
      <c r="AE381" s="50" t="str">
        <f>IF(CCUS_Projects_Database!$X421&lt;&gt;"",HYPERLINK(CCUS_Projects_Database!$X421,"Link 7"),"")</f>
        <v/>
      </c>
    </row>
    <row r="382" ht="15.75" customHeight="1">
      <c r="A382" s="37" t="s">
        <v>1491</v>
      </c>
      <c r="B382" s="38">
        <v>819.0</v>
      </c>
      <c r="C382" s="38" t="s">
        <v>204</v>
      </c>
      <c r="D382" s="39" t="s">
        <v>1492</v>
      </c>
      <c r="E382" s="38" t="s">
        <v>6</v>
      </c>
      <c r="F382" s="38">
        <v>2020.0</v>
      </c>
      <c r="G382" s="38" t="s">
        <v>124</v>
      </c>
      <c r="H382" s="38">
        <v>2027.0</v>
      </c>
      <c r="I382" s="38" t="s">
        <v>124</v>
      </c>
      <c r="J382" s="40" t="s">
        <v>28</v>
      </c>
      <c r="K382" s="40" t="s">
        <v>124</v>
      </c>
      <c r="L382" s="51">
        <v>1.8</v>
      </c>
      <c r="M382" s="57">
        <v>1.8</v>
      </c>
      <c r="N382" s="40" t="s">
        <v>136</v>
      </c>
      <c r="O382" s="41" t="s">
        <v>71</v>
      </c>
      <c r="P382" s="42" t="s">
        <v>124</v>
      </c>
      <c r="Q382" s="38" t="s">
        <v>125</v>
      </c>
      <c r="R382" s="58" t="s">
        <v>1493</v>
      </c>
      <c r="S382" s="58" t="s">
        <v>1494</v>
      </c>
      <c r="T382" s="58" t="s">
        <v>124</v>
      </c>
      <c r="U382" s="58" t="s">
        <v>124</v>
      </c>
      <c r="V382" s="58" t="s">
        <v>124</v>
      </c>
      <c r="W382" s="58" t="s">
        <v>124</v>
      </c>
      <c r="X382" s="58" t="s">
        <v>124</v>
      </c>
      <c r="Y382" s="43" t="str">
        <f>IF(CCUS_Projects_Database!$R383&lt;&gt;"",HYPERLINK(CCUS_Projects_Database!$R383,"Link 1"),"")</f>
        <v>Link 1</v>
      </c>
      <c r="Z382" s="43" t="str">
        <f>IF(CCUS_Projects_Database!$S383&lt;&gt;"",HYPERLINK(CCUS_Projects_Database!$S383,"Link 2"),"")</f>
        <v/>
      </c>
      <c r="AA382" s="43" t="str">
        <f>IF(CCUS_Projects_Database!$T383&lt;&gt;"",HYPERLINK(CCUS_Projects_Database!$T383,"Link 3"),"")</f>
        <v/>
      </c>
      <c r="AB382" s="43" t="str">
        <f>IF(CCUS_Projects_Database!$U383&lt;&gt;"",HYPERLINK(CCUS_Projects_Database!$U383,"Link 4"),"")</f>
        <v/>
      </c>
      <c r="AC382" s="43" t="str">
        <f>IF(CCUS_Projects_Database!$V383&lt;&gt;"",HYPERLINK(CCUS_Projects_Database!$V383,"Link 5"),"")</f>
        <v/>
      </c>
      <c r="AD382" s="43" t="str">
        <f>IF(CCUS_Projects_Database!$W383&lt;&gt;"",HYPERLINK(CCUS_Projects_Database!$W383,"Link 6"),"")</f>
        <v/>
      </c>
      <c r="AE382" s="43" t="str">
        <f>IF(CCUS_Projects_Database!$X383&lt;&gt;"",HYPERLINK(CCUS_Projects_Database!$X383,"Link 7"),"")</f>
        <v/>
      </c>
    </row>
    <row r="383" ht="15.75" customHeight="1">
      <c r="A383" s="44" t="s">
        <v>1495</v>
      </c>
      <c r="B383" s="45">
        <v>188.0</v>
      </c>
      <c r="C383" s="45" t="s">
        <v>157</v>
      </c>
      <c r="D383" s="46" t="s">
        <v>1496</v>
      </c>
      <c r="E383" s="45" t="s">
        <v>8</v>
      </c>
      <c r="F383" s="45">
        <v>2014.0</v>
      </c>
      <c r="G383" s="45" t="s">
        <v>124</v>
      </c>
      <c r="H383" s="45">
        <v>2035.0</v>
      </c>
      <c r="I383" s="45" t="s">
        <v>124</v>
      </c>
      <c r="J383" s="45" t="s">
        <v>28</v>
      </c>
      <c r="K383" s="47" t="s">
        <v>124</v>
      </c>
      <c r="L383" s="47"/>
      <c r="M383" s="47">
        <v>1.5</v>
      </c>
      <c r="N383" s="45" t="s">
        <v>136</v>
      </c>
      <c r="O383" s="48" t="s">
        <v>71</v>
      </c>
      <c r="P383" s="49" t="s">
        <v>124</v>
      </c>
      <c r="Q383" s="45" t="s">
        <v>125</v>
      </c>
      <c r="R383" s="49" t="s">
        <v>1497</v>
      </c>
      <c r="S383" s="49" t="s">
        <v>124</v>
      </c>
      <c r="T383" s="49" t="s">
        <v>124</v>
      </c>
      <c r="U383" s="49" t="s">
        <v>124</v>
      </c>
      <c r="V383" s="49" t="s">
        <v>124</v>
      </c>
      <c r="W383" s="49" t="s">
        <v>124</v>
      </c>
      <c r="X383" s="49" t="s">
        <v>124</v>
      </c>
      <c r="Y383" s="50" t="str">
        <f>IF(CCUS_Projects_Database!$R381&lt;&gt;"",HYPERLINK(CCUS_Projects_Database!$R381,"Link 1"),"")</f>
        <v>Link 1</v>
      </c>
      <c r="Z383" s="50" t="str">
        <f>IF(CCUS_Projects_Database!$S381&lt;&gt;"",HYPERLINK(CCUS_Projects_Database!$S381,"Link 2"),"")</f>
        <v/>
      </c>
      <c r="AA383" s="50" t="str">
        <f>IF(CCUS_Projects_Database!$T381&lt;&gt;"",HYPERLINK(CCUS_Projects_Database!$T381,"Link 3"),"")</f>
        <v/>
      </c>
      <c r="AB383" s="50" t="str">
        <f>IF(CCUS_Projects_Database!$U381&lt;&gt;"",HYPERLINK(CCUS_Projects_Database!$U381,"Link 4"),"")</f>
        <v/>
      </c>
      <c r="AC383" s="50" t="str">
        <f>IF(CCUS_Projects_Database!$V381&lt;&gt;"",HYPERLINK(CCUS_Projects_Database!$V381,"Link 5"),"")</f>
        <v/>
      </c>
      <c r="AD383" s="50" t="str">
        <f>IF(CCUS_Projects_Database!$W381&lt;&gt;"",HYPERLINK(CCUS_Projects_Database!$W381,"Link 6"),"")</f>
        <v/>
      </c>
      <c r="AE383" s="50" t="str">
        <f>IF(CCUS_Projects_Database!$X381&lt;&gt;"",HYPERLINK(CCUS_Projects_Database!$X381,"Link 7"),"")</f>
        <v/>
      </c>
    </row>
    <row r="384" ht="15.75" customHeight="1">
      <c r="A384" s="37" t="s">
        <v>1498</v>
      </c>
      <c r="B384" s="38">
        <v>190.0</v>
      </c>
      <c r="C384" s="38" t="s">
        <v>311</v>
      </c>
      <c r="D384" s="39" t="s">
        <v>1499</v>
      </c>
      <c r="E384" s="38" t="s">
        <v>8</v>
      </c>
      <c r="F384" s="38">
        <v>2021.0</v>
      </c>
      <c r="G384" s="38" t="s">
        <v>124</v>
      </c>
      <c r="H384" s="38">
        <v>2028.0</v>
      </c>
      <c r="I384" s="38" t="s">
        <v>124</v>
      </c>
      <c r="J384" s="38" t="s">
        <v>28</v>
      </c>
      <c r="K384" s="40" t="s">
        <v>124</v>
      </c>
      <c r="L384" s="51">
        <v>1.8</v>
      </c>
      <c r="M384" s="40">
        <v>1.8</v>
      </c>
      <c r="N384" s="38" t="s">
        <v>136</v>
      </c>
      <c r="O384" s="41" t="s">
        <v>71</v>
      </c>
      <c r="P384" s="42" t="s">
        <v>124</v>
      </c>
      <c r="Q384" s="38" t="s">
        <v>125</v>
      </c>
      <c r="R384" s="42" t="s">
        <v>1500</v>
      </c>
      <c r="S384" s="42" t="s">
        <v>124</v>
      </c>
      <c r="T384" s="42" t="s">
        <v>124</v>
      </c>
      <c r="U384" s="42" t="s">
        <v>124</v>
      </c>
      <c r="V384" s="42" t="s">
        <v>124</v>
      </c>
      <c r="W384" s="42" t="s">
        <v>124</v>
      </c>
      <c r="X384" s="42" t="s">
        <v>124</v>
      </c>
      <c r="Y384" s="43" t="str">
        <f>IF(CCUS_Projects_Database!$R382&lt;&gt;"",HYPERLINK(CCUS_Projects_Database!$R382,"Link 1"),"")</f>
        <v>Link 1</v>
      </c>
      <c r="Z384" s="43" t="str">
        <f>IF(CCUS_Projects_Database!$S382&lt;&gt;"",HYPERLINK(CCUS_Projects_Database!$S382,"Link 2"),"")</f>
        <v>Link 2</v>
      </c>
      <c r="AA384" s="43" t="str">
        <f>IF(CCUS_Projects_Database!$T382&lt;&gt;"",HYPERLINK(CCUS_Projects_Database!$T382,"Link 3"),"")</f>
        <v/>
      </c>
      <c r="AB384" s="43" t="str">
        <f>IF(CCUS_Projects_Database!$U382&lt;&gt;"",HYPERLINK(CCUS_Projects_Database!$U382,"Link 4"),"")</f>
        <v/>
      </c>
      <c r="AC384" s="43" t="str">
        <f>IF(CCUS_Projects_Database!$V382&lt;&gt;"",HYPERLINK(CCUS_Projects_Database!$V382,"Link 5"),"")</f>
        <v/>
      </c>
      <c r="AD384" s="43" t="str">
        <f>IF(CCUS_Projects_Database!$W382&lt;&gt;"",HYPERLINK(CCUS_Projects_Database!$W382,"Link 6"),"")</f>
        <v/>
      </c>
      <c r="AE384" s="43" t="str">
        <f>IF(CCUS_Projects_Database!$X382&lt;&gt;"",HYPERLINK(CCUS_Projects_Database!$X382,"Link 7"),"")</f>
        <v/>
      </c>
    </row>
    <row r="385" ht="15.75" customHeight="1">
      <c r="A385" s="44" t="s">
        <v>1501</v>
      </c>
      <c r="B385" s="45">
        <v>455.0</v>
      </c>
      <c r="C385" s="45" t="s">
        <v>247</v>
      </c>
      <c r="D385" s="46" t="s">
        <v>1502</v>
      </c>
      <c r="E385" s="45" t="s">
        <v>8</v>
      </c>
      <c r="F385" s="45">
        <v>2022.0</v>
      </c>
      <c r="G385" s="45" t="s">
        <v>124</v>
      </c>
      <c r="H385" s="45">
        <v>2029.0</v>
      </c>
      <c r="I385" s="45" t="s">
        <v>124</v>
      </c>
      <c r="J385" s="45" t="s">
        <v>28</v>
      </c>
      <c r="K385" s="47" t="s">
        <v>124</v>
      </c>
      <c r="L385" s="47"/>
      <c r="M385" s="47">
        <v>1.8</v>
      </c>
      <c r="N385" s="45" t="s">
        <v>136</v>
      </c>
      <c r="O385" s="48" t="s">
        <v>71</v>
      </c>
      <c r="P385" s="49" t="s">
        <v>375</v>
      </c>
      <c r="Q385" s="45" t="s">
        <v>125</v>
      </c>
      <c r="R385" s="49" t="s">
        <v>1503</v>
      </c>
      <c r="S385" s="49" t="s">
        <v>124</v>
      </c>
      <c r="T385" s="49" t="s">
        <v>124</v>
      </c>
      <c r="U385" s="49" t="s">
        <v>124</v>
      </c>
      <c r="V385" s="49" t="s">
        <v>124</v>
      </c>
      <c r="W385" s="49" t="s">
        <v>124</v>
      </c>
      <c r="X385" s="49" t="s">
        <v>124</v>
      </c>
      <c r="Y385" s="50" t="str">
        <f>IF(CCUS_Projects_Database!$R384&lt;&gt;"",HYPERLINK(CCUS_Projects_Database!$R384,"Link 1"),"")</f>
        <v>Link 1</v>
      </c>
      <c r="Z385" s="50" t="str">
        <f>IF(CCUS_Projects_Database!$S384&lt;&gt;"",HYPERLINK(CCUS_Projects_Database!$S384,"Link 2"),"")</f>
        <v/>
      </c>
      <c r="AA385" s="50" t="str">
        <f>IF(CCUS_Projects_Database!$T384&lt;&gt;"",HYPERLINK(CCUS_Projects_Database!$T384,"Link 3"),"")</f>
        <v/>
      </c>
      <c r="AB385" s="50" t="str">
        <f>IF(CCUS_Projects_Database!$U384&lt;&gt;"",HYPERLINK(CCUS_Projects_Database!$U384,"Link 4"),"")</f>
        <v/>
      </c>
      <c r="AC385" s="50" t="str">
        <f>IF(CCUS_Projects_Database!$V384&lt;&gt;"",HYPERLINK(CCUS_Projects_Database!$V384,"Link 5"),"")</f>
        <v/>
      </c>
      <c r="AD385" s="50" t="str">
        <f>IF(CCUS_Projects_Database!$W384&lt;&gt;"",HYPERLINK(CCUS_Projects_Database!$W384,"Link 6"),"")</f>
        <v/>
      </c>
      <c r="AE385" s="50" t="str">
        <f>IF(CCUS_Projects_Database!$X384&lt;&gt;"",HYPERLINK(CCUS_Projects_Database!$X384,"Link 7"),"")</f>
        <v/>
      </c>
    </row>
    <row r="386" ht="15.75" customHeight="1">
      <c r="A386" s="37" t="s">
        <v>1504</v>
      </c>
      <c r="B386" s="38">
        <v>193.0</v>
      </c>
      <c r="C386" s="38" t="s">
        <v>157</v>
      </c>
      <c r="D386" s="39" t="s">
        <v>1505</v>
      </c>
      <c r="E386" s="38" t="s">
        <v>8</v>
      </c>
      <c r="F386" s="38">
        <v>2021.0</v>
      </c>
      <c r="G386" s="38">
        <v>2025.0</v>
      </c>
      <c r="H386" s="38">
        <v>2028.0</v>
      </c>
      <c r="I386" s="38" t="s">
        <v>124</v>
      </c>
      <c r="J386" s="38" t="s">
        <v>28</v>
      </c>
      <c r="K386" s="40" t="s">
        <v>124</v>
      </c>
      <c r="L386" s="40"/>
      <c r="M386" s="40">
        <v>0.869</v>
      </c>
      <c r="N386" s="38" t="s">
        <v>136</v>
      </c>
      <c r="O386" s="41" t="s">
        <v>71</v>
      </c>
      <c r="P386" s="42" t="s">
        <v>281</v>
      </c>
      <c r="Q386" s="38" t="s">
        <v>125</v>
      </c>
      <c r="R386" s="42" t="s">
        <v>1506</v>
      </c>
      <c r="S386" s="42" t="s">
        <v>545</v>
      </c>
      <c r="T386" s="42" t="s">
        <v>1507</v>
      </c>
      <c r="U386" s="42" t="s">
        <v>1508</v>
      </c>
      <c r="V386" s="42" t="s">
        <v>124</v>
      </c>
      <c r="W386" s="42" t="s">
        <v>124</v>
      </c>
      <c r="X386" s="42" t="s">
        <v>124</v>
      </c>
      <c r="Y386" s="43" t="str">
        <f>IF(CCUS_Projects_Database!$R385&lt;&gt;"",HYPERLINK(CCUS_Projects_Database!$R385,"Link 1"),"")</f>
        <v>Link 1</v>
      </c>
      <c r="Z386" s="43" t="str">
        <f>IF(CCUS_Projects_Database!$S385&lt;&gt;"",HYPERLINK(CCUS_Projects_Database!$S385,"Link 2"),"")</f>
        <v/>
      </c>
      <c r="AA386" s="43" t="str">
        <f>IF(CCUS_Projects_Database!$T385&lt;&gt;"",HYPERLINK(CCUS_Projects_Database!$T385,"Link 3"),"")</f>
        <v/>
      </c>
      <c r="AB386" s="43" t="str">
        <f>IF(CCUS_Projects_Database!$U385&lt;&gt;"",HYPERLINK(CCUS_Projects_Database!$U385,"Link 4"),"")</f>
        <v/>
      </c>
      <c r="AC386" s="43" t="str">
        <f>IF(CCUS_Projects_Database!$V385&lt;&gt;"",HYPERLINK(CCUS_Projects_Database!$V385,"Link 5"),"")</f>
        <v/>
      </c>
      <c r="AD386" s="43" t="str">
        <f>IF(CCUS_Projects_Database!$W385&lt;&gt;"",HYPERLINK(CCUS_Projects_Database!$W385,"Link 6"),"")</f>
        <v/>
      </c>
      <c r="AE386" s="43" t="str">
        <f>IF(CCUS_Projects_Database!$X385&lt;&gt;"",HYPERLINK(CCUS_Projects_Database!$X385,"Link 7"),"")</f>
        <v/>
      </c>
    </row>
    <row r="387" ht="15.75" customHeight="1">
      <c r="A387" s="44" t="s">
        <v>1509</v>
      </c>
      <c r="B387" s="45">
        <v>194.0</v>
      </c>
      <c r="C387" s="45" t="s">
        <v>157</v>
      </c>
      <c r="D387" s="46" t="s">
        <v>1510</v>
      </c>
      <c r="E387" s="45" t="s">
        <v>8</v>
      </c>
      <c r="F387" s="45">
        <v>2021.0</v>
      </c>
      <c r="G387" s="45" t="s">
        <v>124</v>
      </c>
      <c r="H387" s="45">
        <v>2030.0</v>
      </c>
      <c r="I387" s="45" t="s">
        <v>124</v>
      </c>
      <c r="J387" s="45" t="s">
        <v>28</v>
      </c>
      <c r="K387" s="47" t="s">
        <v>124</v>
      </c>
      <c r="L387" s="47"/>
      <c r="M387" s="47">
        <v>1.578</v>
      </c>
      <c r="N387" s="45" t="s">
        <v>136</v>
      </c>
      <c r="O387" s="48" t="s">
        <v>71</v>
      </c>
      <c r="P387" s="49" t="s">
        <v>281</v>
      </c>
      <c r="Q387" s="45" t="s">
        <v>125</v>
      </c>
      <c r="R387" s="49" t="s">
        <v>1506</v>
      </c>
      <c r="S387" s="49" t="s">
        <v>545</v>
      </c>
      <c r="T387" s="49" t="s">
        <v>1507</v>
      </c>
      <c r="U387" s="49" t="s">
        <v>1508</v>
      </c>
      <c r="V387" s="49" t="s">
        <v>124</v>
      </c>
      <c r="W387" s="49" t="s">
        <v>124</v>
      </c>
      <c r="X387" s="49" t="s">
        <v>124</v>
      </c>
      <c r="Y387" s="50" t="str">
        <f>IF(CCUS_Projects_Database!$R386&lt;&gt;"",HYPERLINK(CCUS_Projects_Database!$R386,"Link 1"),"")</f>
        <v>Link 1</v>
      </c>
      <c r="Z387" s="50" t="str">
        <f>IF(CCUS_Projects_Database!$S386&lt;&gt;"",HYPERLINK(CCUS_Projects_Database!$S386,"Link 2"),"")</f>
        <v>Link 2</v>
      </c>
      <c r="AA387" s="50" t="str">
        <f>IF(CCUS_Projects_Database!$T386&lt;&gt;"",HYPERLINK(CCUS_Projects_Database!$T386,"Link 3"),"")</f>
        <v>Link 3</v>
      </c>
      <c r="AB387" s="50" t="str">
        <f>IF(CCUS_Projects_Database!$U386&lt;&gt;"",HYPERLINK(CCUS_Projects_Database!$U386,"Link 4"),"")</f>
        <v>Link 4</v>
      </c>
      <c r="AC387" s="50" t="str">
        <f>IF(CCUS_Projects_Database!$V386&lt;&gt;"",HYPERLINK(CCUS_Projects_Database!$V386,"Link 5"),"")</f>
        <v/>
      </c>
      <c r="AD387" s="50" t="str">
        <f>IF(CCUS_Projects_Database!$W386&lt;&gt;"",HYPERLINK(CCUS_Projects_Database!$W386,"Link 6"),"")</f>
        <v/>
      </c>
      <c r="AE387" s="50" t="str">
        <f>IF(CCUS_Projects_Database!$X386&lt;&gt;"",HYPERLINK(CCUS_Projects_Database!$X386,"Link 7"),"")</f>
        <v/>
      </c>
    </row>
    <row r="388" ht="15.75" customHeight="1">
      <c r="A388" s="37" t="s">
        <v>1511</v>
      </c>
      <c r="B388" s="38">
        <v>195.0</v>
      </c>
      <c r="C388" s="38" t="s">
        <v>181</v>
      </c>
      <c r="D388" s="39" t="s">
        <v>1512</v>
      </c>
      <c r="E388" s="38" t="s">
        <v>6</v>
      </c>
      <c r="F388" s="38">
        <v>2021.0</v>
      </c>
      <c r="G388" s="38">
        <v>2024.0</v>
      </c>
      <c r="H388" s="38">
        <v>2025.0</v>
      </c>
      <c r="I388" s="38" t="s">
        <v>124</v>
      </c>
      <c r="J388" s="38" t="s">
        <v>28</v>
      </c>
      <c r="K388" s="40" t="s">
        <v>124</v>
      </c>
      <c r="L388" s="51">
        <v>1.5</v>
      </c>
      <c r="M388" s="40" t="s">
        <v>124</v>
      </c>
      <c r="N388" s="38" t="s">
        <v>136</v>
      </c>
      <c r="O388" s="41" t="s">
        <v>77</v>
      </c>
      <c r="P388" s="42" t="s">
        <v>124</v>
      </c>
      <c r="Q388" s="38" t="s">
        <v>184</v>
      </c>
      <c r="R388" s="42" t="s">
        <v>1513</v>
      </c>
      <c r="S388" s="42" t="s">
        <v>1514</v>
      </c>
      <c r="T388" s="42" t="s">
        <v>1515</v>
      </c>
      <c r="U388" s="42" t="s">
        <v>1516</v>
      </c>
      <c r="V388" s="42" t="s">
        <v>124</v>
      </c>
      <c r="W388" s="42" t="s">
        <v>124</v>
      </c>
      <c r="X388" s="42" t="s">
        <v>124</v>
      </c>
      <c r="Y388" s="43" t="str">
        <f>IF(CCUS_Projects_Database!$R387&lt;&gt;"",HYPERLINK(CCUS_Projects_Database!$R387,"Link 1"),"")</f>
        <v>Link 1</v>
      </c>
      <c r="Z388" s="43" t="str">
        <f>IF(CCUS_Projects_Database!$S387&lt;&gt;"",HYPERLINK(CCUS_Projects_Database!$S387,"Link 2"),"")</f>
        <v>Link 2</v>
      </c>
      <c r="AA388" s="43" t="str">
        <f>IF(CCUS_Projects_Database!$T387&lt;&gt;"",HYPERLINK(CCUS_Projects_Database!$T387,"Link 3"),"")</f>
        <v>Link 3</v>
      </c>
      <c r="AB388" s="43" t="str">
        <f>IF(CCUS_Projects_Database!$U387&lt;&gt;"",HYPERLINK(CCUS_Projects_Database!$U387,"Link 4"),"")</f>
        <v>Link 4</v>
      </c>
      <c r="AC388" s="43" t="str">
        <f>IF(CCUS_Projects_Database!$V387&lt;&gt;"",HYPERLINK(CCUS_Projects_Database!$V387,"Link 5"),"")</f>
        <v/>
      </c>
      <c r="AD388" s="43" t="str">
        <f>IF(CCUS_Projects_Database!$W387&lt;&gt;"",HYPERLINK(CCUS_Projects_Database!$W387,"Link 6"),"")</f>
        <v/>
      </c>
      <c r="AE388" s="43" t="str">
        <f>IF(CCUS_Projects_Database!$X387&lt;&gt;"",HYPERLINK(CCUS_Projects_Database!$X387,"Link 7"),"")</f>
        <v/>
      </c>
    </row>
    <row r="389" ht="15.75" customHeight="1">
      <c r="A389" s="44" t="s">
        <v>1517</v>
      </c>
      <c r="B389" s="45">
        <v>5.0</v>
      </c>
      <c r="C389" s="45" t="s">
        <v>196</v>
      </c>
      <c r="D389" s="46" t="s">
        <v>1518</v>
      </c>
      <c r="E389" s="45" t="s">
        <v>6</v>
      </c>
      <c r="F389" s="45">
        <v>2020.0</v>
      </c>
      <c r="G389" s="45">
        <v>2023.0</v>
      </c>
      <c r="H389" s="45">
        <v>2026.0</v>
      </c>
      <c r="I389" s="45" t="s">
        <v>124</v>
      </c>
      <c r="J389" s="45" t="s">
        <v>30</v>
      </c>
      <c r="K389" s="47" t="s">
        <v>124</v>
      </c>
      <c r="L389" s="52">
        <v>2.0</v>
      </c>
      <c r="M389" s="47">
        <v>1.5</v>
      </c>
      <c r="N389" s="45" t="s">
        <v>48</v>
      </c>
      <c r="O389" s="48" t="s">
        <v>73</v>
      </c>
      <c r="P389" s="49" t="s">
        <v>124</v>
      </c>
      <c r="Q389" s="45" t="s">
        <v>137</v>
      </c>
      <c r="R389" s="49" t="s">
        <v>1519</v>
      </c>
      <c r="S389" s="49" t="s">
        <v>1520</v>
      </c>
      <c r="T389" s="49" t="s">
        <v>1521</v>
      </c>
      <c r="U389" s="49" t="s">
        <v>124</v>
      </c>
      <c r="V389" s="49" t="s">
        <v>124</v>
      </c>
      <c r="W389" s="49" t="s">
        <v>124</v>
      </c>
      <c r="X389" s="49" t="s">
        <v>124</v>
      </c>
      <c r="Y389" s="50" t="str">
        <f>IF(CCUS_Projects_Database!$R388&lt;&gt;"",HYPERLINK(CCUS_Projects_Database!$R388,"Link 1"),"")</f>
        <v>Link 1</v>
      </c>
      <c r="Z389" s="50" t="str">
        <f>IF(CCUS_Projects_Database!$S388&lt;&gt;"",HYPERLINK(CCUS_Projects_Database!$S388,"Link 2"),"")</f>
        <v>Link 2</v>
      </c>
      <c r="AA389" s="50" t="str">
        <f>IF(CCUS_Projects_Database!$T388&lt;&gt;"",HYPERLINK(CCUS_Projects_Database!$T388,"Link 3"),"")</f>
        <v>Link 3</v>
      </c>
      <c r="AB389" s="50" t="str">
        <f>IF(CCUS_Projects_Database!$U388&lt;&gt;"",HYPERLINK(CCUS_Projects_Database!$U388,"Link 4"),"")</f>
        <v>Link 4</v>
      </c>
      <c r="AC389" s="50" t="str">
        <f>IF(CCUS_Projects_Database!$V388&lt;&gt;"",HYPERLINK(CCUS_Projects_Database!$V388,"Link 5"),"")</f>
        <v/>
      </c>
      <c r="AD389" s="50" t="str">
        <f>IF(CCUS_Projects_Database!$W388&lt;&gt;"",HYPERLINK(CCUS_Projects_Database!$W388,"Link 6"),"")</f>
        <v/>
      </c>
      <c r="AE389" s="50" t="str">
        <f>IF(CCUS_Projects_Database!$X388&lt;&gt;"",HYPERLINK(CCUS_Projects_Database!$X388,"Link 7"),"")</f>
        <v/>
      </c>
    </row>
    <row r="390" ht="15.75" customHeight="1">
      <c r="A390" s="37" t="s">
        <v>1522</v>
      </c>
      <c r="B390" s="38">
        <v>198.0</v>
      </c>
      <c r="C390" s="38" t="s">
        <v>141</v>
      </c>
      <c r="D390" s="39" t="s">
        <v>1523</v>
      </c>
      <c r="E390" s="38" t="s">
        <v>6</v>
      </c>
      <c r="F390" s="38">
        <v>2022.0</v>
      </c>
      <c r="G390" s="38" t="s">
        <v>124</v>
      </c>
      <c r="H390" s="38" t="s">
        <v>124</v>
      </c>
      <c r="I390" s="38" t="s">
        <v>124</v>
      </c>
      <c r="J390" s="38" t="s">
        <v>28</v>
      </c>
      <c r="K390" s="40" t="s">
        <v>124</v>
      </c>
      <c r="L390" s="51">
        <v>1.5</v>
      </c>
      <c r="M390" s="40">
        <v>2.0</v>
      </c>
      <c r="N390" s="38" t="s">
        <v>48</v>
      </c>
      <c r="O390" s="41" t="s">
        <v>71</v>
      </c>
      <c r="P390" s="42" t="s">
        <v>124</v>
      </c>
      <c r="Q390" s="38" t="s">
        <v>143</v>
      </c>
      <c r="R390" s="42" t="s">
        <v>1524</v>
      </c>
      <c r="S390" s="42" t="s">
        <v>124</v>
      </c>
      <c r="T390" s="42" t="s">
        <v>124</v>
      </c>
      <c r="U390" s="42" t="s">
        <v>124</v>
      </c>
      <c r="V390" s="42" t="s">
        <v>124</v>
      </c>
      <c r="W390" s="42" t="s">
        <v>124</v>
      </c>
      <c r="X390" s="42" t="s">
        <v>124</v>
      </c>
      <c r="Y390" s="43" t="str">
        <f>IF(CCUS_Projects_Database!$R389&lt;&gt;"",HYPERLINK(CCUS_Projects_Database!$R389,"Link 1"),"")</f>
        <v>Link 1</v>
      </c>
      <c r="Z390" s="43" t="str">
        <f>IF(CCUS_Projects_Database!$S389&lt;&gt;"",HYPERLINK(CCUS_Projects_Database!$S389,"Link 2"),"")</f>
        <v>Link 2</v>
      </c>
      <c r="AA390" s="43" t="str">
        <f>IF(CCUS_Projects_Database!$T389&lt;&gt;"",HYPERLINK(CCUS_Projects_Database!$T389,"Link 3"),"")</f>
        <v>Link 3</v>
      </c>
      <c r="AB390" s="43" t="str">
        <f>IF(CCUS_Projects_Database!$U389&lt;&gt;"",HYPERLINK(CCUS_Projects_Database!$U389,"Link 4"),"")</f>
        <v/>
      </c>
      <c r="AC390" s="43" t="str">
        <f>IF(CCUS_Projects_Database!$V389&lt;&gt;"",HYPERLINK(CCUS_Projects_Database!$V389,"Link 5"),"")</f>
        <v/>
      </c>
      <c r="AD390" s="43" t="str">
        <f>IF(CCUS_Projects_Database!$W389&lt;&gt;"",HYPERLINK(CCUS_Projects_Database!$W389,"Link 6"),"")</f>
        <v/>
      </c>
      <c r="AE390" s="43" t="str">
        <f>IF(CCUS_Projects_Database!$X389&lt;&gt;"",HYPERLINK(CCUS_Projects_Database!$X389,"Link 7"),"")</f>
        <v/>
      </c>
    </row>
    <row r="391" ht="15.75" customHeight="1">
      <c r="A391" s="44" t="s">
        <v>1525</v>
      </c>
      <c r="B391" s="45">
        <v>161.0</v>
      </c>
      <c r="C391" s="45" t="s">
        <v>196</v>
      </c>
      <c r="D391" s="46" t="s">
        <v>1526</v>
      </c>
      <c r="E391" s="45" t="s">
        <v>6</v>
      </c>
      <c r="F391" s="45">
        <v>2021.0</v>
      </c>
      <c r="G391" s="45">
        <v>2023.0</v>
      </c>
      <c r="H391" s="45">
        <v>2028.0</v>
      </c>
      <c r="I391" s="45" t="s">
        <v>124</v>
      </c>
      <c r="J391" s="45" t="s">
        <v>30</v>
      </c>
      <c r="K391" s="47" t="s">
        <v>124</v>
      </c>
      <c r="L391" s="52">
        <v>0.8</v>
      </c>
      <c r="M391" s="47">
        <v>1.5</v>
      </c>
      <c r="N391" s="45" t="s">
        <v>48</v>
      </c>
      <c r="O391" s="48" t="s">
        <v>71</v>
      </c>
      <c r="P391" s="49" t="s">
        <v>124</v>
      </c>
      <c r="Q391" s="45" t="s">
        <v>137</v>
      </c>
      <c r="R391" s="49" t="s">
        <v>1527</v>
      </c>
      <c r="S391" s="49" t="s">
        <v>1528</v>
      </c>
      <c r="T391" s="49" t="s">
        <v>124</v>
      </c>
      <c r="U391" s="49" t="s">
        <v>124</v>
      </c>
      <c r="V391" s="49" t="s">
        <v>124</v>
      </c>
      <c r="W391" s="49" t="s">
        <v>124</v>
      </c>
      <c r="X391" s="49" t="s">
        <v>124</v>
      </c>
      <c r="Y391" s="50" t="str">
        <f>IF(CCUS_Projects_Database!$R390&lt;&gt;"",HYPERLINK(CCUS_Projects_Database!$R390,"Link 1"),"")</f>
        <v>Link 1</v>
      </c>
      <c r="Z391" s="50" t="str">
        <f>IF(CCUS_Projects_Database!$S390&lt;&gt;"",HYPERLINK(CCUS_Projects_Database!$S390,"Link 2"),"")</f>
        <v/>
      </c>
      <c r="AA391" s="50" t="str">
        <f>IF(CCUS_Projects_Database!$T390&lt;&gt;"",HYPERLINK(CCUS_Projects_Database!$T390,"Link 3"),"")</f>
        <v/>
      </c>
      <c r="AB391" s="50" t="str">
        <f>IF(CCUS_Projects_Database!$U390&lt;&gt;"",HYPERLINK(CCUS_Projects_Database!$U390,"Link 4"),"")</f>
        <v/>
      </c>
      <c r="AC391" s="50" t="str">
        <f>IF(CCUS_Projects_Database!$V390&lt;&gt;"",HYPERLINK(CCUS_Projects_Database!$V390,"Link 5"),"")</f>
        <v/>
      </c>
      <c r="AD391" s="50" t="str">
        <f>IF(CCUS_Projects_Database!$W390&lt;&gt;"",HYPERLINK(CCUS_Projects_Database!$W390,"Link 6"),"")</f>
        <v/>
      </c>
      <c r="AE391" s="50" t="str">
        <f>IF(CCUS_Projects_Database!$X390&lt;&gt;"",HYPERLINK(CCUS_Projects_Database!$X390,"Link 7"),"")</f>
        <v/>
      </c>
    </row>
    <row r="392" ht="15.75" customHeight="1">
      <c r="A392" s="37" t="s">
        <v>1529</v>
      </c>
      <c r="B392" s="38">
        <v>303.0</v>
      </c>
      <c r="C392" s="38" t="s">
        <v>157</v>
      </c>
      <c r="D392" s="39" t="s">
        <v>1530</v>
      </c>
      <c r="E392" s="38" t="s">
        <v>8</v>
      </c>
      <c r="F392" s="38">
        <v>2021.0</v>
      </c>
      <c r="G392" s="38">
        <v>2024.0</v>
      </c>
      <c r="H392" s="38">
        <v>2028.0</v>
      </c>
      <c r="I392" s="38" t="s">
        <v>124</v>
      </c>
      <c r="J392" s="38" t="s">
        <v>28</v>
      </c>
      <c r="K392" s="40" t="s">
        <v>124</v>
      </c>
      <c r="L392" s="51">
        <v>5.0</v>
      </c>
      <c r="M392" s="40">
        <v>0.8</v>
      </c>
      <c r="N392" s="38" t="s">
        <v>56</v>
      </c>
      <c r="O392" s="41" t="s">
        <v>71</v>
      </c>
      <c r="P392" s="42" t="s">
        <v>571</v>
      </c>
      <c r="Q392" s="38" t="s">
        <v>125</v>
      </c>
      <c r="R392" s="42" t="s">
        <v>1531</v>
      </c>
      <c r="S392" s="42" t="s">
        <v>1532</v>
      </c>
      <c r="T392" s="42" t="s">
        <v>545</v>
      </c>
      <c r="U392" s="42" t="s">
        <v>124</v>
      </c>
      <c r="V392" s="42" t="s">
        <v>124</v>
      </c>
      <c r="W392" s="42" t="s">
        <v>124</v>
      </c>
      <c r="X392" s="42" t="s">
        <v>124</v>
      </c>
      <c r="Y392" s="43" t="str">
        <f>IF(CCUS_Projects_Database!$R391&lt;&gt;"",HYPERLINK(CCUS_Projects_Database!$R391,"Link 1"),"")</f>
        <v>Link 1</v>
      </c>
      <c r="Z392" s="43" t="str">
        <f>IF(CCUS_Projects_Database!$S391&lt;&gt;"",HYPERLINK(CCUS_Projects_Database!$S391,"Link 2"),"")</f>
        <v>Link 2</v>
      </c>
      <c r="AA392" s="43" t="str">
        <f>IF(CCUS_Projects_Database!$T391&lt;&gt;"",HYPERLINK(CCUS_Projects_Database!$T391,"Link 3"),"")</f>
        <v/>
      </c>
      <c r="AB392" s="43" t="str">
        <f>IF(CCUS_Projects_Database!$U391&lt;&gt;"",HYPERLINK(CCUS_Projects_Database!$U391,"Link 4"),"")</f>
        <v/>
      </c>
      <c r="AC392" s="43" t="str">
        <f>IF(CCUS_Projects_Database!$V391&lt;&gt;"",HYPERLINK(CCUS_Projects_Database!$V391,"Link 5"),"")</f>
        <v/>
      </c>
      <c r="AD392" s="43" t="str">
        <f>IF(CCUS_Projects_Database!$W391&lt;&gt;"",HYPERLINK(CCUS_Projects_Database!$W391,"Link 6"),"")</f>
        <v/>
      </c>
      <c r="AE392" s="43" t="str">
        <f>IF(CCUS_Projects_Database!$X391&lt;&gt;"",HYPERLINK(CCUS_Projects_Database!$X391,"Link 7"),"")</f>
        <v/>
      </c>
    </row>
    <row r="393" ht="15.75" customHeight="1">
      <c r="A393" s="44" t="s">
        <v>1533</v>
      </c>
      <c r="B393" s="45">
        <v>888.0</v>
      </c>
      <c r="C393" s="45" t="s">
        <v>141</v>
      </c>
      <c r="D393" s="46" t="s">
        <v>1534</v>
      </c>
      <c r="E393" s="45" t="s">
        <v>12</v>
      </c>
      <c r="F393" s="45">
        <v>2022.0</v>
      </c>
      <c r="G393" s="45" t="s">
        <v>124</v>
      </c>
      <c r="H393" s="45" t="s">
        <v>124</v>
      </c>
      <c r="I393" s="45" t="s">
        <v>124</v>
      </c>
      <c r="J393" s="45" t="s">
        <v>28</v>
      </c>
      <c r="K393" s="47" t="s">
        <v>124</v>
      </c>
      <c r="L393" s="52">
        <v>16.4</v>
      </c>
      <c r="M393" s="47">
        <v>5.0</v>
      </c>
      <c r="N393" s="45" t="s">
        <v>12</v>
      </c>
      <c r="O393" s="48" t="s">
        <v>77</v>
      </c>
      <c r="P393" s="49" t="s">
        <v>1535</v>
      </c>
      <c r="Q393" s="45" t="s">
        <v>143</v>
      </c>
      <c r="R393" s="49" t="s">
        <v>1536</v>
      </c>
      <c r="S393" s="49" t="s">
        <v>124</v>
      </c>
      <c r="T393" s="49" t="s">
        <v>124</v>
      </c>
      <c r="U393" s="49" t="s">
        <v>124</v>
      </c>
      <c r="V393" s="49" t="s">
        <v>124</v>
      </c>
      <c r="W393" s="49" t="s">
        <v>124</v>
      </c>
      <c r="X393" s="49" t="s">
        <v>124</v>
      </c>
      <c r="Y393" s="50" t="str">
        <f>IF(CCUS_Projects_Database!$R392&lt;&gt;"",HYPERLINK(CCUS_Projects_Database!$R392,"Link 1"),"")</f>
        <v>Link 1</v>
      </c>
      <c r="Z393" s="50" t="str">
        <f>IF(CCUS_Projects_Database!$S392&lt;&gt;"",HYPERLINK(CCUS_Projects_Database!$S392,"Link 2"),"")</f>
        <v>Link 2</v>
      </c>
      <c r="AA393" s="50" t="str">
        <f>IF(CCUS_Projects_Database!$T392&lt;&gt;"",HYPERLINK(CCUS_Projects_Database!$T392,"Link 3"),"")</f>
        <v>Link 3</v>
      </c>
      <c r="AB393" s="50" t="str">
        <f>IF(CCUS_Projects_Database!$U392&lt;&gt;"",HYPERLINK(CCUS_Projects_Database!$U392,"Link 4"),"")</f>
        <v/>
      </c>
      <c r="AC393" s="50" t="str">
        <f>IF(CCUS_Projects_Database!$V392&lt;&gt;"",HYPERLINK(CCUS_Projects_Database!$V392,"Link 5"),"")</f>
        <v/>
      </c>
      <c r="AD393" s="50" t="str">
        <f>IF(CCUS_Projects_Database!$W392&lt;&gt;"",HYPERLINK(CCUS_Projects_Database!$W392,"Link 6"),"")</f>
        <v/>
      </c>
      <c r="AE393" s="50" t="str">
        <f>IF(CCUS_Projects_Database!$X392&lt;&gt;"",HYPERLINK(CCUS_Projects_Database!$X392,"Link 7"),"")</f>
        <v/>
      </c>
    </row>
    <row r="394" ht="15.75" customHeight="1">
      <c r="A394" s="37" t="s">
        <v>1537</v>
      </c>
      <c r="B394" s="38">
        <v>671.0</v>
      </c>
      <c r="C394" s="38" t="s">
        <v>299</v>
      </c>
      <c r="D394" s="39" t="s">
        <v>1328</v>
      </c>
      <c r="E394" s="38" t="s">
        <v>12</v>
      </c>
      <c r="F394" s="38">
        <v>2022.0</v>
      </c>
      <c r="G394" s="38" t="s">
        <v>124</v>
      </c>
      <c r="H394" s="38">
        <v>2030.0</v>
      </c>
      <c r="I394" s="38" t="s">
        <v>124</v>
      </c>
      <c r="J394" s="38" t="s">
        <v>28</v>
      </c>
      <c r="K394" s="40">
        <v>2.0</v>
      </c>
      <c r="L394" s="51">
        <v>7.0</v>
      </c>
      <c r="M394" s="40">
        <v>16.4</v>
      </c>
      <c r="N394" s="38" t="s">
        <v>12</v>
      </c>
      <c r="O394" s="41" t="s">
        <v>71</v>
      </c>
      <c r="P394" s="42" t="s">
        <v>1329</v>
      </c>
      <c r="Q394" s="38" t="s">
        <v>125</v>
      </c>
      <c r="R394" s="42" t="s">
        <v>407</v>
      </c>
      <c r="S394" s="42" t="s">
        <v>1330</v>
      </c>
      <c r="T394" s="42" t="s">
        <v>1331</v>
      </c>
      <c r="U394" s="42" t="s">
        <v>1332</v>
      </c>
      <c r="V394" s="42" t="s">
        <v>124</v>
      </c>
      <c r="W394" s="42" t="s">
        <v>124</v>
      </c>
      <c r="X394" s="42" t="s">
        <v>124</v>
      </c>
      <c r="Y394" s="43" t="str">
        <f>IF(CCUS_Projects_Database!$R393&lt;&gt;"",HYPERLINK(CCUS_Projects_Database!$R393,"Link 1"),"")</f>
        <v>Link 1</v>
      </c>
      <c r="Z394" s="43" t="str">
        <f>IF(CCUS_Projects_Database!$S393&lt;&gt;"",HYPERLINK(CCUS_Projects_Database!$S393,"Link 2"),"")</f>
        <v/>
      </c>
      <c r="AA394" s="43" t="str">
        <f>IF(CCUS_Projects_Database!$T393&lt;&gt;"",HYPERLINK(CCUS_Projects_Database!$T393,"Link 3"),"")</f>
        <v/>
      </c>
      <c r="AB394" s="43" t="str">
        <f>IF(CCUS_Projects_Database!$U393&lt;&gt;"",HYPERLINK(CCUS_Projects_Database!$U393,"Link 4"),"")</f>
        <v/>
      </c>
      <c r="AC394" s="43" t="str">
        <f>IF(CCUS_Projects_Database!$V393&lt;&gt;"",HYPERLINK(CCUS_Projects_Database!$V393,"Link 5"),"")</f>
        <v/>
      </c>
      <c r="AD394" s="43" t="str">
        <f>IF(CCUS_Projects_Database!$W393&lt;&gt;"",HYPERLINK(CCUS_Projects_Database!$W393,"Link 6"),"")</f>
        <v/>
      </c>
      <c r="AE394" s="43" t="str">
        <f>IF(CCUS_Projects_Database!$X393&lt;&gt;"",HYPERLINK(CCUS_Projects_Database!$X393,"Link 7"),"")</f>
        <v/>
      </c>
    </row>
    <row r="395" ht="15.75" customHeight="1">
      <c r="A395" s="44" t="s">
        <v>1538</v>
      </c>
      <c r="B395" s="45">
        <v>772.0</v>
      </c>
      <c r="C395" s="45" t="s">
        <v>284</v>
      </c>
      <c r="D395" s="46" t="s">
        <v>1539</v>
      </c>
      <c r="E395" s="45" t="s">
        <v>14</v>
      </c>
      <c r="F395" s="45">
        <v>2020.0</v>
      </c>
      <c r="G395" s="45" t="s">
        <v>124</v>
      </c>
      <c r="H395" s="45" t="s">
        <v>124</v>
      </c>
      <c r="I395" s="45" t="s">
        <v>124</v>
      </c>
      <c r="J395" s="45" t="s">
        <v>28</v>
      </c>
      <c r="K395" s="47">
        <v>1.0</v>
      </c>
      <c r="L395" s="52">
        <v>2.0</v>
      </c>
      <c r="M395" s="47">
        <v>7.0</v>
      </c>
      <c r="N395" s="45" t="s">
        <v>14</v>
      </c>
      <c r="O395" s="48" t="s">
        <v>71</v>
      </c>
      <c r="P395" s="49" t="s">
        <v>286</v>
      </c>
      <c r="Q395" s="45" t="s">
        <v>125</v>
      </c>
      <c r="R395" s="49" t="s">
        <v>1540</v>
      </c>
      <c r="S395" s="49" t="s">
        <v>124</v>
      </c>
      <c r="T395" s="49" t="s">
        <v>124</v>
      </c>
      <c r="U395" s="49" t="s">
        <v>124</v>
      </c>
      <c r="V395" s="49" t="s">
        <v>124</v>
      </c>
      <c r="W395" s="49" t="s">
        <v>124</v>
      </c>
      <c r="X395" s="49" t="s">
        <v>124</v>
      </c>
      <c r="Y395" s="50" t="str">
        <f>IF(CCUS_Projects_Database!$R394&lt;&gt;"",HYPERLINK(CCUS_Projects_Database!$R394,"Link 1"),"")</f>
        <v>Link 1</v>
      </c>
      <c r="Z395" s="50" t="str">
        <f>IF(CCUS_Projects_Database!$S394&lt;&gt;"",HYPERLINK(CCUS_Projects_Database!$S394,"Link 2"),"")</f>
        <v>Link 2</v>
      </c>
      <c r="AA395" s="50" t="str">
        <f>IF(CCUS_Projects_Database!$T394&lt;&gt;"",HYPERLINK(CCUS_Projects_Database!$T394,"Link 3"),"")</f>
        <v>Link 3</v>
      </c>
      <c r="AB395" s="50" t="str">
        <f>IF(CCUS_Projects_Database!$U394&lt;&gt;"",HYPERLINK(CCUS_Projects_Database!$U394,"Link 4"),"")</f>
        <v>Link 4</v>
      </c>
      <c r="AC395" s="50" t="str">
        <f>IF(CCUS_Projects_Database!$V394&lt;&gt;"",HYPERLINK(CCUS_Projects_Database!$V394,"Link 5"),"")</f>
        <v/>
      </c>
      <c r="AD395" s="50" t="str">
        <f>IF(CCUS_Projects_Database!$W394&lt;&gt;"",HYPERLINK(CCUS_Projects_Database!$W394,"Link 6"),"")</f>
        <v/>
      </c>
      <c r="AE395" s="50" t="str">
        <f>IF(CCUS_Projects_Database!$X394&lt;&gt;"",HYPERLINK(CCUS_Projects_Database!$X394,"Link 7"),"")</f>
        <v/>
      </c>
    </row>
    <row r="396" ht="15.75" customHeight="1">
      <c r="A396" s="37" t="s">
        <v>1541</v>
      </c>
      <c r="B396" s="38">
        <v>709.0</v>
      </c>
      <c r="C396" s="38" t="s">
        <v>141</v>
      </c>
      <c r="D396" s="39" t="s">
        <v>750</v>
      </c>
      <c r="E396" s="38" t="s">
        <v>8</v>
      </c>
      <c r="F396" s="38">
        <v>2022.0</v>
      </c>
      <c r="G396" s="38">
        <v>2022.0</v>
      </c>
      <c r="H396" s="38">
        <v>2024.0</v>
      </c>
      <c r="I396" s="38" t="s">
        <v>124</v>
      </c>
      <c r="J396" s="38" t="s">
        <v>30</v>
      </c>
      <c r="K396" s="40" t="s">
        <v>124</v>
      </c>
      <c r="L396" s="40"/>
      <c r="M396" s="40">
        <v>2.0</v>
      </c>
      <c r="N396" s="38" t="s">
        <v>48</v>
      </c>
      <c r="O396" s="41" t="s">
        <v>71</v>
      </c>
      <c r="P396" s="42" t="s">
        <v>751</v>
      </c>
      <c r="Q396" s="38" t="s">
        <v>143</v>
      </c>
      <c r="R396" s="42" t="s">
        <v>1542</v>
      </c>
      <c r="S396" s="42" t="s">
        <v>752</v>
      </c>
      <c r="T396" s="42" t="s">
        <v>1543</v>
      </c>
      <c r="U396" s="42" t="s">
        <v>124</v>
      </c>
      <c r="V396" s="42" t="s">
        <v>124</v>
      </c>
      <c r="W396" s="42" t="s">
        <v>124</v>
      </c>
      <c r="X396" s="42" t="s">
        <v>124</v>
      </c>
      <c r="Y396" s="43" t="str">
        <f>IF(CCUS_Projects_Database!$R395&lt;&gt;"",HYPERLINK(CCUS_Projects_Database!$R395,"Link 1"),"")</f>
        <v>Link 1</v>
      </c>
      <c r="Z396" s="43" t="str">
        <f>IF(CCUS_Projects_Database!$S395&lt;&gt;"",HYPERLINK(CCUS_Projects_Database!$S395,"Link 2"),"")</f>
        <v/>
      </c>
      <c r="AA396" s="43" t="str">
        <f>IF(CCUS_Projects_Database!$T395&lt;&gt;"",HYPERLINK(CCUS_Projects_Database!$T395,"Link 3"),"")</f>
        <v/>
      </c>
      <c r="AB396" s="43" t="str">
        <f>IF(CCUS_Projects_Database!$U395&lt;&gt;"",HYPERLINK(CCUS_Projects_Database!$U395,"Link 4"),"")</f>
        <v/>
      </c>
      <c r="AC396" s="43" t="str">
        <f>IF(CCUS_Projects_Database!$V395&lt;&gt;"",HYPERLINK(CCUS_Projects_Database!$V395,"Link 5"),"")</f>
        <v/>
      </c>
      <c r="AD396" s="43" t="str">
        <f>IF(CCUS_Projects_Database!$W395&lt;&gt;"",HYPERLINK(CCUS_Projects_Database!$W395,"Link 6"),"")</f>
        <v/>
      </c>
      <c r="AE396" s="43" t="str">
        <f>IF(CCUS_Projects_Database!$X395&lt;&gt;"",HYPERLINK(CCUS_Projects_Database!$X395,"Link 7"),"")</f>
        <v/>
      </c>
    </row>
    <row r="397" ht="15.75" customHeight="1">
      <c r="A397" s="44" t="s">
        <v>1544</v>
      </c>
      <c r="B397" s="45">
        <v>870.0</v>
      </c>
      <c r="C397" s="45" t="s">
        <v>141</v>
      </c>
      <c r="D397" s="46" t="s">
        <v>1545</v>
      </c>
      <c r="E397" s="45" t="s">
        <v>12</v>
      </c>
      <c r="F397" s="45">
        <v>2022.0</v>
      </c>
      <c r="G397" s="45" t="s">
        <v>124</v>
      </c>
      <c r="H397" s="45" t="s">
        <v>124</v>
      </c>
      <c r="I397" s="45" t="s">
        <v>124</v>
      </c>
      <c r="J397" s="45" t="s">
        <v>28</v>
      </c>
      <c r="K397" s="47" t="s">
        <v>124</v>
      </c>
      <c r="L397" s="47"/>
      <c r="M397" s="47" t="s">
        <v>124</v>
      </c>
      <c r="N397" s="45" t="s">
        <v>12</v>
      </c>
      <c r="O397" s="48" t="s">
        <v>77</v>
      </c>
      <c r="P397" s="49" t="s">
        <v>124</v>
      </c>
      <c r="Q397" s="45" t="s">
        <v>143</v>
      </c>
      <c r="R397" s="49" t="s">
        <v>194</v>
      </c>
      <c r="S397" s="49" t="s">
        <v>124</v>
      </c>
      <c r="T397" s="49" t="s">
        <v>124</v>
      </c>
      <c r="U397" s="49" t="s">
        <v>124</v>
      </c>
      <c r="V397" s="49" t="s">
        <v>124</v>
      </c>
      <c r="W397" s="49" t="s">
        <v>124</v>
      </c>
      <c r="X397" s="49" t="s">
        <v>124</v>
      </c>
      <c r="Y397" s="50" t="str">
        <f>IF(CCUS_Projects_Database!$R396&lt;&gt;"",HYPERLINK(CCUS_Projects_Database!$R396,"Link 1"),"")</f>
        <v>Link 1</v>
      </c>
      <c r="Z397" s="50" t="str">
        <f>IF(CCUS_Projects_Database!$S396&lt;&gt;"",HYPERLINK(CCUS_Projects_Database!$S396,"Link 2"),"")</f>
        <v>Link 2</v>
      </c>
      <c r="AA397" s="50" t="str">
        <f>IF(CCUS_Projects_Database!$T396&lt;&gt;"",HYPERLINK(CCUS_Projects_Database!$T396,"Link 3"),"")</f>
        <v>Link 3</v>
      </c>
      <c r="AB397" s="50" t="str">
        <f>IF(CCUS_Projects_Database!$U396&lt;&gt;"",HYPERLINK(CCUS_Projects_Database!$U396,"Link 4"),"")</f>
        <v/>
      </c>
      <c r="AC397" s="50" t="str">
        <f>IF(CCUS_Projects_Database!$V396&lt;&gt;"",HYPERLINK(CCUS_Projects_Database!$V396,"Link 5"),"")</f>
        <v/>
      </c>
      <c r="AD397" s="50" t="str">
        <f>IF(CCUS_Projects_Database!$W396&lt;&gt;"",HYPERLINK(CCUS_Projects_Database!$W396,"Link 6"),"")</f>
        <v/>
      </c>
      <c r="AE397" s="50" t="str">
        <f>IF(CCUS_Projects_Database!$X396&lt;&gt;"",HYPERLINK(CCUS_Projects_Database!$X396,"Link 7"),"")</f>
        <v/>
      </c>
    </row>
    <row r="398" ht="15.75" customHeight="1">
      <c r="A398" s="37" t="s">
        <v>1546</v>
      </c>
      <c r="B398" s="38">
        <v>872.0</v>
      </c>
      <c r="C398" s="38" t="s">
        <v>141</v>
      </c>
      <c r="D398" s="39" t="s">
        <v>1547</v>
      </c>
      <c r="E398" s="38" t="s">
        <v>12</v>
      </c>
      <c r="F398" s="38">
        <v>2023.0</v>
      </c>
      <c r="G398" s="38" t="s">
        <v>124</v>
      </c>
      <c r="H398" s="38" t="s">
        <v>124</v>
      </c>
      <c r="I398" s="38" t="s">
        <v>124</v>
      </c>
      <c r="J398" s="38" t="s">
        <v>1548</v>
      </c>
      <c r="K398" s="40" t="s">
        <v>124</v>
      </c>
      <c r="L398" s="40"/>
      <c r="M398" s="40" t="s">
        <v>124</v>
      </c>
      <c r="N398" s="38" t="s">
        <v>12</v>
      </c>
      <c r="O398" s="41" t="s">
        <v>77</v>
      </c>
      <c r="P398" s="42" t="s">
        <v>124</v>
      </c>
      <c r="Q398" s="38" t="s">
        <v>143</v>
      </c>
      <c r="R398" s="42" t="s">
        <v>194</v>
      </c>
      <c r="S398" s="42" t="s">
        <v>124</v>
      </c>
      <c r="T398" s="42" t="s">
        <v>124</v>
      </c>
      <c r="U398" s="42" t="s">
        <v>124</v>
      </c>
      <c r="V398" s="42" t="s">
        <v>124</v>
      </c>
      <c r="W398" s="42" t="s">
        <v>124</v>
      </c>
      <c r="X398" s="42" t="s">
        <v>124</v>
      </c>
      <c r="Y398" s="43" t="str">
        <f>IF(CCUS_Projects_Database!$R397&lt;&gt;"",HYPERLINK(CCUS_Projects_Database!$R397,"Link 1"),"")</f>
        <v>Link 1</v>
      </c>
      <c r="Z398" s="43" t="str">
        <f>IF(CCUS_Projects_Database!$S397&lt;&gt;"",HYPERLINK(CCUS_Projects_Database!$S397,"Link 2"),"")</f>
        <v/>
      </c>
      <c r="AA398" s="43" t="str">
        <f>IF(CCUS_Projects_Database!$T397&lt;&gt;"",HYPERLINK(CCUS_Projects_Database!$T397,"Link 3"),"")</f>
        <v/>
      </c>
      <c r="AB398" s="43" t="str">
        <f>IF(CCUS_Projects_Database!$U397&lt;&gt;"",HYPERLINK(CCUS_Projects_Database!$U397,"Link 4"),"")</f>
        <v/>
      </c>
      <c r="AC398" s="43" t="str">
        <f>IF(CCUS_Projects_Database!$V397&lt;&gt;"",HYPERLINK(CCUS_Projects_Database!$V397,"Link 5"),"")</f>
        <v/>
      </c>
      <c r="AD398" s="43" t="str">
        <f>IF(CCUS_Projects_Database!$W397&lt;&gt;"",HYPERLINK(CCUS_Projects_Database!$W397,"Link 6"),"")</f>
        <v/>
      </c>
      <c r="AE398" s="43" t="str">
        <f>IF(CCUS_Projects_Database!$X397&lt;&gt;"",HYPERLINK(CCUS_Projects_Database!$X397,"Link 7"),"")</f>
        <v/>
      </c>
    </row>
    <row r="399" ht="15.75" customHeight="1">
      <c r="A399" s="44" t="s">
        <v>1549</v>
      </c>
      <c r="B399" s="45">
        <v>871.0</v>
      </c>
      <c r="C399" s="45" t="s">
        <v>141</v>
      </c>
      <c r="D399" s="46" t="s">
        <v>1547</v>
      </c>
      <c r="E399" s="45" t="s">
        <v>12</v>
      </c>
      <c r="F399" s="45">
        <v>2023.0</v>
      </c>
      <c r="G399" s="45" t="s">
        <v>124</v>
      </c>
      <c r="H399" s="45" t="s">
        <v>124</v>
      </c>
      <c r="I399" s="45" t="s">
        <v>124</v>
      </c>
      <c r="J399" s="45" t="s">
        <v>1548</v>
      </c>
      <c r="K399" s="47" t="s">
        <v>124</v>
      </c>
      <c r="L399" s="52">
        <v>2.0</v>
      </c>
      <c r="M399" s="47" t="s">
        <v>124</v>
      </c>
      <c r="N399" s="45" t="s">
        <v>12</v>
      </c>
      <c r="O399" s="48" t="s">
        <v>77</v>
      </c>
      <c r="P399" s="49" t="s">
        <v>124</v>
      </c>
      <c r="Q399" s="45" t="s">
        <v>143</v>
      </c>
      <c r="R399" s="49" t="s">
        <v>194</v>
      </c>
      <c r="S399" s="49" t="s">
        <v>124</v>
      </c>
      <c r="T399" s="49" t="s">
        <v>124</v>
      </c>
      <c r="U399" s="49" t="s">
        <v>124</v>
      </c>
      <c r="V399" s="49" t="s">
        <v>124</v>
      </c>
      <c r="W399" s="49" t="s">
        <v>124</v>
      </c>
      <c r="X399" s="49" t="s">
        <v>124</v>
      </c>
      <c r="Y399" s="50" t="str">
        <f>IF(CCUS_Projects_Database!$R398&lt;&gt;"",HYPERLINK(CCUS_Projects_Database!$R398,"Link 1"),"")</f>
        <v>Link 1</v>
      </c>
      <c r="Z399" s="50" t="str">
        <f>IF(CCUS_Projects_Database!$S398&lt;&gt;"",HYPERLINK(CCUS_Projects_Database!$S398,"Link 2"),"")</f>
        <v/>
      </c>
      <c r="AA399" s="50" t="str">
        <f>IF(CCUS_Projects_Database!$T398&lt;&gt;"",HYPERLINK(CCUS_Projects_Database!$T398,"Link 3"),"")</f>
        <v/>
      </c>
      <c r="AB399" s="50" t="str">
        <f>IF(CCUS_Projects_Database!$U398&lt;&gt;"",HYPERLINK(CCUS_Projects_Database!$U398,"Link 4"),"")</f>
        <v/>
      </c>
      <c r="AC399" s="50" t="str">
        <f>IF(CCUS_Projects_Database!$V398&lt;&gt;"",HYPERLINK(CCUS_Projects_Database!$V398,"Link 5"),"")</f>
        <v/>
      </c>
      <c r="AD399" s="50" t="str">
        <f>IF(CCUS_Projects_Database!$W398&lt;&gt;"",HYPERLINK(CCUS_Projects_Database!$W398,"Link 6"),"")</f>
        <v/>
      </c>
      <c r="AE399" s="50" t="str">
        <f>IF(CCUS_Projects_Database!$X398&lt;&gt;"",HYPERLINK(CCUS_Projects_Database!$X398,"Link 7"),"")</f>
        <v/>
      </c>
    </row>
    <row r="400" ht="15.75" customHeight="1">
      <c r="A400" s="37" t="s">
        <v>1550</v>
      </c>
      <c r="B400" s="38">
        <v>385.0</v>
      </c>
      <c r="C400" s="38" t="s">
        <v>239</v>
      </c>
      <c r="D400" s="39" t="s">
        <v>1551</v>
      </c>
      <c r="E400" s="38" t="s">
        <v>8</v>
      </c>
      <c r="F400" s="38">
        <v>2021.0</v>
      </c>
      <c r="G400" s="38">
        <v>2024.0</v>
      </c>
      <c r="H400" s="38">
        <v>2028.0</v>
      </c>
      <c r="I400" s="38" t="s">
        <v>124</v>
      </c>
      <c r="J400" s="38" t="s">
        <v>28</v>
      </c>
      <c r="K400" s="40" t="s">
        <v>124</v>
      </c>
      <c r="L400" s="51">
        <v>0.4</v>
      </c>
      <c r="M400" s="40">
        <v>2.0</v>
      </c>
      <c r="N400" s="38" t="s">
        <v>54</v>
      </c>
      <c r="O400" s="41" t="s">
        <v>71</v>
      </c>
      <c r="P400" s="42" t="s">
        <v>1552</v>
      </c>
      <c r="Q400" s="38" t="s">
        <v>143</v>
      </c>
      <c r="R400" s="42" t="s">
        <v>1553</v>
      </c>
      <c r="S400" s="42" t="s">
        <v>402</v>
      </c>
      <c r="T400" s="42" t="s">
        <v>124</v>
      </c>
      <c r="U400" s="42" t="s">
        <v>124</v>
      </c>
      <c r="V400" s="42" t="s">
        <v>124</v>
      </c>
      <c r="W400" s="42" t="s">
        <v>124</v>
      </c>
      <c r="X400" s="42" t="s">
        <v>124</v>
      </c>
      <c r="Y400" s="43" t="str">
        <f>IF(CCUS_Projects_Database!$R399&lt;&gt;"",HYPERLINK(CCUS_Projects_Database!$R399,"Link 1"),"")</f>
        <v>Link 1</v>
      </c>
      <c r="Z400" s="43" t="str">
        <f>IF(CCUS_Projects_Database!$S399&lt;&gt;"",HYPERLINK(CCUS_Projects_Database!$S399,"Link 2"),"")</f>
        <v/>
      </c>
      <c r="AA400" s="43" t="str">
        <f>IF(CCUS_Projects_Database!$T399&lt;&gt;"",HYPERLINK(CCUS_Projects_Database!$T399,"Link 3"),"")</f>
        <v/>
      </c>
      <c r="AB400" s="43" t="str">
        <f>IF(CCUS_Projects_Database!$U399&lt;&gt;"",HYPERLINK(CCUS_Projects_Database!$U399,"Link 4"),"")</f>
        <v/>
      </c>
      <c r="AC400" s="43" t="str">
        <f>IF(CCUS_Projects_Database!$V399&lt;&gt;"",HYPERLINK(CCUS_Projects_Database!$V399,"Link 5"),"")</f>
        <v/>
      </c>
      <c r="AD400" s="43" t="str">
        <f>IF(CCUS_Projects_Database!$W399&lt;&gt;"",HYPERLINK(CCUS_Projects_Database!$W399,"Link 6"),"")</f>
        <v/>
      </c>
      <c r="AE400" s="43" t="str">
        <f>IF(CCUS_Projects_Database!$X399&lt;&gt;"",HYPERLINK(CCUS_Projects_Database!$X399,"Link 7"),"")</f>
        <v/>
      </c>
    </row>
    <row r="401" ht="15.75" customHeight="1">
      <c r="A401" s="44" t="s">
        <v>1554</v>
      </c>
      <c r="B401" s="45">
        <v>201.0</v>
      </c>
      <c r="C401" s="45" t="s">
        <v>284</v>
      </c>
      <c r="D401" s="46" t="s">
        <v>1555</v>
      </c>
      <c r="E401" s="45" t="s">
        <v>8</v>
      </c>
      <c r="F401" s="45">
        <v>2016.0</v>
      </c>
      <c r="G401" s="45">
        <v>2020.0</v>
      </c>
      <c r="H401" s="45">
        <v>2025.0</v>
      </c>
      <c r="I401" s="45" t="s">
        <v>124</v>
      </c>
      <c r="J401" s="45" t="s">
        <v>30</v>
      </c>
      <c r="K401" s="47" t="s">
        <v>124</v>
      </c>
      <c r="L401" s="52">
        <v>0.8</v>
      </c>
      <c r="M401" s="47">
        <v>0.4</v>
      </c>
      <c r="N401" s="45" t="s">
        <v>56</v>
      </c>
      <c r="O401" s="48" t="s">
        <v>71</v>
      </c>
      <c r="P401" s="49" t="s">
        <v>375</v>
      </c>
      <c r="Q401" s="45" t="s">
        <v>125</v>
      </c>
      <c r="R401" s="49" t="s">
        <v>1556</v>
      </c>
      <c r="S401" s="49" t="s">
        <v>1557</v>
      </c>
      <c r="T401" s="49" t="s">
        <v>1558</v>
      </c>
      <c r="U401" s="49" t="s">
        <v>1559</v>
      </c>
      <c r="V401" s="49" t="s">
        <v>124</v>
      </c>
      <c r="W401" s="49" t="s">
        <v>124</v>
      </c>
      <c r="X401" s="49" t="s">
        <v>124</v>
      </c>
      <c r="Y401" s="50" t="str">
        <f>IF(CCUS_Projects_Database!$R400&lt;&gt;"",HYPERLINK(CCUS_Projects_Database!$R400,"Link 1"),"")</f>
        <v>Link 1</v>
      </c>
      <c r="Z401" s="50" t="str">
        <f>IF(CCUS_Projects_Database!$S400&lt;&gt;"",HYPERLINK(CCUS_Projects_Database!$S400,"Link 2"),"")</f>
        <v>Link 2</v>
      </c>
      <c r="AA401" s="50" t="str">
        <f>IF(CCUS_Projects_Database!$T400&lt;&gt;"",HYPERLINK(CCUS_Projects_Database!$T400,"Link 3"),"")</f>
        <v/>
      </c>
      <c r="AB401" s="50" t="str">
        <f>IF(CCUS_Projects_Database!$U400&lt;&gt;"",HYPERLINK(CCUS_Projects_Database!$U400,"Link 4"),"")</f>
        <v/>
      </c>
      <c r="AC401" s="50" t="str">
        <f>IF(CCUS_Projects_Database!$V400&lt;&gt;"",HYPERLINK(CCUS_Projects_Database!$V400,"Link 5"),"")</f>
        <v/>
      </c>
      <c r="AD401" s="50" t="str">
        <f>IF(CCUS_Projects_Database!$W400&lt;&gt;"",HYPERLINK(CCUS_Projects_Database!$W400,"Link 6"),"")</f>
        <v/>
      </c>
      <c r="AE401" s="50" t="str">
        <f>IF(CCUS_Projects_Database!$X400&lt;&gt;"",HYPERLINK(CCUS_Projects_Database!$X400,"Link 7"),"")</f>
        <v/>
      </c>
    </row>
    <row r="402" ht="15.75" customHeight="1">
      <c r="A402" s="37" t="s">
        <v>1560</v>
      </c>
      <c r="B402" s="38">
        <v>660.0</v>
      </c>
      <c r="C402" s="38" t="s">
        <v>311</v>
      </c>
      <c r="D402" s="39" t="s">
        <v>921</v>
      </c>
      <c r="E402" s="38" t="s">
        <v>8</v>
      </c>
      <c r="F402" s="38">
        <v>2023.0</v>
      </c>
      <c r="G402" s="38" t="s">
        <v>124</v>
      </c>
      <c r="H402" s="38">
        <v>2029.0</v>
      </c>
      <c r="I402" s="38" t="s">
        <v>124</v>
      </c>
      <c r="J402" s="38" t="s">
        <v>28</v>
      </c>
      <c r="K402" s="40" t="s">
        <v>124</v>
      </c>
      <c r="L402" s="51">
        <v>0.1</v>
      </c>
      <c r="M402" s="40">
        <v>0.8</v>
      </c>
      <c r="N402" s="38" t="s">
        <v>56</v>
      </c>
      <c r="O402" s="41" t="s">
        <v>71</v>
      </c>
      <c r="P402" s="42" t="s">
        <v>1280</v>
      </c>
      <c r="Q402" s="38" t="s">
        <v>125</v>
      </c>
      <c r="R402" s="42" t="s">
        <v>1561</v>
      </c>
      <c r="S402" s="42" t="s">
        <v>124</v>
      </c>
      <c r="T402" s="42" t="s">
        <v>124</v>
      </c>
      <c r="U402" s="42" t="s">
        <v>124</v>
      </c>
      <c r="V402" s="42" t="s">
        <v>124</v>
      </c>
      <c r="W402" s="42" t="s">
        <v>124</v>
      </c>
      <c r="X402" s="42" t="s">
        <v>124</v>
      </c>
      <c r="Y402" s="43" t="str">
        <f>IF(CCUS_Projects_Database!$R401&lt;&gt;"",HYPERLINK(CCUS_Projects_Database!$R401,"Link 1"),"")</f>
        <v>Link 1</v>
      </c>
      <c r="Z402" s="43" t="str">
        <f>IF(CCUS_Projects_Database!$S401&lt;&gt;"",HYPERLINK(CCUS_Projects_Database!$S401,"Link 2"),"")</f>
        <v>Link 2</v>
      </c>
      <c r="AA402" s="43" t="str">
        <f>IF(CCUS_Projects_Database!$T401&lt;&gt;"",HYPERLINK(CCUS_Projects_Database!$T401,"Link 3"),"")</f>
        <v>Link 3</v>
      </c>
      <c r="AB402" s="43" t="str">
        <f>IF(CCUS_Projects_Database!$U401&lt;&gt;"",HYPERLINK(CCUS_Projects_Database!$U401,"Link 4"),"")</f>
        <v>Link 4</v>
      </c>
      <c r="AC402" s="43" t="str">
        <f>IF(CCUS_Projects_Database!$V401&lt;&gt;"",HYPERLINK(CCUS_Projects_Database!$V401,"Link 5"),"")</f>
        <v/>
      </c>
      <c r="AD402" s="43" t="str">
        <f>IF(CCUS_Projects_Database!$W401&lt;&gt;"",HYPERLINK(CCUS_Projects_Database!$W401,"Link 6"),"")</f>
        <v/>
      </c>
      <c r="AE402" s="43" t="str">
        <f>IF(CCUS_Projects_Database!$X401&lt;&gt;"",HYPERLINK(CCUS_Projects_Database!$X401,"Link 7"),"")</f>
        <v/>
      </c>
    </row>
    <row r="403" ht="15.75" customHeight="1">
      <c r="A403" s="44" t="s">
        <v>1562</v>
      </c>
      <c r="B403" s="45">
        <v>202.0</v>
      </c>
      <c r="C403" s="45" t="s">
        <v>247</v>
      </c>
      <c r="D403" s="46" t="s">
        <v>1563</v>
      </c>
      <c r="E403" s="45" t="s">
        <v>8</v>
      </c>
      <c r="F403" s="45">
        <v>2021.0</v>
      </c>
      <c r="G403" s="45">
        <v>2022.0</v>
      </c>
      <c r="H403" s="45">
        <v>2025.0</v>
      </c>
      <c r="I403" s="45" t="s">
        <v>124</v>
      </c>
      <c r="J403" s="45" t="s">
        <v>30</v>
      </c>
      <c r="K403" s="47" t="s">
        <v>124</v>
      </c>
      <c r="L403" s="52">
        <v>2.0</v>
      </c>
      <c r="M403" s="47">
        <v>0.1</v>
      </c>
      <c r="N403" s="45" t="s">
        <v>56</v>
      </c>
      <c r="O403" s="48" t="s">
        <v>77</v>
      </c>
      <c r="P403" s="49" t="s">
        <v>124</v>
      </c>
      <c r="Q403" s="45" t="s">
        <v>125</v>
      </c>
      <c r="R403" s="49" t="s">
        <v>1564</v>
      </c>
      <c r="S403" s="49" t="s">
        <v>1565</v>
      </c>
      <c r="T403" s="49" t="s">
        <v>124</v>
      </c>
      <c r="U403" s="49" t="s">
        <v>124</v>
      </c>
      <c r="V403" s="49" t="s">
        <v>124</v>
      </c>
      <c r="W403" s="49" t="s">
        <v>124</v>
      </c>
      <c r="X403" s="49" t="s">
        <v>124</v>
      </c>
      <c r="Y403" s="50" t="str">
        <f>IF(CCUS_Projects_Database!$R402&lt;&gt;"",HYPERLINK(CCUS_Projects_Database!$R402,"Link 1"),"")</f>
        <v>Link 1</v>
      </c>
      <c r="Z403" s="50" t="str">
        <f>IF(CCUS_Projects_Database!$S402&lt;&gt;"",HYPERLINK(CCUS_Projects_Database!$S402,"Link 2"),"")</f>
        <v/>
      </c>
      <c r="AA403" s="50" t="str">
        <f>IF(CCUS_Projects_Database!$T402&lt;&gt;"",HYPERLINK(CCUS_Projects_Database!$T402,"Link 3"),"")</f>
        <v/>
      </c>
      <c r="AB403" s="50" t="str">
        <f>IF(CCUS_Projects_Database!$U402&lt;&gt;"",HYPERLINK(CCUS_Projects_Database!$U402,"Link 4"),"")</f>
        <v/>
      </c>
      <c r="AC403" s="50" t="str">
        <f>IF(CCUS_Projects_Database!$V402&lt;&gt;"",HYPERLINK(CCUS_Projects_Database!$V402,"Link 5"),"")</f>
        <v/>
      </c>
      <c r="AD403" s="50" t="str">
        <f>IF(CCUS_Projects_Database!$W402&lt;&gt;"",HYPERLINK(CCUS_Projects_Database!$W402,"Link 6"),"")</f>
        <v/>
      </c>
      <c r="AE403" s="50" t="str">
        <f>IF(CCUS_Projects_Database!$X402&lt;&gt;"",HYPERLINK(CCUS_Projects_Database!$X402,"Link 7"),"")</f>
        <v/>
      </c>
    </row>
    <row r="404" ht="15.75" customHeight="1">
      <c r="A404" s="37" t="s">
        <v>1566</v>
      </c>
      <c r="B404" s="38">
        <v>525.0</v>
      </c>
      <c r="C404" s="38" t="s">
        <v>141</v>
      </c>
      <c r="D404" s="39" t="s">
        <v>921</v>
      </c>
      <c r="E404" s="38" t="s">
        <v>8</v>
      </c>
      <c r="F404" s="38">
        <v>2022.0</v>
      </c>
      <c r="G404" s="38" t="s">
        <v>124</v>
      </c>
      <c r="H404" s="38">
        <v>2030.0</v>
      </c>
      <c r="I404" s="38" t="s">
        <v>124</v>
      </c>
      <c r="J404" s="38" t="s">
        <v>28</v>
      </c>
      <c r="K404" s="40" t="s">
        <v>124</v>
      </c>
      <c r="L404" s="51">
        <v>1.0</v>
      </c>
      <c r="M404" s="40">
        <v>2.0</v>
      </c>
      <c r="N404" s="38" t="s">
        <v>56</v>
      </c>
      <c r="O404" s="41" t="s">
        <v>71</v>
      </c>
      <c r="P404" s="42" t="s">
        <v>1567</v>
      </c>
      <c r="Q404" s="38" t="s">
        <v>143</v>
      </c>
      <c r="R404" s="42" t="s">
        <v>1568</v>
      </c>
      <c r="S404" s="42" t="s">
        <v>740</v>
      </c>
      <c r="T404" s="42" t="s">
        <v>613</v>
      </c>
      <c r="U404" s="42" t="s">
        <v>124</v>
      </c>
      <c r="V404" s="42" t="s">
        <v>124</v>
      </c>
      <c r="W404" s="42" t="s">
        <v>124</v>
      </c>
      <c r="X404" s="42" t="s">
        <v>124</v>
      </c>
      <c r="Y404" s="43" t="str">
        <f>IF(CCUS_Projects_Database!$R403&lt;&gt;"",HYPERLINK(CCUS_Projects_Database!$R403,"Link 1"),"")</f>
        <v>Link 1</v>
      </c>
      <c r="Z404" s="43" t="str">
        <f>IF(CCUS_Projects_Database!$S403&lt;&gt;"",HYPERLINK(CCUS_Projects_Database!$S403,"Link 2"),"")</f>
        <v>Link 2</v>
      </c>
      <c r="AA404" s="43" t="str">
        <f>IF(CCUS_Projects_Database!$T403&lt;&gt;"",HYPERLINK(CCUS_Projects_Database!$T403,"Link 3"),"")</f>
        <v/>
      </c>
      <c r="AB404" s="43" t="str">
        <f>IF(CCUS_Projects_Database!$U403&lt;&gt;"",HYPERLINK(CCUS_Projects_Database!$U403,"Link 4"),"")</f>
        <v/>
      </c>
      <c r="AC404" s="43" t="str">
        <f>IF(CCUS_Projects_Database!$V403&lt;&gt;"",HYPERLINK(CCUS_Projects_Database!$V403,"Link 5"),"")</f>
        <v/>
      </c>
      <c r="AD404" s="43" t="str">
        <f>IF(CCUS_Projects_Database!$W403&lt;&gt;"",HYPERLINK(CCUS_Projects_Database!$W403,"Link 6"),"")</f>
        <v/>
      </c>
      <c r="AE404" s="43" t="str">
        <f>IF(CCUS_Projects_Database!$X403&lt;&gt;"",HYPERLINK(CCUS_Projects_Database!$X403,"Link 7"),"")</f>
        <v/>
      </c>
    </row>
    <row r="405" ht="15.75" customHeight="1">
      <c r="A405" s="44" t="s">
        <v>1569</v>
      </c>
      <c r="B405" s="45">
        <v>258.0</v>
      </c>
      <c r="C405" s="45" t="s">
        <v>239</v>
      </c>
      <c r="D405" s="46" t="s">
        <v>1570</v>
      </c>
      <c r="E405" s="45" t="s">
        <v>8</v>
      </c>
      <c r="F405" s="45">
        <v>2019.0</v>
      </c>
      <c r="G405" s="45">
        <v>2024.0</v>
      </c>
      <c r="H405" s="45">
        <v>2027.0</v>
      </c>
      <c r="I405" s="45" t="s">
        <v>124</v>
      </c>
      <c r="J405" s="45" t="s">
        <v>28</v>
      </c>
      <c r="K405" s="47">
        <v>1.0</v>
      </c>
      <c r="L405" s="52">
        <v>0.175</v>
      </c>
      <c r="M405" s="47">
        <v>1.0</v>
      </c>
      <c r="N405" s="45" t="s">
        <v>56</v>
      </c>
      <c r="O405" s="48" t="s">
        <v>71</v>
      </c>
      <c r="P405" s="49" t="s">
        <v>1345</v>
      </c>
      <c r="Q405" s="45" t="s">
        <v>143</v>
      </c>
      <c r="R405" s="49" t="s">
        <v>1571</v>
      </c>
      <c r="S405" s="49" t="s">
        <v>1572</v>
      </c>
      <c r="T405" s="49" t="s">
        <v>1573</v>
      </c>
      <c r="U405" s="49" t="s">
        <v>1573</v>
      </c>
      <c r="V405" s="49" t="s">
        <v>1574</v>
      </c>
      <c r="W405" s="49" t="s">
        <v>1575</v>
      </c>
      <c r="X405" s="49" t="s">
        <v>1576</v>
      </c>
      <c r="Y405" s="50" t="str">
        <f>IF(CCUS_Projects_Database!$R404&lt;&gt;"",HYPERLINK(CCUS_Projects_Database!$R404,"Link 1"),"")</f>
        <v>Link 1</v>
      </c>
      <c r="Z405" s="50" t="str">
        <f>IF(CCUS_Projects_Database!$S404&lt;&gt;"",HYPERLINK(CCUS_Projects_Database!$S404,"Link 2"),"")</f>
        <v>Link 2</v>
      </c>
      <c r="AA405" s="50" t="str">
        <f>IF(CCUS_Projects_Database!$T404&lt;&gt;"",HYPERLINK(CCUS_Projects_Database!$T404,"Link 3"),"")</f>
        <v>Link 3</v>
      </c>
      <c r="AB405" s="50" t="str">
        <f>IF(CCUS_Projects_Database!$U404&lt;&gt;"",HYPERLINK(CCUS_Projects_Database!$U404,"Link 4"),"")</f>
        <v/>
      </c>
      <c r="AC405" s="50" t="str">
        <f>IF(CCUS_Projects_Database!$V404&lt;&gt;"",HYPERLINK(CCUS_Projects_Database!$V404,"Link 5"),"")</f>
        <v/>
      </c>
      <c r="AD405" s="50" t="str">
        <f>IF(CCUS_Projects_Database!$W404&lt;&gt;"",HYPERLINK(CCUS_Projects_Database!$W404,"Link 6"),"")</f>
        <v/>
      </c>
      <c r="AE405" s="50" t="str">
        <f>IF(CCUS_Projects_Database!$X404&lt;&gt;"",HYPERLINK(CCUS_Projects_Database!$X404,"Link 7"),"")</f>
        <v/>
      </c>
    </row>
    <row r="406" ht="15.75" customHeight="1">
      <c r="A406" s="37" t="s">
        <v>1577</v>
      </c>
      <c r="B406" s="38">
        <v>203.0</v>
      </c>
      <c r="C406" s="38" t="s">
        <v>141</v>
      </c>
      <c r="D406" s="39" t="s">
        <v>1578</v>
      </c>
      <c r="E406" s="38" t="s">
        <v>8</v>
      </c>
      <c r="F406" s="38">
        <v>2021.0</v>
      </c>
      <c r="G406" s="38">
        <v>2024.0</v>
      </c>
      <c r="H406" s="38">
        <v>2025.0</v>
      </c>
      <c r="I406" s="38" t="s">
        <v>124</v>
      </c>
      <c r="J406" s="38" t="s">
        <v>28</v>
      </c>
      <c r="K406" s="40" t="s">
        <v>124</v>
      </c>
      <c r="L406" s="51">
        <v>0.23</v>
      </c>
      <c r="M406" s="40">
        <v>0.186</v>
      </c>
      <c r="N406" s="38" t="s">
        <v>50</v>
      </c>
      <c r="O406" s="41" t="s">
        <v>71</v>
      </c>
      <c r="P406" s="42" t="s">
        <v>567</v>
      </c>
      <c r="Q406" s="38" t="s">
        <v>143</v>
      </c>
      <c r="R406" s="42" t="s">
        <v>945</v>
      </c>
      <c r="S406" s="42" t="s">
        <v>946</v>
      </c>
      <c r="T406" s="42" t="s">
        <v>947</v>
      </c>
      <c r="U406" s="42" t="s">
        <v>124</v>
      </c>
      <c r="V406" s="42" t="s">
        <v>124</v>
      </c>
      <c r="W406" s="42" t="s">
        <v>124</v>
      </c>
      <c r="X406" s="42" t="s">
        <v>124</v>
      </c>
      <c r="Y406" s="43" t="str">
        <f>IF(CCUS_Projects_Database!$R405&lt;&gt;"",HYPERLINK(CCUS_Projects_Database!$R405,"Link 1"),"")</f>
        <v>Link 1</v>
      </c>
      <c r="Z406" s="43" t="str">
        <f>IF(CCUS_Projects_Database!$S405&lt;&gt;"",HYPERLINK(CCUS_Projects_Database!$S405,"Link 2"),"")</f>
        <v>Link 2</v>
      </c>
      <c r="AA406" s="43" t="str">
        <f>IF(CCUS_Projects_Database!$T405&lt;&gt;"",HYPERLINK(CCUS_Projects_Database!$T405,"Link 3"),"")</f>
        <v>Link 3</v>
      </c>
      <c r="AB406" s="43" t="str">
        <f>IF(CCUS_Projects_Database!$U405&lt;&gt;"",HYPERLINK(CCUS_Projects_Database!$U405,"Link 4"),"")</f>
        <v>Link 4</v>
      </c>
      <c r="AC406" s="43" t="str">
        <f>IF(CCUS_Projects_Database!$V405&lt;&gt;"",HYPERLINK(CCUS_Projects_Database!$V405,"Link 5"),"")</f>
        <v>Link 5</v>
      </c>
      <c r="AD406" s="43" t="str">
        <f>IF(CCUS_Projects_Database!$W405&lt;&gt;"",HYPERLINK(CCUS_Projects_Database!$W405,"Link 6"),"")</f>
        <v>Link 6</v>
      </c>
      <c r="AE406" s="43" t="str">
        <f>IF(CCUS_Projects_Database!$X405&lt;&gt;"",HYPERLINK(CCUS_Projects_Database!$X405,"Link 7"),"")</f>
        <v>Link 7</v>
      </c>
    </row>
    <row r="407" ht="15.75" customHeight="1">
      <c r="A407" s="44" t="s">
        <v>1579</v>
      </c>
      <c r="B407" s="45">
        <v>1038.0</v>
      </c>
      <c r="C407" s="45" t="s">
        <v>1580</v>
      </c>
      <c r="D407" s="46" t="s">
        <v>1581</v>
      </c>
      <c r="E407" s="45" t="s">
        <v>16</v>
      </c>
      <c r="F407" s="45">
        <v>2021.0</v>
      </c>
      <c r="G407" s="45" t="s">
        <v>124</v>
      </c>
      <c r="H407" s="45" t="s">
        <v>124</v>
      </c>
      <c r="I407" s="45" t="s">
        <v>124</v>
      </c>
      <c r="J407" s="45" t="s">
        <v>28</v>
      </c>
      <c r="K407" s="47" t="s">
        <v>124</v>
      </c>
      <c r="L407" s="52">
        <v>0.15</v>
      </c>
      <c r="M407" s="47">
        <v>0.23</v>
      </c>
      <c r="N407" s="45" t="s">
        <v>50</v>
      </c>
      <c r="O407" s="48" t="s">
        <v>75</v>
      </c>
      <c r="P407" s="49" t="s">
        <v>124</v>
      </c>
      <c r="Q407" s="45" t="s">
        <v>1304</v>
      </c>
      <c r="R407" s="49" t="s">
        <v>1582</v>
      </c>
      <c r="S407" s="49" t="s">
        <v>1583</v>
      </c>
      <c r="T407" s="49" t="s">
        <v>124</v>
      </c>
      <c r="U407" s="49" t="s">
        <v>124</v>
      </c>
      <c r="V407" s="49" t="s">
        <v>124</v>
      </c>
      <c r="W407" s="49" t="s">
        <v>124</v>
      </c>
      <c r="X407" s="49" t="s">
        <v>124</v>
      </c>
      <c r="Y407" s="50" t="str">
        <f>IF(CCUS_Projects_Database!$R406&lt;&gt;"",HYPERLINK(CCUS_Projects_Database!$R406,"Link 1"),"")</f>
        <v>Link 1</v>
      </c>
      <c r="Z407" s="50" t="str">
        <f>IF(CCUS_Projects_Database!$S406&lt;&gt;"",HYPERLINK(CCUS_Projects_Database!$S406,"Link 2"),"")</f>
        <v>Link 2</v>
      </c>
      <c r="AA407" s="50" t="str">
        <f>IF(CCUS_Projects_Database!$T406&lt;&gt;"",HYPERLINK(CCUS_Projects_Database!$T406,"Link 3"),"")</f>
        <v>Link 3</v>
      </c>
      <c r="AB407" s="50" t="str">
        <f>IF(CCUS_Projects_Database!$U406&lt;&gt;"",HYPERLINK(CCUS_Projects_Database!$U406,"Link 4"),"")</f>
        <v/>
      </c>
      <c r="AC407" s="50" t="str">
        <f>IF(CCUS_Projects_Database!$V406&lt;&gt;"",HYPERLINK(CCUS_Projects_Database!$V406,"Link 5"),"")</f>
        <v/>
      </c>
      <c r="AD407" s="50" t="str">
        <f>IF(CCUS_Projects_Database!$W406&lt;&gt;"",HYPERLINK(CCUS_Projects_Database!$W406,"Link 6"),"")</f>
        <v/>
      </c>
      <c r="AE407" s="50" t="str">
        <f>IF(CCUS_Projects_Database!$X406&lt;&gt;"",HYPERLINK(CCUS_Projects_Database!$X406,"Link 7"),"")</f>
        <v/>
      </c>
    </row>
    <row r="408" ht="15.75" customHeight="1">
      <c r="A408" s="37" t="s">
        <v>1584</v>
      </c>
      <c r="B408" s="38">
        <v>1039.0</v>
      </c>
      <c r="C408" s="38" t="s">
        <v>1585</v>
      </c>
      <c r="D408" s="39" t="s">
        <v>1586</v>
      </c>
      <c r="E408" s="38" t="s">
        <v>16</v>
      </c>
      <c r="F408" s="38">
        <v>2023.0</v>
      </c>
      <c r="G408" s="38" t="s">
        <v>124</v>
      </c>
      <c r="H408" s="38">
        <v>2025.0</v>
      </c>
      <c r="I408" s="38" t="s">
        <v>124</v>
      </c>
      <c r="J408" s="38" t="s">
        <v>28</v>
      </c>
      <c r="K408" s="40" t="s">
        <v>124</v>
      </c>
      <c r="L408" s="51">
        <v>0.3</v>
      </c>
      <c r="M408" s="40">
        <v>0.15</v>
      </c>
      <c r="N408" s="38" t="s">
        <v>50</v>
      </c>
      <c r="O408" s="41" t="s">
        <v>75</v>
      </c>
      <c r="P408" s="42" t="s">
        <v>124</v>
      </c>
      <c r="Q408" s="38" t="s">
        <v>1304</v>
      </c>
      <c r="R408" s="42" t="s">
        <v>1587</v>
      </c>
      <c r="S408" s="42" t="s">
        <v>1588</v>
      </c>
      <c r="T408" s="42" t="s">
        <v>124</v>
      </c>
      <c r="U408" s="42" t="s">
        <v>124</v>
      </c>
      <c r="V408" s="42" t="s">
        <v>124</v>
      </c>
      <c r="W408" s="42" t="s">
        <v>124</v>
      </c>
      <c r="X408" s="42" t="s">
        <v>124</v>
      </c>
      <c r="Y408" s="43" t="str">
        <f>IF(CCUS_Projects_Database!$R407&lt;&gt;"",HYPERLINK(CCUS_Projects_Database!$R407,"Link 1"),"")</f>
        <v>Link 1</v>
      </c>
      <c r="Z408" s="43" t="str">
        <f>IF(CCUS_Projects_Database!$S407&lt;&gt;"",HYPERLINK(CCUS_Projects_Database!$S407,"Link 2"),"")</f>
        <v>Link 2</v>
      </c>
      <c r="AA408" s="43" t="str">
        <f>IF(CCUS_Projects_Database!$T407&lt;&gt;"",HYPERLINK(CCUS_Projects_Database!$T407,"Link 3"),"")</f>
        <v/>
      </c>
      <c r="AB408" s="43" t="str">
        <f>IF(CCUS_Projects_Database!$U407&lt;&gt;"",HYPERLINK(CCUS_Projects_Database!$U407,"Link 4"),"")</f>
        <v/>
      </c>
      <c r="AC408" s="43" t="str">
        <f>IF(CCUS_Projects_Database!$V407&lt;&gt;"",HYPERLINK(CCUS_Projects_Database!$V407,"Link 5"),"")</f>
        <v/>
      </c>
      <c r="AD408" s="43" t="str">
        <f>IF(CCUS_Projects_Database!$W407&lt;&gt;"",HYPERLINK(CCUS_Projects_Database!$W407,"Link 6"),"")</f>
        <v/>
      </c>
      <c r="AE408" s="43" t="str">
        <f>IF(CCUS_Projects_Database!$X407&lt;&gt;"",HYPERLINK(CCUS_Projects_Database!$X407,"Link 7"),"")</f>
        <v/>
      </c>
    </row>
    <row r="409" ht="15.75" customHeight="1">
      <c r="A409" s="44" t="s">
        <v>1589</v>
      </c>
      <c r="B409" s="45">
        <v>753.0</v>
      </c>
      <c r="C409" s="45" t="s">
        <v>181</v>
      </c>
      <c r="D409" s="46" t="s">
        <v>1590</v>
      </c>
      <c r="E409" s="45" t="s">
        <v>16</v>
      </c>
      <c r="F409" s="45">
        <v>2022.0</v>
      </c>
      <c r="G409" s="45">
        <v>2025.0</v>
      </c>
      <c r="H409" s="45">
        <v>2028.0</v>
      </c>
      <c r="I409" s="45" t="s">
        <v>124</v>
      </c>
      <c r="J409" s="45" t="s">
        <v>28</v>
      </c>
      <c r="K409" s="47" t="s">
        <v>124</v>
      </c>
      <c r="L409" s="52">
        <v>2.0</v>
      </c>
      <c r="M409" s="47">
        <v>0.3</v>
      </c>
      <c r="N409" s="45" t="s">
        <v>46</v>
      </c>
      <c r="O409" s="48" t="s">
        <v>75</v>
      </c>
      <c r="P409" s="49" t="s">
        <v>124</v>
      </c>
      <c r="Q409" s="45" t="s">
        <v>184</v>
      </c>
      <c r="R409" s="49" t="s">
        <v>1591</v>
      </c>
      <c r="S409" s="49" t="s">
        <v>1592</v>
      </c>
      <c r="T409" s="49" t="s">
        <v>1593</v>
      </c>
      <c r="U409" s="49" t="s">
        <v>1594</v>
      </c>
      <c r="V409" s="49" t="s">
        <v>124</v>
      </c>
      <c r="W409" s="49" t="s">
        <v>124</v>
      </c>
      <c r="X409" s="49" t="s">
        <v>124</v>
      </c>
      <c r="Y409" s="50" t="str">
        <f>IF(CCUS_Projects_Database!$R408&lt;&gt;"",HYPERLINK(CCUS_Projects_Database!$R408,"Link 1"),"")</f>
        <v>Link 1</v>
      </c>
      <c r="Z409" s="50" t="str">
        <f>IF(CCUS_Projects_Database!$S408&lt;&gt;"",HYPERLINK(CCUS_Projects_Database!$S408,"Link 2"),"")</f>
        <v>Link 2</v>
      </c>
      <c r="AA409" s="50" t="str">
        <f>IF(CCUS_Projects_Database!$T408&lt;&gt;"",HYPERLINK(CCUS_Projects_Database!$T408,"Link 3"),"")</f>
        <v/>
      </c>
      <c r="AB409" s="50" t="str">
        <f>IF(CCUS_Projects_Database!$U408&lt;&gt;"",HYPERLINK(CCUS_Projects_Database!$U408,"Link 4"),"")</f>
        <v/>
      </c>
      <c r="AC409" s="50" t="str">
        <f>IF(CCUS_Projects_Database!$V408&lt;&gt;"",HYPERLINK(CCUS_Projects_Database!$V408,"Link 5"),"")</f>
        <v/>
      </c>
      <c r="AD409" s="50" t="str">
        <f>IF(CCUS_Projects_Database!$W408&lt;&gt;"",HYPERLINK(CCUS_Projects_Database!$W408,"Link 6"),"")</f>
        <v/>
      </c>
      <c r="AE409" s="50" t="str">
        <f>IF(CCUS_Projects_Database!$X408&lt;&gt;"",HYPERLINK(CCUS_Projects_Database!$X408,"Link 7"),"")</f>
        <v/>
      </c>
    </row>
    <row r="410" ht="15.75" customHeight="1">
      <c r="A410" s="37" t="s">
        <v>1595</v>
      </c>
      <c r="B410" s="38">
        <v>205.0</v>
      </c>
      <c r="C410" s="38" t="s">
        <v>141</v>
      </c>
      <c r="D410" s="39" t="s">
        <v>1596</v>
      </c>
      <c r="E410" s="38" t="s">
        <v>16</v>
      </c>
      <c r="F410" s="38">
        <v>2021.0</v>
      </c>
      <c r="G410" s="38">
        <v>2024.0</v>
      </c>
      <c r="H410" s="38">
        <v>2027.0</v>
      </c>
      <c r="I410" s="38" t="s">
        <v>124</v>
      </c>
      <c r="J410" s="38" t="s">
        <v>28</v>
      </c>
      <c r="K410" s="40" t="s">
        <v>124</v>
      </c>
      <c r="L410" s="51">
        <v>0.145</v>
      </c>
      <c r="M410" s="40">
        <v>2.0</v>
      </c>
      <c r="N410" s="38" t="s">
        <v>64</v>
      </c>
      <c r="O410" s="41" t="s">
        <v>75</v>
      </c>
      <c r="P410" s="42" t="s">
        <v>124</v>
      </c>
      <c r="Q410" s="38" t="s">
        <v>143</v>
      </c>
      <c r="R410" s="42" t="s">
        <v>1597</v>
      </c>
      <c r="S410" s="42" t="s">
        <v>1598</v>
      </c>
      <c r="T410" s="42" t="s">
        <v>1599</v>
      </c>
      <c r="U410" s="42" t="s">
        <v>124</v>
      </c>
      <c r="V410" s="42" t="s">
        <v>124</v>
      </c>
      <c r="W410" s="42" t="s">
        <v>124</v>
      </c>
      <c r="X410" s="42" t="s">
        <v>124</v>
      </c>
      <c r="Y410" s="43" t="str">
        <f>IF(CCUS_Projects_Database!$R409&lt;&gt;"",HYPERLINK(CCUS_Projects_Database!$R409,"Link 1"),"")</f>
        <v>Link 1</v>
      </c>
      <c r="Z410" s="43" t="str">
        <f>IF(CCUS_Projects_Database!$S409&lt;&gt;"",HYPERLINK(CCUS_Projects_Database!$S409,"Link 2"),"")</f>
        <v>Link 2</v>
      </c>
      <c r="AA410" s="43" t="str">
        <f>IF(CCUS_Projects_Database!$T409&lt;&gt;"",HYPERLINK(CCUS_Projects_Database!$T409,"Link 3"),"")</f>
        <v>Link 3</v>
      </c>
      <c r="AB410" s="43" t="str">
        <f>IF(CCUS_Projects_Database!$U409&lt;&gt;"",HYPERLINK(CCUS_Projects_Database!$U409,"Link 4"),"")</f>
        <v>Link 4</v>
      </c>
      <c r="AC410" s="43" t="str">
        <f>IF(CCUS_Projects_Database!$V409&lt;&gt;"",HYPERLINK(CCUS_Projects_Database!$V409,"Link 5"),"")</f>
        <v/>
      </c>
      <c r="AD410" s="43" t="str">
        <f>IF(CCUS_Projects_Database!$W409&lt;&gt;"",HYPERLINK(CCUS_Projects_Database!$W409,"Link 6"),"")</f>
        <v/>
      </c>
      <c r="AE410" s="43" t="str">
        <f>IF(CCUS_Projects_Database!$X409&lt;&gt;"",HYPERLINK(CCUS_Projects_Database!$X409,"Link 7"),"")</f>
        <v/>
      </c>
    </row>
    <row r="411" ht="15.75" customHeight="1">
      <c r="A411" s="44" t="s">
        <v>1600</v>
      </c>
      <c r="B411" s="45">
        <v>206.0</v>
      </c>
      <c r="C411" s="45" t="s">
        <v>141</v>
      </c>
      <c r="D411" s="46" t="s">
        <v>1601</v>
      </c>
      <c r="E411" s="45" t="s">
        <v>8</v>
      </c>
      <c r="F411" s="45">
        <v>2021.0</v>
      </c>
      <c r="G411" s="45">
        <v>2024.0</v>
      </c>
      <c r="H411" s="45">
        <v>2025.0</v>
      </c>
      <c r="I411" s="45" t="s">
        <v>124</v>
      </c>
      <c r="J411" s="45" t="s">
        <v>28</v>
      </c>
      <c r="K411" s="47" t="s">
        <v>124</v>
      </c>
      <c r="L411" s="52">
        <v>1.26</v>
      </c>
      <c r="M411" s="47">
        <v>0.157</v>
      </c>
      <c r="N411" s="45" t="s">
        <v>50</v>
      </c>
      <c r="O411" s="48" t="s">
        <v>71</v>
      </c>
      <c r="P411" s="49" t="s">
        <v>567</v>
      </c>
      <c r="Q411" s="45" t="s">
        <v>143</v>
      </c>
      <c r="R411" s="49" t="s">
        <v>945</v>
      </c>
      <c r="S411" s="49" t="s">
        <v>946</v>
      </c>
      <c r="T411" s="49" t="s">
        <v>947</v>
      </c>
      <c r="U411" s="49" t="s">
        <v>124</v>
      </c>
      <c r="V411" s="49" t="s">
        <v>124</v>
      </c>
      <c r="W411" s="49" t="s">
        <v>124</v>
      </c>
      <c r="X411" s="49" t="s">
        <v>124</v>
      </c>
      <c r="Y411" s="50" t="str">
        <f>IF(CCUS_Projects_Database!$R410&lt;&gt;"",HYPERLINK(CCUS_Projects_Database!$R410,"Link 1"),"")</f>
        <v>Link 1</v>
      </c>
      <c r="Z411" s="50" t="str">
        <f>IF(CCUS_Projects_Database!$S410&lt;&gt;"",HYPERLINK(CCUS_Projects_Database!$S410,"Link 2"),"")</f>
        <v>Link 2</v>
      </c>
      <c r="AA411" s="50" t="str">
        <f>IF(CCUS_Projects_Database!$T410&lt;&gt;"",HYPERLINK(CCUS_Projects_Database!$T410,"Link 3"),"")</f>
        <v>Link 3</v>
      </c>
      <c r="AB411" s="50" t="str">
        <f>IF(CCUS_Projects_Database!$U410&lt;&gt;"",HYPERLINK(CCUS_Projects_Database!$U410,"Link 4"),"")</f>
        <v/>
      </c>
      <c r="AC411" s="50" t="str">
        <f>IF(CCUS_Projects_Database!$V410&lt;&gt;"",HYPERLINK(CCUS_Projects_Database!$V410,"Link 5"),"")</f>
        <v/>
      </c>
      <c r="AD411" s="50" t="str">
        <f>IF(CCUS_Projects_Database!$W410&lt;&gt;"",HYPERLINK(CCUS_Projects_Database!$W410,"Link 6"),"")</f>
        <v/>
      </c>
      <c r="AE411" s="50" t="str">
        <f>IF(CCUS_Projects_Database!$X410&lt;&gt;"",HYPERLINK(CCUS_Projects_Database!$X410,"Link 7"),"")</f>
        <v/>
      </c>
    </row>
    <row r="412" ht="15.75" customHeight="1">
      <c r="A412" s="37" t="s">
        <v>1602</v>
      </c>
      <c r="B412" s="38">
        <v>609.0</v>
      </c>
      <c r="C412" s="38" t="s">
        <v>239</v>
      </c>
      <c r="D412" s="39" t="s">
        <v>1603</v>
      </c>
      <c r="E412" s="38" t="s">
        <v>8</v>
      </c>
      <c r="F412" s="38">
        <v>2022.0</v>
      </c>
      <c r="G412" s="38">
        <v>2025.0</v>
      </c>
      <c r="H412" s="38">
        <v>2027.0</v>
      </c>
      <c r="I412" s="38" t="s">
        <v>124</v>
      </c>
      <c r="J412" s="38" t="s">
        <v>28</v>
      </c>
      <c r="K412" s="40" t="s">
        <v>124</v>
      </c>
      <c r="L412" s="51">
        <v>0.9</v>
      </c>
      <c r="M412" s="40">
        <v>1.26</v>
      </c>
      <c r="N412" s="38" t="s">
        <v>62</v>
      </c>
      <c r="O412" s="41" t="s">
        <v>71</v>
      </c>
      <c r="P412" s="42" t="s">
        <v>1604</v>
      </c>
      <c r="Q412" s="38" t="s">
        <v>143</v>
      </c>
      <c r="R412" s="42" t="s">
        <v>1605</v>
      </c>
      <c r="S412" s="42" t="s">
        <v>124</v>
      </c>
      <c r="T412" s="42" t="s">
        <v>124</v>
      </c>
      <c r="U412" s="42" t="s">
        <v>124</v>
      </c>
      <c r="V412" s="42" t="s">
        <v>124</v>
      </c>
      <c r="W412" s="42" t="s">
        <v>124</v>
      </c>
      <c r="X412" s="42" t="s">
        <v>124</v>
      </c>
      <c r="Y412" s="43" t="str">
        <f>IF(CCUS_Projects_Database!$R411&lt;&gt;"",HYPERLINK(CCUS_Projects_Database!$R411,"Link 1"),"")</f>
        <v>Link 1</v>
      </c>
      <c r="Z412" s="43" t="str">
        <f>IF(CCUS_Projects_Database!$S411&lt;&gt;"",HYPERLINK(CCUS_Projects_Database!$S411,"Link 2"),"")</f>
        <v>Link 2</v>
      </c>
      <c r="AA412" s="43" t="str">
        <f>IF(CCUS_Projects_Database!$T411&lt;&gt;"",HYPERLINK(CCUS_Projects_Database!$T411,"Link 3"),"")</f>
        <v>Link 3</v>
      </c>
      <c r="AB412" s="43" t="str">
        <f>IF(CCUS_Projects_Database!$U411&lt;&gt;"",HYPERLINK(CCUS_Projects_Database!$U411,"Link 4"),"")</f>
        <v/>
      </c>
      <c r="AC412" s="43" t="str">
        <f>IF(CCUS_Projects_Database!$V411&lt;&gt;"",HYPERLINK(CCUS_Projects_Database!$V411,"Link 5"),"")</f>
        <v/>
      </c>
      <c r="AD412" s="43" t="str">
        <f>IF(CCUS_Projects_Database!$W411&lt;&gt;"",HYPERLINK(CCUS_Projects_Database!$W411,"Link 6"),"")</f>
        <v/>
      </c>
      <c r="AE412" s="43" t="str">
        <f>IF(CCUS_Projects_Database!$X411&lt;&gt;"",HYPERLINK(CCUS_Projects_Database!$X411,"Link 7"),"")</f>
        <v/>
      </c>
    </row>
    <row r="413" ht="15.75" customHeight="1">
      <c r="A413" s="44" t="s">
        <v>1606</v>
      </c>
      <c r="B413" s="45">
        <v>1080.0</v>
      </c>
      <c r="C413" s="45" t="s">
        <v>299</v>
      </c>
      <c r="D413" s="46" t="s">
        <v>1607</v>
      </c>
      <c r="E413" s="45" t="s">
        <v>8</v>
      </c>
      <c r="F413" s="45">
        <v>2021.0</v>
      </c>
      <c r="G413" s="45" t="s">
        <v>124</v>
      </c>
      <c r="H413" s="45">
        <v>2030.0</v>
      </c>
      <c r="I413" s="45" t="s">
        <v>124</v>
      </c>
      <c r="J413" s="45" t="s">
        <v>28</v>
      </c>
      <c r="K413" s="47" t="s">
        <v>124</v>
      </c>
      <c r="L413" s="52">
        <v>0.53</v>
      </c>
      <c r="M413" s="47">
        <v>0.9</v>
      </c>
      <c r="N413" s="45" t="s">
        <v>46</v>
      </c>
      <c r="O413" s="48" t="s">
        <v>77</v>
      </c>
      <c r="P413" s="49" t="s">
        <v>124</v>
      </c>
      <c r="Q413" s="45" t="s">
        <v>125</v>
      </c>
      <c r="R413" s="49" t="s">
        <v>1608</v>
      </c>
      <c r="S413" s="49" t="s">
        <v>124</v>
      </c>
      <c r="T413" s="49" t="s">
        <v>124</v>
      </c>
      <c r="U413" s="49" t="s">
        <v>124</v>
      </c>
      <c r="V413" s="49" t="s">
        <v>124</v>
      </c>
      <c r="W413" s="49" t="s">
        <v>124</v>
      </c>
      <c r="X413" s="49" t="s">
        <v>124</v>
      </c>
      <c r="Y413" s="50" t="str">
        <f>IF(CCUS_Projects_Database!$R412&lt;&gt;"",HYPERLINK(CCUS_Projects_Database!$R412,"Link 1"),"")</f>
        <v>Link 1</v>
      </c>
      <c r="Z413" s="50" t="str">
        <f>IF(CCUS_Projects_Database!$S412&lt;&gt;"",HYPERLINK(CCUS_Projects_Database!$S412,"Link 2"),"")</f>
        <v/>
      </c>
      <c r="AA413" s="50" t="str">
        <f>IF(CCUS_Projects_Database!$T412&lt;&gt;"",HYPERLINK(CCUS_Projects_Database!$T412,"Link 3"),"")</f>
        <v/>
      </c>
      <c r="AB413" s="50" t="str">
        <f>IF(CCUS_Projects_Database!$U412&lt;&gt;"",HYPERLINK(CCUS_Projects_Database!$U412,"Link 4"),"")</f>
        <v/>
      </c>
      <c r="AC413" s="50" t="str">
        <f>IF(CCUS_Projects_Database!$V412&lt;&gt;"",HYPERLINK(CCUS_Projects_Database!$V412,"Link 5"),"")</f>
        <v/>
      </c>
      <c r="AD413" s="50" t="str">
        <f>IF(CCUS_Projects_Database!$W412&lt;&gt;"",HYPERLINK(CCUS_Projects_Database!$W412,"Link 6"),"")</f>
        <v/>
      </c>
      <c r="AE413" s="50" t="str">
        <f>IF(CCUS_Projects_Database!$X412&lt;&gt;"",HYPERLINK(CCUS_Projects_Database!$X412,"Link 7"),"")</f>
        <v/>
      </c>
    </row>
    <row r="414" ht="15.75" customHeight="1">
      <c r="A414" s="37" t="s">
        <v>1609</v>
      </c>
      <c r="B414" s="38">
        <v>208.0</v>
      </c>
      <c r="C414" s="38" t="s">
        <v>141</v>
      </c>
      <c r="D414" s="39" t="s">
        <v>1610</v>
      </c>
      <c r="E414" s="38" t="s">
        <v>8</v>
      </c>
      <c r="F414" s="38">
        <v>2021.0</v>
      </c>
      <c r="G414" s="38">
        <v>2024.0</v>
      </c>
      <c r="H414" s="38">
        <v>2025.0</v>
      </c>
      <c r="I414" s="38" t="s">
        <v>124</v>
      </c>
      <c r="J414" s="38" t="s">
        <v>28</v>
      </c>
      <c r="K414" s="40" t="s">
        <v>124</v>
      </c>
      <c r="L414" s="51">
        <v>0.4</v>
      </c>
      <c r="M414" s="40">
        <v>0.572</v>
      </c>
      <c r="N414" s="38" t="s">
        <v>50</v>
      </c>
      <c r="O414" s="41" t="s">
        <v>71</v>
      </c>
      <c r="P414" s="42" t="s">
        <v>567</v>
      </c>
      <c r="Q414" s="38" t="s">
        <v>143</v>
      </c>
      <c r="R414" s="42" t="s">
        <v>945</v>
      </c>
      <c r="S414" s="42" t="s">
        <v>946</v>
      </c>
      <c r="T414" s="42" t="s">
        <v>947</v>
      </c>
      <c r="U414" s="42" t="s">
        <v>124</v>
      </c>
      <c r="V414" s="42" t="s">
        <v>124</v>
      </c>
      <c r="W414" s="42" t="s">
        <v>124</v>
      </c>
      <c r="X414" s="42" t="s">
        <v>124</v>
      </c>
      <c r="Y414" s="43" t="str">
        <f>IF(CCUS_Projects_Database!$R413&lt;&gt;"",HYPERLINK(CCUS_Projects_Database!$R413,"Link 1"),"")</f>
        <v>Link 1</v>
      </c>
      <c r="Z414" s="43" t="str">
        <f>IF(CCUS_Projects_Database!$S413&lt;&gt;"",HYPERLINK(CCUS_Projects_Database!$S413,"Link 2"),"")</f>
        <v/>
      </c>
      <c r="AA414" s="43" t="str">
        <f>IF(CCUS_Projects_Database!$T413&lt;&gt;"",HYPERLINK(CCUS_Projects_Database!$T413,"Link 3"),"")</f>
        <v/>
      </c>
      <c r="AB414" s="43" t="str">
        <f>IF(CCUS_Projects_Database!$U413&lt;&gt;"",HYPERLINK(CCUS_Projects_Database!$U413,"Link 4"),"")</f>
        <v/>
      </c>
      <c r="AC414" s="43" t="str">
        <f>IF(CCUS_Projects_Database!$V413&lt;&gt;"",HYPERLINK(CCUS_Projects_Database!$V413,"Link 5"),"")</f>
        <v/>
      </c>
      <c r="AD414" s="43" t="str">
        <f>IF(CCUS_Projects_Database!$W413&lt;&gt;"",HYPERLINK(CCUS_Projects_Database!$W413,"Link 6"),"")</f>
        <v/>
      </c>
      <c r="AE414" s="43" t="str">
        <f>IF(CCUS_Projects_Database!$X413&lt;&gt;"",HYPERLINK(CCUS_Projects_Database!$X413,"Link 7"),"")</f>
        <v/>
      </c>
    </row>
    <row r="415" ht="15.75" customHeight="1">
      <c r="A415" s="44" t="s">
        <v>1611</v>
      </c>
      <c r="B415" s="45">
        <v>663.0</v>
      </c>
      <c r="C415" s="45" t="s">
        <v>141</v>
      </c>
      <c r="D415" s="46" t="s">
        <v>1612</v>
      </c>
      <c r="E415" s="45" t="s">
        <v>6</v>
      </c>
      <c r="F415" s="45">
        <v>2022.0</v>
      </c>
      <c r="G415" s="45" t="s">
        <v>124</v>
      </c>
      <c r="H415" s="45" t="s">
        <v>124</v>
      </c>
      <c r="I415" s="45" t="s">
        <v>124</v>
      </c>
      <c r="J415" s="45" t="s">
        <v>28</v>
      </c>
      <c r="K415" s="47" t="s">
        <v>124</v>
      </c>
      <c r="L415" s="52">
        <v>0.4</v>
      </c>
      <c r="M415" s="47">
        <v>0.4</v>
      </c>
      <c r="N415" s="45" t="s">
        <v>50</v>
      </c>
      <c r="O415" s="48" t="s">
        <v>71</v>
      </c>
      <c r="P415" s="49" t="s">
        <v>124</v>
      </c>
      <c r="Q415" s="45" t="s">
        <v>143</v>
      </c>
      <c r="R415" s="49" t="s">
        <v>1613</v>
      </c>
      <c r="S415" s="49" t="s">
        <v>1614</v>
      </c>
      <c r="T415" s="49" t="s">
        <v>124</v>
      </c>
      <c r="U415" s="49" t="s">
        <v>124</v>
      </c>
      <c r="V415" s="49" t="s">
        <v>124</v>
      </c>
      <c r="W415" s="49" t="s">
        <v>124</v>
      </c>
      <c r="X415" s="49" t="s">
        <v>124</v>
      </c>
      <c r="Y415" s="50" t="str">
        <f>IF(CCUS_Projects_Database!$R414&lt;&gt;"",HYPERLINK(CCUS_Projects_Database!$R414,"Link 1"),"")</f>
        <v>Link 1</v>
      </c>
      <c r="Z415" s="50" t="str">
        <f>IF(CCUS_Projects_Database!$S414&lt;&gt;"",HYPERLINK(CCUS_Projects_Database!$S414,"Link 2"),"")</f>
        <v>Link 2</v>
      </c>
      <c r="AA415" s="50" t="str">
        <f>IF(CCUS_Projects_Database!$T414&lt;&gt;"",HYPERLINK(CCUS_Projects_Database!$T414,"Link 3"),"")</f>
        <v>Link 3</v>
      </c>
      <c r="AB415" s="50" t="str">
        <f>IF(CCUS_Projects_Database!$U414&lt;&gt;"",HYPERLINK(CCUS_Projects_Database!$U414,"Link 4"),"")</f>
        <v/>
      </c>
      <c r="AC415" s="50" t="str">
        <f>IF(CCUS_Projects_Database!$V414&lt;&gt;"",HYPERLINK(CCUS_Projects_Database!$V414,"Link 5"),"")</f>
        <v/>
      </c>
      <c r="AD415" s="50" t="str">
        <f>IF(CCUS_Projects_Database!$W414&lt;&gt;"",HYPERLINK(CCUS_Projects_Database!$W414,"Link 6"),"")</f>
        <v/>
      </c>
      <c r="AE415" s="50" t="str">
        <f>IF(CCUS_Projects_Database!$X414&lt;&gt;"",HYPERLINK(CCUS_Projects_Database!$X414,"Link 7"),"")</f>
        <v/>
      </c>
    </row>
    <row r="416" ht="15.75" customHeight="1">
      <c r="A416" s="37" t="s">
        <v>1615</v>
      </c>
      <c r="B416" s="38">
        <v>209.0</v>
      </c>
      <c r="C416" s="38" t="s">
        <v>239</v>
      </c>
      <c r="D416" s="39" t="s">
        <v>1616</v>
      </c>
      <c r="E416" s="38" t="s">
        <v>16</v>
      </c>
      <c r="F416" s="38" t="s">
        <v>124</v>
      </c>
      <c r="G416" s="38" t="s">
        <v>124</v>
      </c>
      <c r="H416" s="38">
        <v>2017.0</v>
      </c>
      <c r="I416" s="38" t="s">
        <v>124</v>
      </c>
      <c r="J416" s="38" t="s">
        <v>32</v>
      </c>
      <c r="K416" s="40" t="s">
        <v>124</v>
      </c>
      <c r="L416" s="51">
        <v>0.185</v>
      </c>
      <c r="M416" s="40">
        <v>0.4</v>
      </c>
      <c r="N416" s="38" t="s">
        <v>54</v>
      </c>
      <c r="O416" s="41" t="s">
        <v>75</v>
      </c>
      <c r="P416" s="42" t="s">
        <v>124</v>
      </c>
      <c r="Q416" s="38" t="s">
        <v>143</v>
      </c>
      <c r="R416" s="42" t="s">
        <v>1617</v>
      </c>
      <c r="S416" s="42" t="s">
        <v>1618</v>
      </c>
      <c r="T416" s="42" t="s">
        <v>124</v>
      </c>
      <c r="U416" s="42" t="s">
        <v>124</v>
      </c>
      <c r="V416" s="42" t="s">
        <v>124</v>
      </c>
      <c r="W416" s="42" t="s">
        <v>124</v>
      </c>
      <c r="X416" s="42" t="s">
        <v>124</v>
      </c>
      <c r="Y416" s="43" t="str">
        <f>IF(CCUS_Projects_Database!$R415&lt;&gt;"",HYPERLINK(CCUS_Projects_Database!$R415,"Link 1"),"")</f>
        <v>Link 1</v>
      </c>
      <c r="Z416" s="43" t="str">
        <f>IF(CCUS_Projects_Database!$S415&lt;&gt;"",HYPERLINK(CCUS_Projects_Database!$S415,"Link 2"),"")</f>
        <v>Link 2</v>
      </c>
      <c r="AA416" s="43" t="str">
        <f>IF(CCUS_Projects_Database!$T415&lt;&gt;"",HYPERLINK(CCUS_Projects_Database!$T415,"Link 3"),"")</f>
        <v/>
      </c>
      <c r="AB416" s="43" t="str">
        <f>IF(CCUS_Projects_Database!$U415&lt;&gt;"",HYPERLINK(CCUS_Projects_Database!$U415,"Link 4"),"")</f>
        <v/>
      </c>
      <c r="AC416" s="43" t="str">
        <f>IF(CCUS_Projects_Database!$V415&lt;&gt;"",HYPERLINK(CCUS_Projects_Database!$V415,"Link 5"),"")</f>
        <v/>
      </c>
      <c r="AD416" s="43" t="str">
        <f>IF(CCUS_Projects_Database!$W415&lt;&gt;"",HYPERLINK(CCUS_Projects_Database!$W415,"Link 6"),"")</f>
        <v/>
      </c>
      <c r="AE416" s="43" t="str">
        <f>IF(CCUS_Projects_Database!$X415&lt;&gt;"",HYPERLINK(CCUS_Projects_Database!$X415,"Link 7"),"")</f>
        <v/>
      </c>
    </row>
    <row r="417" ht="15.75" customHeight="1">
      <c r="A417" s="44" t="s">
        <v>1619</v>
      </c>
      <c r="B417" s="45">
        <v>555.0</v>
      </c>
      <c r="C417" s="45" t="s">
        <v>247</v>
      </c>
      <c r="D417" s="46" t="s">
        <v>1620</v>
      </c>
      <c r="E417" s="45" t="s">
        <v>8</v>
      </c>
      <c r="F417" s="45">
        <v>2021.0</v>
      </c>
      <c r="G417" s="45" t="s">
        <v>124</v>
      </c>
      <c r="H417" s="45">
        <v>2024.0</v>
      </c>
      <c r="I417" s="45" t="s">
        <v>124</v>
      </c>
      <c r="J417" s="45" t="s">
        <v>28</v>
      </c>
      <c r="K417" s="47">
        <v>1.0</v>
      </c>
      <c r="L417" s="52">
        <v>0.8</v>
      </c>
      <c r="M417" s="47">
        <v>0.184</v>
      </c>
      <c r="N417" s="45" t="s">
        <v>56</v>
      </c>
      <c r="O417" s="48" t="s">
        <v>77</v>
      </c>
      <c r="P417" s="49" t="s">
        <v>124</v>
      </c>
      <c r="Q417" s="45" t="s">
        <v>125</v>
      </c>
      <c r="R417" s="49" t="s">
        <v>1621</v>
      </c>
      <c r="S417" s="49" t="s">
        <v>1622</v>
      </c>
      <c r="T417" s="49" t="s">
        <v>1623</v>
      </c>
      <c r="U417" s="49" t="s">
        <v>124</v>
      </c>
      <c r="V417" s="49" t="s">
        <v>124</v>
      </c>
      <c r="W417" s="49" t="s">
        <v>124</v>
      </c>
      <c r="X417" s="49" t="s">
        <v>124</v>
      </c>
      <c r="Y417" s="50" t="str">
        <f>IF(CCUS_Projects_Database!$R416&lt;&gt;"",HYPERLINK(CCUS_Projects_Database!$R416,"Link 1"),"")</f>
        <v>Link 1</v>
      </c>
      <c r="Z417" s="50" t="str">
        <f>IF(CCUS_Projects_Database!$S416&lt;&gt;"",HYPERLINK(CCUS_Projects_Database!$S416,"Link 2"),"")</f>
        <v>Link 2</v>
      </c>
      <c r="AA417" s="50" t="str">
        <f>IF(CCUS_Projects_Database!$T416&lt;&gt;"",HYPERLINK(CCUS_Projects_Database!$T416,"Link 3"),"")</f>
        <v/>
      </c>
      <c r="AB417" s="50" t="str">
        <f>IF(CCUS_Projects_Database!$U416&lt;&gt;"",HYPERLINK(CCUS_Projects_Database!$U416,"Link 4"),"")</f>
        <v/>
      </c>
      <c r="AC417" s="50" t="str">
        <f>IF(CCUS_Projects_Database!$V416&lt;&gt;"",HYPERLINK(CCUS_Projects_Database!$V416,"Link 5"),"")</f>
        <v/>
      </c>
      <c r="AD417" s="50" t="str">
        <f>IF(CCUS_Projects_Database!$W416&lt;&gt;"",HYPERLINK(CCUS_Projects_Database!$W416,"Link 6"),"")</f>
        <v/>
      </c>
      <c r="AE417" s="50" t="str">
        <f>IF(CCUS_Projects_Database!$X416&lt;&gt;"",HYPERLINK(CCUS_Projects_Database!$X416,"Link 7"),"")</f>
        <v/>
      </c>
    </row>
    <row r="418" ht="15.75" customHeight="1">
      <c r="A418" s="37" t="s">
        <v>1624</v>
      </c>
      <c r="B418" s="38">
        <v>556.0</v>
      </c>
      <c r="C418" s="38" t="s">
        <v>247</v>
      </c>
      <c r="D418" s="39" t="s">
        <v>1620</v>
      </c>
      <c r="E418" s="38" t="s">
        <v>8</v>
      </c>
      <c r="F418" s="38">
        <v>2021.0</v>
      </c>
      <c r="G418" s="38" t="s">
        <v>124</v>
      </c>
      <c r="H418" s="38">
        <v>2028.0</v>
      </c>
      <c r="I418" s="38" t="s">
        <v>124</v>
      </c>
      <c r="J418" s="38" t="s">
        <v>28</v>
      </c>
      <c r="K418" s="40">
        <v>2.0</v>
      </c>
      <c r="L418" s="51">
        <v>1.5</v>
      </c>
      <c r="M418" s="40">
        <v>0.8</v>
      </c>
      <c r="N418" s="38" t="s">
        <v>56</v>
      </c>
      <c r="O418" s="41" t="s">
        <v>77</v>
      </c>
      <c r="P418" s="42" t="s">
        <v>124</v>
      </c>
      <c r="Q418" s="38" t="s">
        <v>125</v>
      </c>
      <c r="R418" s="42" t="s">
        <v>1621</v>
      </c>
      <c r="S418" s="42" t="s">
        <v>1622</v>
      </c>
      <c r="T418" s="42" t="s">
        <v>1623</v>
      </c>
      <c r="U418" s="42" t="s">
        <v>124</v>
      </c>
      <c r="V418" s="42" t="s">
        <v>124</v>
      </c>
      <c r="W418" s="42" t="s">
        <v>124</v>
      </c>
      <c r="X418" s="42" t="s">
        <v>124</v>
      </c>
      <c r="Y418" s="43" t="str">
        <f>IF(CCUS_Projects_Database!$R417&lt;&gt;"",HYPERLINK(CCUS_Projects_Database!$R417,"Link 1"),"")</f>
        <v>Link 1</v>
      </c>
      <c r="Z418" s="43" t="str">
        <f>IF(CCUS_Projects_Database!$S417&lt;&gt;"",HYPERLINK(CCUS_Projects_Database!$S417,"Link 2"),"")</f>
        <v>Link 2</v>
      </c>
      <c r="AA418" s="43" t="str">
        <f>IF(CCUS_Projects_Database!$T417&lt;&gt;"",HYPERLINK(CCUS_Projects_Database!$T417,"Link 3"),"")</f>
        <v>Link 3</v>
      </c>
      <c r="AB418" s="43" t="str">
        <f>IF(CCUS_Projects_Database!$U417&lt;&gt;"",HYPERLINK(CCUS_Projects_Database!$U417,"Link 4"),"")</f>
        <v/>
      </c>
      <c r="AC418" s="43" t="str">
        <f>IF(CCUS_Projects_Database!$V417&lt;&gt;"",HYPERLINK(CCUS_Projects_Database!$V417,"Link 5"),"")</f>
        <v/>
      </c>
      <c r="AD418" s="43" t="str">
        <f>IF(CCUS_Projects_Database!$W417&lt;&gt;"",HYPERLINK(CCUS_Projects_Database!$W417,"Link 6"),"")</f>
        <v/>
      </c>
      <c r="AE418" s="43" t="str">
        <f>IF(CCUS_Projects_Database!$X417&lt;&gt;"",HYPERLINK(CCUS_Projects_Database!$X417,"Link 7"),"")</f>
        <v/>
      </c>
    </row>
    <row r="419" ht="15.75" customHeight="1">
      <c r="A419" s="44" t="s">
        <v>1625</v>
      </c>
      <c r="B419" s="45">
        <v>593.0</v>
      </c>
      <c r="C419" s="45" t="s">
        <v>224</v>
      </c>
      <c r="D419" s="46" t="s">
        <v>1626</v>
      </c>
      <c r="E419" s="45" t="s">
        <v>16</v>
      </c>
      <c r="F419" s="45">
        <v>2021.0</v>
      </c>
      <c r="G419" s="45">
        <v>2022.0</v>
      </c>
      <c r="H419" s="45">
        <v>2024.0</v>
      </c>
      <c r="I419" s="45" t="s">
        <v>124</v>
      </c>
      <c r="J419" s="45" t="s">
        <v>30</v>
      </c>
      <c r="K419" s="47" t="s">
        <v>124</v>
      </c>
      <c r="L419" s="47"/>
      <c r="M419" s="47">
        <v>1.5</v>
      </c>
      <c r="N419" s="45" t="s">
        <v>46</v>
      </c>
      <c r="O419" s="48" t="s">
        <v>75</v>
      </c>
      <c r="P419" s="49" t="s">
        <v>124</v>
      </c>
      <c r="Q419" s="45" t="s">
        <v>148</v>
      </c>
      <c r="R419" s="49" t="s">
        <v>1627</v>
      </c>
      <c r="S419" s="49" t="s">
        <v>1628</v>
      </c>
      <c r="T419" s="49" t="s">
        <v>1629</v>
      </c>
      <c r="U419" s="49" t="s">
        <v>124</v>
      </c>
      <c r="V419" s="49" t="s">
        <v>124</v>
      </c>
      <c r="W419" s="49" t="s">
        <v>124</v>
      </c>
      <c r="X419" s="49" t="s">
        <v>124</v>
      </c>
      <c r="Y419" s="50" t="str">
        <f>IF(CCUS_Projects_Database!$R418&lt;&gt;"",HYPERLINK(CCUS_Projects_Database!$R418,"Link 1"),"")</f>
        <v>Link 1</v>
      </c>
      <c r="Z419" s="50" t="str">
        <f>IF(CCUS_Projects_Database!$S418&lt;&gt;"",HYPERLINK(CCUS_Projects_Database!$S418,"Link 2"),"")</f>
        <v>Link 2</v>
      </c>
      <c r="AA419" s="50" t="str">
        <f>IF(CCUS_Projects_Database!$T418&lt;&gt;"",HYPERLINK(CCUS_Projects_Database!$T418,"Link 3"),"")</f>
        <v>Link 3</v>
      </c>
      <c r="AB419" s="50" t="str">
        <f>IF(CCUS_Projects_Database!$U418&lt;&gt;"",HYPERLINK(CCUS_Projects_Database!$U418,"Link 4"),"")</f>
        <v/>
      </c>
      <c r="AC419" s="50" t="str">
        <f>IF(CCUS_Projects_Database!$V418&lt;&gt;"",HYPERLINK(CCUS_Projects_Database!$V418,"Link 5"),"")</f>
        <v/>
      </c>
      <c r="AD419" s="50" t="str">
        <f>IF(CCUS_Projects_Database!$W418&lt;&gt;"",HYPERLINK(CCUS_Projects_Database!$W418,"Link 6"),"")</f>
        <v/>
      </c>
      <c r="AE419" s="50" t="str">
        <f>IF(CCUS_Projects_Database!$X418&lt;&gt;"",HYPERLINK(CCUS_Projects_Database!$X418,"Link 7"),"")</f>
        <v/>
      </c>
    </row>
    <row r="420" ht="15.75" customHeight="1">
      <c r="A420" s="37" t="s">
        <v>1630</v>
      </c>
      <c r="B420" s="38">
        <v>856.0</v>
      </c>
      <c r="C420" s="38" t="s">
        <v>157</v>
      </c>
      <c r="D420" s="39" t="s">
        <v>1631</v>
      </c>
      <c r="E420" s="38" t="s">
        <v>12</v>
      </c>
      <c r="F420" s="38">
        <v>2023.0</v>
      </c>
      <c r="G420" s="38" t="s">
        <v>124</v>
      </c>
      <c r="H420" s="38" t="s">
        <v>124</v>
      </c>
      <c r="I420" s="38" t="s">
        <v>124</v>
      </c>
      <c r="J420" s="38" t="s">
        <v>28</v>
      </c>
      <c r="K420" s="40" t="s">
        <v>124</v>
      </c>
      <c r="L420" s="51">
        <v>0.295</v>
      </c>
      <c r="M420" s="40" t="s">
        <v>124</v>
      </c>
      <c r="N420" s="38" t="s">
        <v>12</v>
      </c>
      <c r="O420" s="41" t="s">
        <v>71</v>
      </c>
      <c r="P420" s="42" t="s">
        <v>124</v>
      </c>
      <c r="Q420" s="38" t="s">
        <v>125</v>
      </c>
      <c r="R420" s="42" t="s">
        <v>1204</v>
      </c>
      <c r="S420" s="42" t="s">
        <v>124</v>
      </c>
      <c r="T420" s="42" t="s">
        <v>124</v>
      </c>
      <c r="U420" s="42" t="s">
        <v>124</v>
      </c>
      <c r="V420" s="42" t="s">
        <v>124</v>
      </c>
      <c r="W420" s="42" t="s">
        <v>124</v>
      </c>
      <c r="X420" s="42" t="s">
        <v>124</v>
      </c>
      <c r="Y420" s="43" t="str">
        <f>IF(CCUS_Projects_Database!$R419&lt;&gt;"",HYPERLINK(CCUS_Projects_Database!$R419,"Link 1"),"")</f>
        <v>Link 1</v>
      </c>
      <c r="Z420" s="43" t="str">
        <f>IF(CCUS_Projects_Database!$S419&lt;&gt;"",HYPERLINK(CCUS_Projects_Database!$S419,"Link 2"),"")</f>
        <v>Link 2</v>
      </c>
      <c r="AA420" s="43" t="str">
        <f>IF(CCUS_Projects_Database!$T419&lt;&gt;"",HYPERLINK(CCUS_Projects_Database!$T419,"Link 3"),"")</f>
        <v>Link 3</v>
      </c>
      <c r="AB420" s="43" t="str">
        <f>IF(CCUS_Projects_Database!$U419&lt;&gt;"",HYPERLINK(CCUS_Projects_Database!$U419,"Link 4"),"")</f>
        <v/>
      </c>
      <c r="AC420" s="43" t="str">
        <f>IF(CCUS_Projects_Database!$V419&lt;&gt;"",HYPERLINK(CCUS_Projects_Database!$V419,"Link 5"),"")</f>
        <v/>
      </c>
      <c r="AD420" s="43" t="str">
        <f>IF(CCUS_Projects_Database!$W419&lt;&gt;"",HYPERLINK(CCUS_Projects_Database!$W419,"Link 6"),"")</f>
        <v/>
      </c>
      <c r="AE420" s="43" t="str">
        <f>IF(CCUS_Projects_Database!$X419&lt;&gt;"",HYPERLINK(CCUS_Projects_Database!$X419,"Link 7"),"")</f>
        <v/>
      </c>
    </row>
    <row r="421" ht="15.75" customHeight="1">
      <c r="A421" s="44" t="s">
        <v>1632</v>
      </c>
      <c r="B421" s="45">
        <v>214.0</v>
      </c>
      <c r="C421" s="45" t="s">
        <v>141</v>
      </c>
      <c r="D421" s="46" t="s">
        <v>1633</v>
      </c>
      <c r="E421" s="45" t="s">
        <v>8</v>
      </c>
      <c r="F421" s="45">
        <v>2021.0</v>
      </c>
      <c r="G421" s="45">
        <v>2024.0</v>
      </c>
      <c r="H421" s="45">
        <v>2025.0</v>
      </c>
      <c r="I421" s="45" t="s">
        <v>124</v>
      </c>
      <c r="J421" s="45" t="s">
        <v>28</v>
      </c>
      <c r="K421" s="47" t="s">
        <v>124</v>
      </c>
      <c r="L421" s="52">
        <v>1.3</v>
      </c>
      <c r="M421" s="47">
        <v>0.315</v>
      </c>
      <c r="N421" s="45" t="s">
        <v>50</v>
      </c>
      <c r="O421" s="48" t="s">
        <v>71</v>
      </c>
      <c r="P421" s="49" t="s">
        <v>567</v>
      </c>
      <c r="Q421" s="45" t="s">
        <v>143</v>
      </c>
      <c r="R421" s="49" t="s">
        <v>945</v>
      </c>
      <c r="S421" s="49" t="s">
        <v>946</v>
      </c>
      <c r="T421" s="49" t="s">
        <v>947</v>
      </c>
      <c r="U421" s="49" t="s">
        <v>124</v>
      </c>
      <c r="V421" s="49" t="s">
        <v>124</v>
      </c>
      <c r="W421" s="49" t="s">
        <v>124</v>
      </c>
      <c r="X421" s="49" t="s">
        <v>124</v>
      </c>
      <c r="Y421" s="50" t="str">
        <f>IF(CCUS_Projects_Database!$R420&lt;&gt;"",HYPERLINK(CCUS_Projects_Database!$R420,"Link 1"),"")</f>
        <v>Link 1</v>
      </c>
      <c r="Z421" s="50" t="str">
        <f>IF(CCUS_Projects_Database!$S420&lt;&gt;"",HYPERLINK(CCUS_Projects_Database!$S420,"Link 2"),"")</f>
        <v/>
      </c>
      <c r="AA421" s="50" t="str">
        <f>IF(CCUS_Projects_Database!$T420&lt;&gt;"",HYPERLINK(CCUS_Projects_Database!$T420,"Link 3"),"")</f>
        <v/>
      </c>
      <c r="AB421" s="50" t="str">
        <f>IF(CCUS_Projects_Database!$U420&lt;&gt;"",HYPERLINK(CCUS_Projects_Database!$U420,"Link 4"),"")</f>
        <v/>
      </c>
      <c r="AC421" s="50" t="str">
        <f>IF(CCUS_Projects_Database!$V420&lt;&gt;"",HYPERLINK(CCUS_Projects_Database!$V420,"Link 5"),"")</f>
        <v/>
      </c>
      <c r="AD421" s="50" t="str">
        <f>IF(CCUS_Projects_Database!$W420&lt;&gt;"",HYPERLINK(CCUS_Projects_Database!$W420,"Link 6"),"")</f>
        <v/>
      </c>
      <c r="AE421" s="50" t="str">
        <f>IF(CCUS_Projects_Database!$X420&lt;&gt;"",HYPERLINK(CCUS_Projects_Database!$X420,"Link 7"),"")</f>
        <v/>
      </c>
    </row>
    <row r="422" ht="15.75" customHeight="1">
      <c r="A422" s="37" t="s">
        <v>1634</v>
      </c>
      <c r="B422" s="38">
        <v>217.0</v>
      </c>
      <c r="C422" s="38" t="s">
        <v>204</v>
      </c>
      <c r="D422" s="39" t="s">
        <v>1635</v>
      </c>
      <c r="E422" s="38" t="s">
        <v>8</v>
      </c>
      <c r="F422" s="38">
        <v>2017.0</v>
      </c>
      <c r="G422" s="38" t="s">
        <v>124</v>
      </c>
      <c r="H422" s="38">
        <v>2025.0</v>
      </c>
      <c r="I422" s="38" t="s">
        <v>124</v>
      </c>
      <c r="J422" s="38" t="s">
        <v>28</v>
      </c>
      <c r="K422" s="40" t="s">
        <v>124</v>
      </c>
      <c r="L422" s="51">
        <v>1.3</v>
      </c>
      <c r="M422" s="40">
        <v>1.3</v>
      </c>
      <c r="N422" s="38" t="s">
        <v>136</v>
      </c>
      <c r="O422" s="41" t="s">
        <v>71</v>
      </c>
      <c r="P422" s="42" t="s">
        <v>375</v>
      </c>
      <c r="Q422" s="38" t="s">
        <v>125</v>
      </c>
      <c r="R422" s="42" t="s">
        <v>1636</v>
      </c>
      <c r="S422" s="42" t="s">
        <v>1637</v>
      </c>
      <c r="T422" s="42" t="s">
        <v>124</v>
      </c>
      <c r="U422" s="42" t="s">
        <v>124</v>
      </c>
      <c r="V422" s="42" t="s">
        <v>124</v>
      </c>
      <c r="W422" s="42" t="s">
        <v>124</v>
      </c>
      <c r="X422" s="42" t="s">
        <v>124</v>
      </c>
      <c r="Y422" s="43" t="str">
        <f>IF(CCUS_Projects_Database!$R422&lt;&gt;"",HYPERLINK(CCUS_Projects_Database!$R422,"Link 1"),"")</f>
        <v>Link 1</v>
      </c>
      <c r="Z422" s="43" t="str">
        <f>IF(CCUS_Projects_Database!$S422&lt;&gt;"",HYPERLINK(CCUS_Projects_Database!$S422,"Link 2"),"")</f>
        <v>Link 2</v>
      </c>
      <c r="AA422" s="43" t="str">
        <f>IF(CCUS_Projects_Database!$T422&lt;&gt;"",HYPERLINK(CCUS_Projects_Database!$T422,"Link 3"),"")</f>
        <v/>
      </c>
      <c r="AB422" s="43" t="str">
        <f>IF(CCUS_Projects_Database!$U422&lt;&gt;"",HYPERLINK(CCUS_Projects_Database!$U422,"Link 4"),"")</f>
        <v/>
      </c>
      <c r="AC422" s="43" t="str">
        <f>IF(CCUS_Projects_Database!$V422&lt;&gt;"",HYPERLINK(CCUS_Projects_Database!$V422,"Link 5"),"")</f>
        <v/>
      </c>
      <c r="AD422" s="43" t="str">
        <f>IF(CCUS_Projects_Database!$W422&lt;&gt;"",HYPERLINK(CCUS_Projects_Database!$W422,"Link 6"),"")</f>
        <v/>
      </c>
      <c r="AE422" s="43" t="str">
        <f>IF(CCUS_Projects_Database!$X422&lt;&gt;"",HYPERLINK(CCUS_Projects_Database!$X422,"Link 7"),"")</f>
        <v/>
      </c>
    </row>
    <row r="423" ht="15.75" customHeight="1">
      <c r="A423" s="44" t="s">
        <v>1638</v>
      </c>
      <c r="B423" s="45">
        <v>218.0</v>
      </c>
      <c r="C423" s="45" t="s">
        <v>181</v>
      </c>
      <c r="D423" s="46" t="s">
        <v>1639</v>
      </c>
      <c r="E423" s="45" t="s">
        <v>8</v>
      </c>
      <c r="F423" s="45">
        <v>2018.0</v>
      </c>
      <c r="G423" s="45" t="s">
        <v>124</v>
      </c>
      <c r="H423" s="45">
        <v>2030.0</v>
      </c>
      <c r="I423" s="45" t="s">
        <v>124</v>
      </c>
      <c r="J423" s="45" t="s">
        <v>28</v>
      </c>
      <c r="K423" s="47">
        <v>1.0</v>
      </c>
      <c r="L423" s="52">
        <v>3.095</v>
      </c>
      <c r="M423" s="47">
        <v>4.39</v>
      </c>
      <c r="N423" s="45" t="s">
        <v>136</v>
      </c>
      <c r="O423" s="48" t="s">
        <v>71</v>
      </c>
      <c r="P423" s="49" t="s">
        <v>690</v>
      </c>
      <c r="Q423" s="45" t="s">
        <v>184</v>
      </c>
      <c r="R423" s="49" t="s">
        <v>1640</v>
      </c>
      <c r="S423" s="49" t="s">
        <v>1641</v>
      </c>
      <c r="T423" s="49" t="s">
        <v>1642</v>
      </c>
      <c r="U423" s="49" t="s">
        <v>1643</v>
      </c>
      <c r="V423" s="49" t="s">
        <v>1644</v>
      </c>
      <c r="W423" s="49" t="s">
        <v>124</v>
      </c>
      <c r="X423" s="49" t="s">
        <v>124</v>
      </c>
      <c r="Y423" s="50" t="str">
        <f>IF(CCUS_Projects_Database!$R423&lt;&gt;"",HYPERLINK(CCUS_Projects_Database!$R423,"Link 1"),"")</f>
        <v>Link 1</v>
      </c>
      <c r="Z423" s="50" t="str">
        <f>IF(CCUS_Projects_Database!$S423&lt;&gt;"",HYPERLINK(CCUS_Projects_Database!$S423,"Link 2"),"")</f>
        <v>Link 2</v>
      </c>
      <c r="AA423" s="50" t="str">
        <f>IF(CCUS_Projects_Database!$T423&lt;&gt;"",HYPERLINK(CCUS_Projects_Database!$T423,"Link 3"),"")</f>
        <v>Link 3</v>
      </c>
      <c r="AB423" s="50" t="str">
        <f>IF(CCUS_Projects_Database!$U423&lt;&gt;"",HYPERLINK(CCUS_Projects_Database!$U423,"Link 4"),"")</f>
        <v>Link 4</v>
      </c>
      <c r="AC423" s="50" t="str">
        <f>IF(CCUS_Projects_Database!$V423&lt;&gt;"",HYPERLINK(CCUS_Projects_Database!$V423,"Link 5"),"")</f>
        <v>Link 5</v>
      </c>
      <c r="AD423" s="50" t="str">
        <f>IF(CCUS_Projects_Database!$W423&lt;&gt;"",HYPERLINK(CCUS_Projects_Database!$W423,"Link 6"),"")</f>
        <v/>
      </c>
      <c r="AE423" s="50" t="str">
        <f>IF(CCUS_Projects_Database!$X423&lt;&gt;"",HYPERLINK(CCUS_Projects_Database!$X423,"Link 7"),"")</f>
        <v/>
      </c>
    </row>
    <row r="424" ht="15.75" customHeight="1">
      <c r="A424" s="37" t="s">
        <v>1645</v>
      </c>
      <c r="B424" s="38">
        <v>220.0</v>
      </c>
      <c r="C424" s="38" t="s">
        <v>157</v>
      </c>
      <c r="D424" s="39" t="s">
        <v>1646</v>
      </c>
      <c r="E424" s="38" t="s">
        <v>8</v>
      </c>
      <c r="F424" s="38">
        <v>2020.0</v>
      </c>
      <c r="G424" s="38">
        <v>2024.0</v>
      </c>
      <c r="H424" s="38">
        <v>2028.0</v>
      </c>
      <c r="I424" s="38" t="s">
        <v>124</v>
      </c>
      <c r="J424" s="38" t="s">
        <v>28</v>
      </c>
      <c r="K424" s="40">
        <v>1.0</v>
      </c>
      <c r="L424" s="51">
        <v>0.89</v>
      </c>
      <c r="M424" s="40">
        <v>0.89</v>
      </c>
      <c r="N424" s="38" t="s">
        <v>136</v>
      </c>
      <c r="O424" s="41" t="s">
        <v>71</v>
      </c>
      <c r="P424" s="42" t="s">
        <v>281</v>
      </c>
      <c r="Q424" s="38" t="s">
        <v>125</v>
      </c>
      <c r="R424" s="42" t="s">
        <v>1647</v>
      </c>
      <c r="S424" s="42" t="s">
        <v>1648</v>
      </c>
      <c r="T424" s="42" t="s">
        <v>1649</v>
      </c>
      <c r="U424" s="42" t="s">
        <v>1650</v>
      </c>
      <c r="V424" s="42" t="s">
        <v>1651</v>
      </c>
      <c r="W424" s="42" t="s">
        <v>1652</v>
      </c>
      <c r="X424" s="42" t="s">
        <v>124</v>
      </c>
      <c r="Y424" s="43" t="str">
        <f>IF(CCUS_Projects_Database!$R424&lt;&gt;"",HYPERLINK(CCUS_Projects_Database!$R424,"Link 1"),"")</f>
        <v>Link 1</v>
      </c>
      <c r="Z424" s="43" t="str">
        <f>IF(CCUS_Projects_Database!$S424&lt;&gt;"",HYPERLINK(CCUS_Projects_Database!$S424,"Link 2"),"")</f>
        <v>Link 2</v>
      </c>
      <c r="AA424" s="43" t="str">
        <f>IF(CCUS_Projects_Database!$T424&lt;&gt;"",HYPERLINK(CCUS_Projects_Database!$T424,"Link 3"),"")</f>
        <v>Link 3</v>
      </c>
      <c r="AB424" s="43" t="str">
        <f>IF(CCUS_Projects_Database!$U424&lt;&gt;"",HYPERLINK(CCUS_Projects_Database!$U424,"Link 4"),"")</f>
        <v>Link 4</v>
      </c>
      <c r="AC424" s="43" t="str">
        <f>IF(CCUS_Projects_Database!$V424&lt;&gt;"",HYPERLINK(CCUS_Projects_Database!$V424,"Link 5"),"")</f>
        <v>Link 5</v>
      </c>
      <c r="AD424" s="43" t="str">
        <f>IF(CCUS_Projects_Database!$W424&lt;&gt;"",HYPERLINK(CCUS_Projects_Database!$W424,"Link 6"),"")</f>
        <v>Link 6</v>
      </c>
      <c r="AE424" s="43" t="str">
        <f>IF(CCUS_Projects_Database!$X424&lt;&gt;"",HYPERLINK(CCUS_Projects_Database!$X424,"Link 7"),"")</f>
        <v/>
      </c>
    </row>
    <row r="425" ht="15.75" customHeight="1">
      <c r="A425" s="44" t="s">
        <v>1653</v>
      </c>
      <c r="B425" s="45">
        <v>818.0</v>
      </c>
      <c r="C425" s="45" t="s">
        <v>157</v>
      </c>
      <c r="D425" s="46" t="s">
        <v>1646</v>
      </c>
      <c r="E425" s="45" t="s">
        <v>8</v>
      </c>
      <c r="F425" s="45">
        <v>2020.0</v>
      </c>
      <c r="G425" s="45" t="s">
        <v>124</v>
      </c>
      <c r="H425" s="45" t="s">
        <v>124</v>
      </c>
      <c r="I425" s="45" t="s">
        <v>124</v>
      </c>
      <c r="J425" s="45" t="s">
        <v>28</v>
      </c>
      <c r="K425" s="47">
        <v>2.0</v>
      </c>
      <c r="L425" s="52">
        <v>1.0</v>
      </c>
      <c r="M425" s="47">
        <v>1.0</v>
      </c>
      <c r="N425" s="45" t="s">
        <v>136</v>
      </c>
      <c r="O425" s="48" t="s">
        <v>71</v>
      </c>
      <c r="P425" s="49" t="s">
        <v>281</v>
      </c>
      <c r="Q425" s="45" t="s">
        <v>125</v>
      </c>
      <c r="R425" s="49" t="s">
        <v>124</v>
      </c>
      <c r="S425" s="49" t="s">
        <v>124</v>
      </c>
      <c r="T425" s="49" t="s">
        <v>124</v>
      </c>
      <c r="U425" s="49" t="s">
        <v>124</v>
      </c>
      <c r="V425" s="49" t="s">
        <v>124</v>
      </c>
      <c r="W425" s="49" t="s">
        <v>124</v>
      </c>
      <c r="X425" s="49" t="s">
        <v>124</v>
      </c>
      <c r="Y425" s="50" t="str">
        <f>IF(CCUS_Projects_Database!$R425&lt;&gt;"",HYPERLINK(CCUS_Projects_Database!$R425,"Link 1"),"")</f>
        <v/>
      </c>
      <c r="Z425" s="50" t="str">
        <f>IF(CCUS_Projects_Database!$S425&lt;&gt;"",HYPERLINK(CCUS_Projects_Database!$S425,"Link 2"),"")</f>
        <v/>
      </c>
      <c r="AA425" s="50" t="str">
        <f>IF(CCUS_Projects_Database!$T425&lt;&gt;"",HYPERLINK(CCUS_Projects_Database!$T425,"Link 3"),"")</f>
        <v/>
      </c>
      <c r="AB425" s="50" t="str">
        <f>IF(CCUS_Projects_Database!$U425&lt;&gt;"",HYPERLINK(CCUS_Projects_Database!$U425,"Link 4"),"")</f>
        <v/>
      </c>
      <c r="AC425" s="50" t="str">
        <f>IF(CCUS_Projects_Database!$V425&lt;&gt;"",HYPERLINK(CCUS_Projects_Database!$V425,"Link 5"),"")</f>
        <v/>
      </c>
      <c r="AD425" s="50" t="str">
        <f>IF(CCUS_Projects_Database!$W425&lt;&gt;"",HYPERLINK(CCUS_Projects_Database!$W425,"Link 6"),"")</f>
        <v/>
      </c>
      <c r="AE425" s="50" t="str">
        <f>IF(CCUS_Projects_Database!$X425&lt;&gt;"",HYPERLINK(CCUS_Projects_Database!$X425,"Link 7"),"")</f>
        <v/>
      </c>
    </row>
    <row r="426" ht="15.75" customHeight="1">
      <c r="A426" s="37" t="s">
        <v>1654</v>
      </c>
      <c r="B426" s="38">
        <v>379.0</v>
      </c>
      <c r="C426" s="38" t="s">
        <v>157</v>
      </c>
      <c r="D426" s="39" t="s">
        <v>1655</v>
      </c>
      <c r="E426" s="38" t="s">
        <v>8</v>
      </c>
      <c r="F426" s="38">
        <v>2019.0</v>
      </c>
      <c r="G426" s="38">
        <v>2024.0</v>
      </c>
      <c r="H426" s="38">
        <v>2027.0</v>
      </c>
      <c r="I426" s="38" t="s">
        <v>124</v>
      </c>
      <c r="J426" s="38" t="s">
        <v>28</v>
      </c>
      <c r="K426" s="40">
        <v>1.0</v>
      </c>
      <c r="L426" s="51">
        <v>0.65</v>
      </c>
      <c r="M426" s="40">
        <v>0.65</v>
      </c>
      <c r="N426" s="38" t="s">
        <v>136</v>
      </c>
      <c r="O426" s="41" t="s">
        <v>71</v>
      </c>
      <c r="P426" s="42" t="s">
        <v>571</v>
      </c>
      <c r="Q426" s="38" t="s">
        <v>125</v>
      </c>
      <c r="R426" s="42" t="s">
        <v>1656</v>
      </c>
      <c r="S426" s="42" t="s">
        <v>1657</v>
      </c>
      <c r="T426" s="42" t="s">
        <v>1658</v>
      </c>
      <c r="U426" s="42" t="s">
        <v>1659</v>
      </c>
      <c r="V426" s="42" t="s">
        <v>1660</v>
      </c>
      <c r="W426" s="42" t="s">
        <v>1661</v>
      </c>
      <c r="X426" s="42" t="s">
        <v>1662</v>
      </c>
      <c r="Y426" s="43" t="str">
        <f>IF(CCUS_Projects_Database!$R426&lt;&gt;"",HYPERLINK(CCUS_Projects_Database!$R426,"Link 1"),"")</f>
        <v>Link 1</v>
      </c>
      <c r="Z426" s="43" t="str">
        <f>IF(CCUS_Projects_Database!$S426&lt;&gt;"",HYPERLINK(CCUS_Projects_Database!$S426,"Link 2"),"")</f>
        <v>Link 2</v>
      </c>
      <c r="AA426" s="43" t="str">
        <f>IF(CCUS_Projects_Database!$T426&lt;&gt;"",HYPERLINK(CCUS_Projects_Database!$T426,"Link 3"),"")</f>
        <v>Link 3</v>
      </c>
      <c r="AB426" s="43" t="str">
        <f>IF(CCUS_Projects_Database!$U426&lt;&gt;"",HYPERLINK(CCUS_Projects_Database!$U426,"Link 4"),"")</f>
        <v>Link 4</v>
      </c>
      <c r="AC426" s="43" t="str">
        <f>IF(CCUS_Projects_Database!$V426&lt;&gt;"",HYPERLINK(CCUS_Projects_Database!$V426,"Link 5"),"")</f>
        <v>Link 5</v>
      </c>
      <c r="AD426" s="43" t="str">
        <f>IF(CCUS_Projects_Database!$W426&lt;&gt;"",HYPERLINK(CCUS_Projects_Database!$W426,"Link 6"),"")</f>
        <v>Link 6</v>
      </c>
      <c r="AE426" s="43" t="str">
        <f>IF(CCUS_Projects_Database!$X426&lt;&gt;"",HYPERLINK(CCUS_Projects_Database!$X426,"Link 7"),"")</f>
        <v>Link 7</v>
      </c>
    </row>
    <row r="427" ht="15.75" customHeight="1">
      <c r="A427" s="44" t="s">
        <v>1663</v>
      </c>
      <c r="B427" s="45">
        <v>916.0</v>
      </c>
      <c r="C427" s="45" t="s">
        <v>157</v>
      </c>
      <c r="D427" s="46" t="s">
        <v>1664</v>
      </c>
      <c r="E427" s="45" t="s">
        <v>8</v>
      </c>
      <c r="F427" s="45">
        <v>2023.0</v>
      </c>
      <c r="G427" s="45" t="s">
        <v>124</v>
      </c>
      <c r="H427" s="45" t="s">
        <v>124</v>
      </c>
      <c r="I427" s="45" t="s">
        <v>124</v>
      </c>
      <c r="J427" s="45" t="s">
        <v>28</v>
      </c>
      <c r="K427" s="47">
        <v>2.0</v>
      </c>
      <c r="L427" s="52">
        <v>1.9</v>
      </c>
      <c r="M427" s="47">
        <v>1.9</v>
      </c>
      <c r="N427" s="45" t="s">
        <v>136</v>
      </c>
      <c r="O427" s="48" t="s">
        <v>71</v>
      </c>
      <c r="P427" s="49" t="s">
        <v>571</v>
      </c>
      <c r="Q427" s="45" t="s">
        <v>125</v>
      </c>
      <c r="R427" s="49" t="s">
        <v>1665</v>
      </c>
      <c r="S427" s="49" t="s">
        <v>124</v>
      </c>
      <c r="T427" s="49" t="s">
        <v>124</v>
      </c>
      <c r="U427" s="49" t="s">
        <v>124</v>
      </c>
      <c r="V427" s="49" t="s">
        <v>124</v>
      </c>
      <c r="W427" s="49" t="s">
        <v>124</v>
      </c>
      <c r="X427" s="49" t="s">
        <v>124</v>
      </c>
      <c r="Y427" s="50" t="str">
        <f>IF(CCUS_Projects_Database!$R427&lt;&gt;"",HYPERLINK(CCUS_Projects_Database!$R427,"Link 1"),"")</f>
        <v>Link 1</v>
      </c>
      <c r="Z427" s="50" t="str">
        <f>IF(CCUS_Projects_Database!$S427&lt;&gt;"",HYPERLINK(CCUS_Projects_Database!$S427,"Link 2"),"")</f>
        <v/>
      </c>
      <c r="AA427" s="50" t="str">
        <f>IF(CCUS_Projects_Database!$T427&lt;&gt;"",HYPERLINK(CCUS_Projects_Database!$T427,"Link 3"),"")</f>
        <v/>
      </c>
      <c r="AB427" s="50" t="str">
        <f>IF(CCUS_Projects_Database!$U427&lt;&gt;"",HYPERLINK(CCUS_Projects_Database!$U427,"Link 4"),"")</f>
        <v/>
      </c>
      <c r="AC427" s="50" t="str">
        <f>IF(CCUS_Projects_Database!$V427&lt;&gt;"",HYPERLINK(CCUS_Projects_Database!$V427,"Link 5"),"")</f>
        <v/>
      </c>
      <c r="AD427" s="50" t="str">
        <f>IF(CCUS_Projects_Database!$W427&lt;&gt;"",HYPERLINK(CCUS_Projects_Database!$W427,"Link 6"),"")</f>
        <v/>
      </c>
      <c r="AE427" s="50" t="str">
        <f>IF(CCUS_Projects_Database!$X427&lt;&gt;"",HYPERLINK(CCUS_Projects_Database!$X427,"Link 7"),"")</f>
        <v/>
      </c>
    </row>
    <row r="428" ht="15.75" customHeight="1">
      <c r="A428" s="37" t="s">
        <v>1666</v>
      </c>
      <c r="B428" s="38">
        <v>265.0</v>
      </c>
      <c r="C428" s="38" t="s">
        <v>157</v>
      </c>
      <c r="D428" s="39" t="s">
        <v>1667</v>
      </c>
      <c r="E428" s="38" t="s">
        <v>14</v>
      </c>
      <c r="F428" s="38">
        <v>2020.0</v>
      </c>
      <c r="G428" s="38">
        <v>2024.0</v>
      </c>
      <c r="H428" s="38">
        <v>2027.0</v>
      </c>
      <c r="I428" s="38" t="s">
        <v>124</v>
      </c>
      <c r="J428" s="38" t="s">
        <v>28</v>
      </c>
      <c r="K428" s="40">
        <v>1.0</v>
      </c>
      <c r="L428" s="51">
        <v>4.5</v>
      </c>
      <c r="M428" s="40">
        <v>4.5</v>
      </c>
      <c r="N428" s="38" t="s">
        <v>14</v>
      </c>
      <c r="O428" s="41" t="s">
        <v>71</v>
      </c>
      <c r="P428" s="42" t="s">
        <v>1668</v>
      </c>
      <c r="Q428" s="38" t="s">
        <v>125</v>
      </c>
      <c r="R428" s="42" t="s">
        <v>1515</v>
      </c>
      <c r="S428" s="42" t="s">
        <v>1669</v>
      </c>
      <c r="T428" s="42" t="s">
        <v>124</v>
      </c>
      <c r="U428" s="42" t="s">
        <v>1670</v>
      </c>
      <c r="V428" s="42" t="s">
        <v>124</v>
      </c>
      <c r="W428" s="42" t="s">
        <v>124</v>
      </c>
      <c r="X428" s="42" t="s">
        <v>124</v>
      </c>
      <c r="Y428" s="43" t="str">
        <f>IF(CCUS_Projects_Database!$R428&lt;&gt;"",HYPERLINK(CCUS_Projects_Database!$R428,"Link 1"),"")</f>
        <v>Link 1</v>
      </c>
      <c r="Z428" s="43" t="str">
        <f>IF(CCUS_Projects_Database!$S428&lt;&gt;"",HYPERLINK(CCUS_Projects_Database!$S428,"Link 2"),"")</f>
        <v>Link 2</v>
      </c>
      <c r="AA428" s="43" t="str">
        <f>IF(CCUS_Projects_Database!$T428&lt;&gt;"",HYPERLINK(CCUS_Projects_Database!$T428,"Link 3"),"")</f>
        <v/>
      </c>
      <c r="AB428" s="43" t="str">
        <f>IF(CCUS_Projects_Database!$U428&lt;&gt;"",HYPERLINK(CCUS_Projects_Database!$U428,"Link 4"),"")</f>
        <v>Link 4</v>
      </c>
      <c r="AC428" s="43" t="str">
        <f>IF(CCUS_Projects_Database!$V428&lt;&gt;"",HYPERLINK(CCUS_Projects_Database!$V428,"Link 5"),"")</f>
        <v/>
      </c>
      <c r="AD428" s="43" t="str">
        <f>IF(CCUS_Projects_Database!$W428&lt;&gt;"",HYPERLINK(CCUS_Projects_Database!$W428,"Link 6"),"")</f>
        <v/>
      </c>
      <c r="AE428" s="43" t="str">
        <f>IF(CCUS_Projects_Database!$X428&lt;&gt;"",HYPERLINK(CCUS_Projects_Database!$X428,"Link 7"),"")</f>
        <v/>
      </c>
    </row>
    <row r="429" ht="15.75" customHeight="1">
      <c r="A429" s="44" t="s">
        <v>1671</v>
      </c>
      <c r="B429" s="45">
        <v>266.0</v>
      </c>
      <c r="C429" s="45" t="s">
        <v>157</v>
      </c>
      <c r="D429" s="46" t="s">
        <v>1667</v>
      </c>
      <c r="E429" s="45" t="s">
        <v>14</v>
      </c>
      <c r="F429" s="45">
        <v>2020.0</v>
      </c>
      <c r="G429" s="45" t="s">
        <v>124</v>
      </c>
      <c r="H429" s="45">
        <v>2030.0</v>
      </c>
      <c r="I429" s="45" t="s">
        <v>124</v>
      </c>
      <c r="J429" s="45" t="s">
        <v>28</v>
      </c>
      <c r="K429" s="47">
        <v>2.0</v>
      </c>
      <c r="L429" s="52">
        <v>5.5</v>
      </c>
      <c r="M429" s="47">
        <v>5.5</v>
      </c>
      <c r="N429" s="45" t="s">
        <v>14</v>
      </c>
      <c r="O429" s="48" t="s">
        <v>71</v>
      </c>
      <c r="P429" s="49" t="s">
        <v>1668</v>
      </c>
      <c r="Q429" s="45" t="s">
        <v>125</v>
      </c>
      <c r="R429" s="49" t="s">
        <v>1515</v>
      </c>
      <c r="S429" s="49" t="s">
        <v>1669</v>
      </c>
      <c r="T429" s="49" t="s">
        <v>124</v>
      </c>
      <c r="U429" s="49" t="s">
        <v>1670</v>
      </c>
      <c r="V429" s="49" t="s">
        <v>124</v>
      </c>
      <c r="W429" s="49" t="s">
        <v>124</v>
      </c>
      <c r="X429" s="49" t="s">
        <v>124</v>
      </c>
      <c r="Y429" s="50" t="str">
        <f>IF(CCUS_Projects_Database!$R429&lt;&gt;"",HYPERLINK(CCUS_Projects_Database!$R429,"Link 1"),"")</f>
        <v>Link 1</v>
      </c>
      <c r="Z429" s="50" t="str">
        <f>IF(CCUS_Projects_Database!$S429&lt;&gt;"",HYPERLINK(CCUS_Projects_Database!$S429,"Link 2"),"")</f>
        <v>Link 2</v>
      </c>
      <c r="AA429" s="50" t="str">
        <f>IF(CCUS_Projects_Database!$T429&lt;&gt;"",HYPERLINK(CCUS_Projects_Database!$T429,"Link 3"),"")</f>
        <v/>
      </c>
      <c r="AB429" s="50" t="str">
        <f>IF(CCUS_Projects_Database!$U429&lt;&gt;"",HYPERLINK(CCUS_Projects_Database!$U429,"Link 4"),"")</f>
        <v>Link 4</v>
      </c>
      <c r="AC429" s="50" t="str">
        <f>IF(CCUS_Projects_Database!$V429&lt;&gt;"",HYPERLINK(CCUS_Projects_Database!$V429,"Link 5"),"")</f>
        <v/>
      </c>
      <c r="AD429" s="50" t="str">
        <f>IF(CCUS_Projects_Database!$W429&lt;&gt;"",HYPERLINK(CCUS_Projects_Database!$W429,"Link 6"),"")</f>
        <v/>
      </c>
      <c r="AE429" s="50" t="str">
        <f>IF(CCUS_Projects_Database!$X429&lt;&gt;"",HYPERLINK(CCUS_Projects_Database!$X429,"Link 7"),"")</f>
        <v/>
      </c>
    </row>
    <row r="430" ht="15.75" customHeight="1">
      <c r="A430" s="37" t="s">
        <v>1672</v>
      </c>
      <c r="B430" s="38">
        <v>446.0</v>
      </c>
      <c r="C430" s="38" t="s">
        <v>157</v>
      </c>
      <c r="D430" s="39" t="s">
        <v>1673</v>
      </c>
      <c r="E430" s="38" t="s">
        <v>8</v>
      </c>
      <c r="F430" s="38">
        <v>2019.0</v>
      </c>
      <c r="G430" s="38" t="s">
        <v>124</v>
      </c>
      <c r="H430" s="38">
        <v>2030.0</v>
      </c>
      <c r="I430" s="38" t="s">
        <v>124</v>
      </c>
      <c r="J430" s="38" t="s">
        <v>28</v>
      </c>
      <c r="K430" s="40" t="s">
        <v>124</v>
      </c>
      <c r="L430" s="51">
        <v>8.1</v>
      </c>
      <c r="M430" s="40">
        <v>8.1</v>
      </c>
      <c r="N430" s="38" t="s">
        <v>136</v>
      </c>
      <c r="O430" s="41" t="s">
        <v>71</v>
      </c>
      <c r="P430" s="42" t="s">
        <v>571</v>
      </c>
      <c r="Q430" s="38" t="s">
        <v>125</v>
      </c>
      <c r="R430" s="42" t="s">
        <v>124</v>
      </c>
      <c r="S430" s="42" t="s">
        <v>124</v>
      </c>
      <c r="T430" s="42" t="s">
        <v>124</v>
      </c>
      <c r="U430" s="42" t="s">
        <v>124</v>
      </c>
      <c r="V430" s="42" t="s">
        <v>124</v>
      </c>
      <c r="W430" s="42" t="s">
        <v>124</v>
      </c>
      <c r="X430" s="42" t="s">
        <v>124</v>
      </c>
      <c r="Y430" s="43" t="str">
        <f>IF(CCUS_Projects_Database!$R430&lt;&gt;"",HYPERLINK(CCUS_Projects_Database!$R430,"Link 1"),"")</f>
        <v/>
      </c>
      <c r="Z430" s="43" t="str">
        <f>IF(CCUS_Projects_Database!$S430&lt;&gt;"",HYPERLINK(CCUS_Projects_Database!$S430,"Link 2"),"")</f>
        <v/>
      </c>
      <c r="AA430" s="43" t="str">
        <f>IF(CCUS_Projects_Database!$T430&lt;&gt;"",HYPERLINK(CCUS_Projects_Database!$T430,"Link 3"),"")</f>
        <v/>
      </c>
      <c r="AB430" s="43" t="str">
        <f>IF(CCUS_Projects_Database!$U430&lt;&gt;"",HYPERLINK(CCUS_Projects_Database!$U430,"Link 4"),"")</f>
        <v/>
      </c>
      <c r="AC430" s="43" t="str">
        <f>IF(CCUS_Projects_Database!$V430&lt;&gt;"",HYPERLINK(CCUS_Projects_Database!$V430,"Link 5"),"")</f>
        <v/>
      </c>
      <c r="AD430" s="43" t="str">
        <f>IF(CCUS_Projects_Database!$W430&lt;&gt;"",HYPERLINK(CCUS_Projects_Database!$W430,"Link 6"),"")</f>
        <v/>
      </c>
      <c r="AE430" s="43" t="str">
        <f>IF(CCUS_Projects_Database!$X430&lt;&gt;"",HYPERLINK(CCUS_Projects_Database!$X430,"Link 7"),"")</f>
        <v/>
      </c>
    </row>
    <row r="431" ht="15.75" customHeight="1">
      <c r="A431" s="44" t="s">
        <v>1674</v>
      </c>
      <c r="B431" s="45">
        <v>1047.0</v>
      </c>
      <c r="C431" s="45" t="s">
        <v>122</v>
      </c>
      <c r="D431" s="46" t="s">
        <v>1675</v>
      </c>
      <c r="E431" s="45" t="s">
        <v>16</v>
      </c>
      <c r="F431" s="45">
        <v>2023.0</v>
      </c>
      <c r="G431" s="45">
        <v>2024.0</v>
      </c>
      <c r="H431" s="45">
        <v>2028.0</v>
      </c>
      <c r="I431" s="45" t="s">
        <v>124</v>
      </c>
      <c r="J431" s="45" t="s">
        <v>28</v>
      </c>
      <c r="K431" s="47" t="s">
        <v>124</v>
      </c>
      <c r="L431" s="47"/>
      <c r="M431" s="47">
        <v>0.123</v>
      </c>
      <c r="N431" s="45" t="s">
        <v>46</v>
      </c>
      <c r="O431" s="48" t="s">
        <v>75</v>
      </c>
      <c r="P431" s="49" t="s">
        <v>124</v>
      </c>
      <c r="Q431" s="45" t="s">
        <v>125</v>
      </c>
      <c r="R431" s="49" t="s">
        <v>1676</v>
      </c>
      <c r="S431" s="49" t="s">
        <v>1677</v>
      </c>
      <c r="T431" s="49" t="s">
        <v>124</v>
      </c>
      <c r="U431" s="49" t="s">
        <v>124</v>
      </c>
      <c r="V431" s="49" t="s">
        <v>124</v>
      </c>
      <c r="W431" s="49" t="s">
        <v>124</v>
      </c>
      <c r="X431" s="49" t="s">
        <v>124</v>
      </c>
      <c r="Y431" s="50" t="str">
        <f>IF(CCUS_Projects_Database!$R431&lt;&gt;"",HYPERLINK(CCUS_Projects_Database!$R431,"Link 1"),"")</f>
        <v>Link 1</v>
      </c>
      <c r="Z431" s="50" t="str">
        <f>IF(CCUS_Projects_Database!$S431&lt;&gt;"",HYPERLINK(CCUS_Projects_Database!$S431,"Link 2"),"")</f>
        <v>Link 2</v>
      </c>
      <c r="AA431" s="50" t="str">
        <f>IF(CCUS_Projects_Database!$T431&lt;&gt;"",HYPERLINK(CCUS_Projects_Database!$T431,"Link 3"),"")</f>
        <v/>
      </c>
      <c r="AB431" s="50" t="str">
        <f>IF(CCUS_Projects_Database!$U431&lt;&gt;"",HYPERLINK(CCUS_Projects_Database!$U431,"Link 4"),"")</f>
        <v/>
      </c>
      <c r="AC431" s="50" t="str">
        <f>IF(CCUS_Projects_Database!$V431&lt;&gt;"",HYPERLINK(CCUS_Projects_Database!$V431,"Link 5"),"")</f>
        <v/>
      </c>
      <c r="AD431" s="50" t="str">
        <f>IF(CCUS_Projects_Database!$W431&lt;&gt;"",HYPERLINK(CCUS_Projects_Database!$W431,"Link 6"),"")</f>
        <v/>
      </c>
      <c r="AE431" s="50" t="str">
        <f>IF(CCUS_Projects_Database!$X431&lt;&gt;"",HYPERLINK(CCUS_Projects_Database!$X431,"Link 7"),"")</f>
        <v/>
      </c>
    </row>
    <row r="432" ht="15.75" customHeight="1">
      <c r="A432" s="37" t="s">
        <v>1678</v>
      </c>
      <c r="B432" s="38">
        <v>561.0</v>
      </c>
      <c r="C432" s="38" t="s">
        <v>122</v>
      </c>
      <c r="D432" s="39" t="s">
        <v>1679</v>
      </c>
      <c r="E432" s="38" t="s">
        <v>16</v>
      </c>
      <c r="F432" s="38">
        <v>2021.0</v>
      </c>
      <c r="G432" s="38" t="s">
        <v>124</v>
      </c>
      <c r="H432" s="38">
        <v>2026.0</v>
      </c>
      <c r="I432" s="38" t="s">
        <v>124</v>
      </c>
      <c r="J432" s="38" t="s">
        <v>28</v>
      </c>
      <c r="K432" s="40" t="s">
        <v>124</v>
      </c>
      <c r="L432" s="51">
        <v>0.5</v>
      </c>
      <c r="M432" s="40">
        <v>0.5</v>
      </c>
      <c r="N432" s="38" t="s">
        <v>56</v>
      </c>
      <c r="O432" s="41" t="s">
        <v>75</v>
      </c>
      <c r="P432" s="42" t="s">
        <v>124</v>
      </c>
      <c r="Q432" s="38" t="s">
        <v>125</v>
      </c>
      <c r="R432" s="42" t="s">
        <v>1680</v>
      </c>
      <c r="S432" s="42" t="s">
        <v>124</v>
      </c>
      <c r="T432" s="42" t="s">
        <v>124</v>
      </c>
      <c r="U432" s="42" t="s">
        <v>124</v>
      </c>
      <c r="V432" s="42" t="s">
        <v>124</v>
      </c>
      <c r="W432" s="42" t="s">
        <v>124</v>
      </c>
      <c r="X432" s="42" t="s">
        <v>124</v>
      </c>
      <c r="Y432" s="43" t="str">
        <f>IF(CCUS_Projects_Database!$R432&lt;&gt;"",HYPERLINK(CCUS_Projects_Database!$R432,"Link 1"),"")</f>
        <v>Link 1</v>
      </c>
      <c r="Z432" s="43" t="str">
        <f>IF(CCUS_Projects_Database!$S432&lt;&gt;"",HYPERLINK(CCUS_Projects_Database!$S432,"Link 2"),"")</f>
        <v/>
      </c>
      <c r="AA432" s="43" t="str">
        <f>IF(CCUS_Projects_Database!$T432&lt;&gt;"",HYPERLINK(CCUS_Projects_Database!$T432,"Link 3"),"")</f>
        <v/>
      </c>
      <c r="AB432" s="43" t="str">
        <f>IF(CCUS_Projects_Database!$U432&lt;&gt;"",HYPERLINK(CCUS_Projects_Database!$U432,"Link 4"),"")</f>
        <v/>
      </c>
      <c r="AC432" s="43" t="str">
        <f>IF(CCUS_Projects_Database!$V432&lt;&gt;"",HYPERLINK(CCUS_Projects_Database!$V432,"Link 5"),"")</f>
        <v/>
      </c>
      <c r="AD432" s="43" t="str">
        <f>IF(CCUS_Projects_Database!$W432&lt;&gt;"",HYPERLINK(CCUS_Projects_Database!$W432,"Link 6"),"")</f>
        <v/>
      </c>
      <c r="AE432" s="43" t="str">
        <f>IF(CCUS_Projects_Database!$X432&lt;&gt;"",HYPERLINK(CCUS_Projects_Database!$X432,"Link 7"),"")</f>
        <v/>
      </c>
    </row>
    <row r="433" ht="15.75" customHeight="1">
      <c r="A433" s="44" t="s">
        <v>1681</v>
      </c>
      <c r="B433" s="45">
        <v>564.0</v>
      </c>
      <c r="C433" s="45" t="s">
        <v>257</v>
      </c>
      <c r="D433" s="46" t="s">
        <v>1682</v>
      </c>
      <c r="E433" s="45" t="s">
        <v>16</v>
      </c>
      <c r="F433" s="45">
        <v>2021.0</v>
      </c>
      <c r="G433" s="45" t="s">
        <v>124</v>
      </c>
      <c r="H433" s="45">
        <v>2028.0</v>
      </c>
      <c r="I433" s="45" t="s">
        <v>124</v>
      </c>
      <c r="J433" s="45" t="s">
        <v>28</v>
      </c>
      <c r="K433" s="47" t="s">
        <v>124</v>
      </c>
      <c r="L433" s="52">
        <v>0.207</v>
      </c>
      <c r="M433" s="47">
        <v>0.207</v>
      </c>
      <c r="N433" s="45" t="s">
        <v>46</v>
      </c>
      <c r="O433" s="48" t="s">
        <v>75</v>
      </c>
      <c r="P433" s="49" t="s">
        <v>124</v>
      </c>
      <c r="Q433" s="45" t="s">
        <v>125</v>
      </c>
      <c r="R433" s="49" t="s">
        <v>1683</v>
      </c>
      <c r="S433" s="49" t="s">
        <v>590</v>
      </c>
      <c r="T433" s="49" t="s">
        <v>124</v>
      </c>
      <c r="U433" s="49" t="s">
        <v>124</v>
      </c>
      <c r="V433" s="49" t="s">
        <v>124</v>
      </c>
      <c r="W433" s="49" t="s">
        <v>124</v>
      </c>
      <c r="X433" s="49" t="s">
        <v>124</v>
      </c>
      <c r="Y433" s="50" t="str">
        <f>IF(CCUS_Projects_Database!$R433&lt;&gt;"",HYPERLINK(CCUS_Projects_Database!$R433,"Link 1"),"")</f>
        <v>Link 1</v>
      </c>
      <c r="Z433" s="50" t="str">
        <f>IF(CCUS_Projects_Database!$S433&lt;&gt;"",HYPERLINK(CCUS_Projects_Database!$S433,"Link 2"),"")</f>
        <v>Link 2</v>
      </c>
      <c r="AA433" s="50" t="str">
        <f>IF(CCUS_Projects_Database!$T433&lt;&gt;"",HYPERLINK(CCUS_Projects_Database!$T433,"Link 3"),"")</f>
        <v/>
      </c>
      <c r="AB433" s="50" t="str">
        <f>IF(CCUS_Projects_Database!$U433&lt;&gt;"",HYPERLINK(CCUS_Projects_Database!$U433,"Link 4"),"")</f>
        <v/>
      </c>
      <c r="AC433" s="50" t="str">
        <f>IF(CCUS_Projects_Database!$V433&lt;&gt;"",HYPERLINK(CCUS_Projects_Database!$V433,"Link 5"),"")</f>
        <v/>
      </c>
      <c r="AD433" s="50" t="str">
        <f>IF(CCUS_Projects_Database!$W433&lt;&gt;"",HYPERLINK(CCUS_Projects_Database!$W433,"Link 6"),"")</f>
        <v/>
      </c>
      <c r="AE433" s="50" t="str">
        <f>IF(CCUS_Projects_Database!$X433&lt;&gt;"",HYPERLINK(CCUS_Projects_Database!$X433,"Link 7"),"")</f>
        <v/>
      </c>
    </row>
    <row r="434" ht="15.75" customHeight="1">
      <c r="A434" s="37" t="s">
        <v>1684</v>
      </c>
      <c r="B434" s="38">
        <v>1141.0</v>
      </c>
      <c r="C434" s="38" t="s">
        <v>1174</v>
      </c>
      <c r="D434" s="39" t="s">
        <v>1685</v>
      </c>
      <c r="E434" s="38" t="s">
        <v>8</v>
      </c>
      <c r="F434" s="38">
        <v>2023.0</v>
      </c>
      <c r="G434" s="38" t="s">
        <v>124</v>
      </c>
      <c r="H434" s="38">
        <v>2030.0</v>
      </c>
      <c r="I434" s="38" t="s">
        <v>124</v>
      </c>
      <c r="J434" s="38" t="s">
        <v>28</v>
      </c>
      <c r="K434" s="40" t="s">
        <v>124</v>
      </c>
      <c r="L434" s="51">
        <v>1.9</v>
      </c>
      <c r="M434" s="40">
        <v>1.9</v>
      </c>
      <c r="N434" s="38" t="s">
        <v>56</v>
      </c>
      <c r="O434" s="41" t="s">
        <v>71</v>
      </c>
      <c r="P434" s="42" t="s">
        <v>124</v>
      </c>
      <c r="Q434" s="38" t="s">
        <v>125</v>
      </c>
      <c r="R434" s="42" t="s">
        <v>1686</v>
      </c>
      <c r="S434" s="42" t="s">
        <v>1687</v>
      </c>
      <c r="T434" s="42" t="s">
        <v>124</v>
      </c>
      <c r="U434" s="42" t="s">
        <v>124</v>
      </c>
      <c r="V434" s="42" t="s">
        <v>124</v>
      </c>
      <c r="W434" s="42" t="s">
        <v>124</v>
      </c>
      <c r="X434" s="42" t="s">
        <v>124</v>
      </c>
      <c r="Y434" s="43" t="str">
        <f>IF(CCUS_Projects_Database!$R434&lt;&gt;"",HYPERLINK(CCUS_Projects_Database!$R434,"Link 1"),"")</f>
        <v>Link 1</v>
      </c>
      <c r="Z434" s="43" t="str">
        <f>IF(CCUS_Projects_Database!$S434&lt;&gt;"",HYPERLINK(CCUS_Projects_Database!$S434,"Link 2"),"")</f>
        <v>Link 2</v>
      </c>
      <c r="AA434" s="43" t="str">
        <f>IF(CCUS_Projects_Database!$T434&lt;&gt;"",HYPERLINK(CCUS_Projects_Database!$T434,"Link 3"),"")</f>
        <v/>
      </c>
      <c r="AB434" s="43" t="str">
        <f>IF(CCUS_Projects_Database!$U434&lt;&gt;"",HYPERLINK(CCUS_Projects_Database!$U434,"Link 4"),"")</f>
        <v/>
      </c>
      <c r="AC434" s="43" t="str">
        <f>IF(CCUS_Projects_Database!$V434&lt;&gt;"",HYPERLINK(CCUS_Projects_Database!$V434,"Link 5"),"")</f>
        <v/>
      </c>
      <c r="AD434" s="43" t="str">
        <f>IF(CCUS_Projects_Database!$W434&lt;&gt;"",HYPERLINK(CCUS_Projects_Database!$W434,"Link 6"),"")</f>
        <v/>
      </c>
      <c r="AE434" s="43" t="str">
        <f>IF(CCUS_Projects_Database!$X434&lt;&gt;"",HYPERLINK(CCUS_Projects_Database!$X434,"Link 7"),"")</f>
        <v/>
      </c>
    </row>
    <row r="435" ht="15.75" customHeight="1">
      <c r="A435" s="44" t="s">
        <v>1688</v>
      </c>
      <c r="B435" s="45">
        <v>124.0</v>
      </c>
      <c r="C435" s="45" t="s">
        <v>141</v>
      </c>
      <c r="D435" s="46" t="s">
        <v>1689</v>
      </c>
      <c r="E435" s="45" t="s">
        <v>6</v>
      </c>
      <c r="F435" s="45">
        <v>2009.0</v>
      </c>
      <c r="G435" s="45">
        <v>2011.0</v>
      </c>
      <c r="H435" s="45">
        <v>2011.0</v>
      </c>
      <c r="I435" s="45">
        <v>2011.0</v>
      </c>
      <c r="J435" s="45" t="s">
        <v>1548</v>
      </c>
      <c r="K435" s="47" t="s">
        <v>124</v>
      </c>
      <c r="L435" s="52">
        <v>0.33</v>
      </c>
      <c r="M435" s="47">
        <v>0.33</v>
      </c>
      <c r="N435" s="45" t="s">
        <v>50</v>
      </c>
      <c r="O435" s="48" t="s">
        <v>71</v>
      </c>
      <c r="P435" s="49" t="s">
        <v>191</v>
      </c>
      <c r="Q435" s="45" t="s">
        <v>143</v>
      </c>
      <c r="R435" s="49" t="s">
        <v>1690</v>
      </c>
      <c r="S435" s="49" t="s">
        <v>124</v>
      </c>
      <c r="T435" s="49" t="s">
        <v>124</v>
      </c>
      <c r="U435" s="49" t="s">
        <v>124</v>
      </c>
      <c r="V435" s="49" t="s">
        <v>124</v>
      </c>
      <c r="W435" s="49" t="s">
        <v>124</v>
      </c>
      <c r="X435" s="49" t="s">
        <v>124</v>
      </c>
      <c r="Y435" s="50" t="str">
        <f>IF(CCUS_Projects_Database!$R435&lt;&gt;"",HYPERLINK(CCUS_Projects_Database!$R435,"Link 1"),"")</f>
        <v>Link 1</v>
      </c>
      <c r="Z435" s="50" t="str">
        <f>IF(CCUS_Projects_Database!$S435&lt;&gt;"",HYPERLINK(CCUS_Projects_Database!$S435,"Link 2"),"")</f>
        <v/>
      </c>
      <c r="AA435" s="50" t="str">
        <f>IF(CCUS_Projects_Database!$T435&lt;&gt;"",HYPERLINK(CCUS_Projects_Database!$T435,"Link 3"),"")</f>
        <v/>
      </c>
      <c r="AB435" s="50" t="str">
        <f>IF(CCUS_Projects_Database!$U435&lt;&gt;"",HYPERLINK(CCUS_Projects_Database!$U435,"Link 4"),"")</f>
        <v/>
      </c>
      <c r="AC435" s="50" t="str">
        <f>IF(CCUS_Projects_Database!$V435&lt;&gt;"",HYPERLINK(CCUS_Projects_Database!$V435,"Link 5"),"")</f>
        <v/>
      </c>
      <c r="AD435" s="50" t="str">
        <f>IF(CCUS_Projects_Database!$W435&lt;&gt;"",HYPERLINK(CCUS_Projects_Database!$W435,"Link 6"),"")</f>
        <v/>
      </c>
      <c r="AE435" s="50" t="str">
        <f>IF(CCUS_Projects_Database!$X435&lt;&gt;"",HYPERLINK(CCUS_Projects_Database!$X435,"Link 7"),"")</f>
        <v/>
      </c>
    </row>
    <row r="436" ht="15.75" customHeight="1">
      <c r="A436" s="37" t="s">
        <v>1691</v>
      </c>
      <c r="B436" s="38">
        <v>796.0</v>
      </c>
      <c r="C436" s="38" t="s">
        <v>141</v>
      </c>
      <c r="D436" s="39" t="s">
        <v>1692</v>
      </c>
      <c r="E436" s="38" t="s">
        <v>12</v>
      </c>
      <c r="F436" s="38">
        <v>2023.0</v>
      </c>
      <c r="G436" s="38" t="s">
        <v>124</v>
      </c>
      <c r="H436" s="38" t="s">
        <v>124</v>
      </c>
      <c r="I436" s="38" t="s">
        <v>124</v>
      </c>
      <c r="J436" s="38" t="s">
        <v>28</v>
      </c>
      <c r="K436" s="40" t="s">
        <v>124</v>
      </c>
      <c r="L436" s="51">
        <v>1.67</v>
      </c>
      <c r="M436" s="40">
        <v>1.67</v>
      </c>
      <c r="N436" s="38" t="s">
        <v>12</v>
      </c>
      <c r="O436" s="41" t="s">
        <v>71</v>
      </c>
      <c r="P436" s="42" t="s">
        <v>1691</v>
      </c>
      <c r="Q436" s="38" t="s">
        <v>143</v>
      </c>
      <c r="R436" s="42" t="s">
        <v>1693</v>
      </c>
      <c r="S436" s="42" t="s">
        <v>124</v>
      </c>
      <c r="T436" s="42" t="s">
        <v>124</v>
      </c>
      <c r="U436" s="42" t="s">
        <v>124</v>
      </c>
      <c r="V436" s="42" t="s">
        <v>124</v>
      </c>
      <c r="W436" s="42" t="s">
        <v>124</v>
      </c>
      <c r="X436" s="42" t="s">
        <v>124</v>
      </c>
      <c r="Y436" s="43" t="str">
        <f>IF(CCUS_Projects_Database!$R436&lt;&gt;"",HYPERLINK(CCUS_Projects_Database!$R436,"Link 1"),"")</f>
        <v>Link 1</v>
      </c>
      <c r="Z436" s="43" t="str">
        <f>IF(CCUS_Projects_Database!$S436&lt;&gt;"",HYPERLINK(CCUS_Projects_Database!$S436,"Link 2"),"")</f>
        <v/>
      </c>
      <c r="AA436" s="43" t="str">
        <f>IF(CCUS_Projects_Database!$T436&lt;&gt;"",HYPERLINK(CCUS_Projects_Database!$T436,"Link 3"),"")</f>
        <v/>
      </c>
      <c r="AB436" s="43" t="str">
        <f>IF(CCUS_Projects_Database!$U436&lt;&gt;"",HYPERLINK(CCUS_Projects_Database!$U436,"Link 4"),"")</f>
        <v/>
      </c>
      <c r="AC436" s="43" t="str">
        <f>IF(CCUS_Projects_Database!$V436&lt;&gt;"",HYPERLINK(CCUS_Projects_Database!$V436,"Link 5"),"")</f>
        <v/>
      </c>
      <c r="AD436" s="43" t="str">
        <f>IF(CCUS_Projects_Database!$W436&lt;&gt;"",HYPERLINK(CCUS_Projects_Database!$W436,"Link 6"),"")</f>
        <v/>
      </c>
      <c r="AE436" s="43" t="str">
        <f>IF(CCUS_Projects_Database!$X436&lt;&gt;"",HYPERLINK(CCUS_Projects_Database!$X436,"Link 7"),"")</f>
        <v/>
      </c>
    </row>
    <row r="437" ht="15.75" customHeight="1">
      <c r="A437" s="44" t="s">
        <v>1694</v>
      </c>
      <c r="B437" s="45">
        <v>222.0</v>
      </c>
      <c r="C437" s="45" t="s">
        <v>141</v>
      </c>
      <c r="D437" s="46" t="s">
        <v>1695</v>
      </c>
      <c r="E437" s="45" t="s">
        <v>8</v>
      </c>
      <c r="F437" s="45">
        <v>2013.0</v>
      </c>
      <c r="G437" s="45">
        <v>2024.0</v>
      </c>
      <c r="H437" s="45">
        <v>2026.0</v>
      </c>
      <c r="I437" s="45" t="s">
        <v>124</v>
      </c>
      <c r="J437" s="45" t="s">
        <v>28</v>
      </c>
      <c r="K437" s="47" t="s">
        <v>124</v>
      </c>
      <c r="L437" s="52">
        <v>8.9</v>
      </c>
      <c r="M437" s="47">
        <v>9.7</v>
      </c>
      <c r="N437" s="45" t="s">
        <v>50</v>
      </c>
      <c r="O437" s="48" t="s">
        <v>71</v>
      </c>
      <c r="P437" s="49" t="s">
        <v>124</v>
      </c>
      <c r="Q437" s="45" t="s">
        <v>143</v>
      </c>
      <c r="R437" s="49" t="s">
        <v>1696</v>
      </c>
      <c r="S437" s="49" t="s">
        <v>124</v>
      </c>
      <c r="T437" s="49" t="s">
        <v>124</v>
      </c>
      <c r="U437" s="49" t="s">
        <v>124</v>
      </c>
      <c r="V437" s="49" t="s">
        <v>124</v>
      </c>
      <c r="W437" s="49" t="s">
        <v>124</v>
      </c>
      <c r="X437" s="49" t="s">
        <v>124</v>
      </c>
      <c r="Y437" s="50" t="str">
        <f>IF(CCUS_Projects_Database!$R437&lt;&gt;"",HYPERLINK(CCUS_Projects_Database!$R437,"Link 1"),"")</f>
        <v>Link 1</v>
      </c>
      <c r="Z437" s="50" t="str">
        <f>IF(CCUS_Projects_Database!$S437&lt;&gt;"",HYPERLINK(CCUS_Projects_Database!$S437,"Link 2"),"")</f>
        <v/>
      </c>
      <c r="AA437" s="50" t="str">
        <f>IF(CCUS_Projects_Database!$T437&lt;&gt;"",HYPERLINK(CCUS_Projects_Database!$T437,"Link 3"),"")</f>
        <v/>
      </c>
      <c r="AB437" s="50" t="str">
        <f>IF(CCUS_Projects_Database!$U437&lt;&gt;"",HYPERLINK(CCUS_Projects_Database!$U437,"Link 4"),"")</f>
        <v/>
      </c>
      <c r="AC437" s="50" t="str">
        <f>IF(CCUS_Projects_Database!$V437&lt;&gt;"",HYPERLINK(CCUS_Projects_Database!$V437,"Link 5"),"")</f>
        <v/>
      </c>
      <c r="AD437" s="50" t="str">
        <f>IF(CCUS_Projects_Database!$W437&lt;&gt;"",HYPERLINK(CCUS_Projects_Database!$W437,"Link 6"),"")</f>
        <v/>
      </c>
      <c r="AE437" s="50" t="str">
        <f>IF(CCUS_Projects_Database!$X437&lt;&gt;"",HYPERLINK(CCUS_Projects_Database!$X437,"Link 7"),"")</f>
        <v/>
      </c>
    </row>
    <row r="438" ht="15.75" customHeight="1">
      <c r="A438" s="37" t="s">
        <v>1697</v>
      </c>
      <c r="B438" s="38">
        <v>223.0</v>
      </c>
      <c r="C438" s="38" t="s">
        <v>141</v>
      </c>
      <c r="D438" s="39" t="s">
        <v>187</v>
      </c>
      <c r="E438" s="38" t="s">
        <v>6</v>
      </c>
      <c r="F438" s="38">
        <v>2009.0</v>
      </c>
      <c r="G438" s="38">
        <v>2011.0</v>
      </c>
      <c r="H438" s="38">
        <v>2017.0</v>
      </c>
      <c r="I438" s="38" t="s">
        <v>124</v>
      </c>
      <c r="J438" s="38" t="s">
        <v>32</v>
      </c>
      <c r="K438" s="40">
        <v>1.0</v>
      </c>
      <c r="L438" s="51">
        <v>0.8</v>
      </c>
      <c r="M438" s="40">
        <v>0.5</v>
      </c>
      <c r="N438" s="38" t="s">
        <v>50</v>
      </c>
      <c r="O438" s="41" t="s">
        <v>71</v>
      </c>
      <c r="P438" s="42" t="s">
        <v>191</v>
      </c>
      <c r="Q438" s="38" t="s">
        <v>143</v>
      </c>
      <c r="R438" s="42" t="s">
        <v>1698</v>
      </c>
      <c r="S438" s="42" t="s">
        <v>1699</v>
      </c>
      <c r="T438" s="42" t="s">
        <v>1700</v>
      </c>
      <c r="U438" s="42" t="s">
        <v>1701</v>
      </c>
      <c r="V438" s="42" t="s">
        <v>1698</v>
      </c>
      <c r="W438" s="42" t="s">
        <v>1702</v>
      </c>
      <c r="X438" s="42" t="s">
        <v>1703</v>
      </c>
      <c r="Y438" s="43" t="str">
        <f>IF(CCUS_Projects_Database!$R438&lt;&gt;"",HYPERLINK(CCUS_Projects_Database!$R438,"Link 1"),"")</f>
        <v>Link 1</v>
      </c>
      <c r="Z438" s="43" t="str">
        <f>IF(CCUS_Projects_Database!$S438&lt;&gt;"",HYPERLINK(CCUS_Projects_Database!$S438,"Link 2"),"")</f>
        <v>Link 2</v>
      </c>
      <c r="AA438" s="43" t="str">
        <f>IF(CCUS_Projects_Database!$T438&lt;&gt;"",HYPERLINK(CCUS_Projects_Database!$T438,"Link 3"),"")</f>
        <v>Link 3</v>
      </c>
      <c r="AB438" s="43" t="str">
        <f>IF(CCUS_Projects_Database!$U438&lt;&gt;"",HYPERLINK(CCUS_Projects_Database!$U438,"Link 4"),"")</f>
        <v>Link 4</v>
      </c>
      <c r="AC438" s="43" t="str">
        <f>IF(CCUS_Projects_Database!$V438&lt;&gt;"",HYPERLINK(CCUS_Projects_Database!$V438,"Link 5"),"")</f>
        <v>Link 5</v>
      </c>
      <c r="AD438" s="43" t="str">
        <f>IF(CCUS_Projects_Database!$W438&lt;&gt;"",HYPERLINK(CCUS_Projects_Database!$W438,"Link 6"),"")</f>
        <v>Link 6</v>
      </c>
      <c r="AE438" s="43" t="str">
        <f>IF(CCUS_Projects_Database!$X438&lt;&gt;"",HYPERLINK(CCUS_Projects_Database!$X438,"Link 7"),"")</f>
        <v>Link 7</v>
      </c>
    </row>
    <row r="439" ht="15.75" customHeight="1">
      <c r="A439" s="44" t="s">
        <v>1704</v>
      </c>
      <c r="B439" s="45">
        <v>415.0</v>
      </c>
      <c r="C439" s="45" t="s">
        <v>1705</v>
      </c>
      <c r="D439" s="46" t="s">
        <v>1706</v>
      </c>
      <c r="E439" s="45" t="s">
        <v>6</v>
      </c>
      <c r="F439" s="45" t="s">
        <v>124</v>
      </c>
      <c r="G439" s="45" t="s">
        <v>124</v>
      </c>
      <c r="H439" s="45">
        <v>2004.0</v>
      </c>
      <c r="I439" s="45">
        <v>2004.0</v>
      </c>
      <c r="J439" s="45" t="s">
        <v>1548</v>
      </c>
      <c r="K439" s="47" t="s">
        <v>124</v>
      </c>
      <c r="L439" s="52">
        <v>0.5</v>
      </c>
      <c r="M439" s="47">
        <v>0.5</v>
      </c>
      <c r="N439" s="45" t="s">
        <v>48</v>
      </c>
      <c r="O439" s="48" t="s">
        <v>71</v>
      </c>
      <c r="P439" s="49" t="s">
        <v>124</v>
      </c>
      <c r="Q439" s="45" t="s">
        <v>1430</v>
      </c>
      <c r="R439" s="49" t="s">
        <v>1707</v>
      </c>
      <c r="S439" s="49" t="s">
        <v>1708</v>
      </c>
      <c r="T439" s="49" t="s">
        <v>124</v>
      </c>
      <c r="U439" s="49" t="s">
        <v>124</v>
      </c>
      <c r="V439" s="49" t="s">
        <v>124</v>
      </c>
      <c r="W439" s="49" t="s">
        <v>124</v>
      </c>
      <c r="X439" s="49" t="s">
        <v>124</v>
      </c>
      <c r="Y439" s="50" t="str">
        <f>IF(CCUS_Projects_Database!$R439&lt;&gt;"",HYPERLINK(CCUS_Projects_Database!$R439,"Link 1"),"")</f>
        <v>Link 1</v>
      </c>
      <c r="Z439" s="50" t="str">
        <f>IF(CCUS_Projects_Database!$S439&lt;&gt;"",HYPERLINK(CCUS_Projects_Database!$S439,"Link 2"),"")</f>
        <v>Link 2</v>
      </c>
      <c r="AA439" s="50" t="str">
        <f>IF(CCUS_Projects_Database!$T439&lt;&gt;"",HYPERLINK(CCUS_Projects_Database!$T439,"Link 3"),"")</f>
        <v/>
      </c>
      <c r="AB439" s="50" t="str">
        <f>IF(CCUS_Projects_Database!$U439&lt;&gt;"",HYPERLINK(CCUS_Projects_Database!$U439,"Link 4"),"")</f>
        <v/>
      </c>
      <c r="AC439" s="50" t="str">
        <f>IF(CCUS_Projects_Database!$V439&lt;&gt;"",HYPERLINK(CCUS_Projects_Database!$V439,"Link 5"),"")</f>
        <v/>
      </c>
      <c r="AD439" s="50" t="str">
        <f>IF(CCUS_Projects_Database!$W439&lt;&gt;"",HYPERLINK(CCUS_Projects_Database!$W439,"Link 6"),"")</f>
        <v/>
      </c>
      <c r="AE439" s="50" t="str">
        <f>IF(CCUS_Projects_Database!$X439&lt;&gt;"",HYPERLINK(CCUS_Projects_Database!$X439,"Link 7"),"")</f>
        <v/>
      </c>
    </row>
    <row r="440" ht="15.75" customHeight="1">
      <c r="A440" s="37" t="s">
        <v>1709</v>
      </c>
      <c r="B440" s="38">
        <v>545.0</v>
      </c>
      <c r="C440" s="38" t="s">
        <v>157</v>
      </c>
      <c r="D440" s="39" t="s">
        <v>1710</v>
      </c>
      <c r="E440" s="38" t="s">
        <v>8</v>
      </c>
      <c r="F440" s="38">
        <v>2021.0</v>
      </c>
      <c r="G440" s="38" t="s">
        <v>124</v>
      </c>
      <c r="H440" s="38">
        <v>2029.0</v>
      </c>
      <c r="I440" s="38" t="s">
        <v>124</v>
      </c>
      <c r="J440" s="38" t="s">
        <v>28</v>
      </c>
      <c r="K440" s="40">
        <v>1.0</v>
      </c>
      <c r="L440" s="51">
        <v>0.25</v>
      </c>
      <c r="M440" s="40">
        <v>0.25</v>
      </c>
      <c r="N440" s="38" t="s">
        <v>46</v>
      </c>
      <c r="O440" s="41" t="s">
        <v>71</v>
      </c>
      <c r="P440" s="42" t="s">
        <v>1711</v>
      </c>
      <c r="Q440" s="38" t="s">
        <v>125</v>
      </c>
      <c r="R440" s="42" t="s">
        <v>1712</v>
      </c>
      <c r="S440" s="42" t="s">
        <v>1713</v>
      </c>
      <c r="T440" s="42" t="s">
        <v>1714</v>
      </c>
      <c r="U440" s="42" t="s">
        <v>1715</v>
      </c>
      <c r="V440" s="42" t="s">
        <v>124</v>
      </c>
      <c r="W440" s="42" t="s">
        <v>124</v>
      </c>
      <c r="X440" s="42" t="s">
        <v>124</v>
      </c>
      <c r="Y440" s="43" t="str">
        <f>IF(CCUS_Projects_Database!$R440&lt;&gt;"",HYPERLINK(CCUS_Projects_Database!$R440,"Link 1"),"")</f>
        <v>Link 1</v>
      </c>
      <c r="Z440" s="43" t="str">
        <f>IF(CCUS_Projects_Database!$S440&lt;&gt;"",HYPERLINK(CCUS_Projects_Database!$S440,"Link 2"),"")</f>
        <v>Link 2</v>
      </c>
      <c r="AA440" s="43" t="str">
        <f>IF(CCUS_Projects_Database!$T440&lt;&gt;"",HYPERLINK(CCUS_Projects_Database!$T440,"Link 3"),"")</f>
        <v>Link 3</v>
      </c>
      <c r="AB440" s="43" t="str">
        <f>IF(CCUS_Projects_Database!$U440&lt;&gt;"",HYPERLINK(CCUS_Projects_Database!$U440,"Link 4"),"")</f>
        <v>Link 4</v>
      </c>
      <c r="AC440" s="43" t="str">
        <f>IF(CCUS_Projects_Database!$V440&lt;&gt;"",HYPERLINK(CCUS_Projects_Database!$V440,"Link 5"),"")</f>
        <v/>
      </c>
      <c r="AD440" s="43" t="str">
        <f>IF(CCUS_Projects_Database!$W440&lt;&gt;"",HYPERLINK(CCUS_Projects_Database!$W440,"Link 6"),"")</f>
        <v/>
      </c>
      <c r="AE440" s="43" t="str">
        <f>IF(CCUS_Projects_Database!$X440&lt;&gt;"",HYPERLINK(CCUS_Projects_Database!$X440,"Link 7"),"")</f>
        <v/>
      </c>
    </row>
    <row r="441" ht="15.75" customHeight="1">
      <c r="A441" s="44" t="s">
        <v>1716</v>
      </c>
      <c r="B441" s="45">
        <v>224.0</v>
      </c>
      <c r="C441" s="45" t="s">
        <v>1013</v>
      </c>
      <c r="D441" s="46" t="s">
        <v>1717</v>
      </c>
      <c r="E441" s="45" t="s">
        <v>6</v>
      </c>
      <c r="F441" s="45">
        <v>2021.0</v>
      </c>
      <c r="G441" s="45" t="s">
        <v>124</v>
      </c>
      <c r="H441" s="45">
        <v>2025.0</v>
      </c>
      <c r="I441" s="45" t="s">
        <v>124</v>
      </c>
      <c r="J441" s="45" t="s">
        <v>28</v>
      </c>
      <c r="K441" s="47" t="s">
        <v>124</v>
      </c>
      <c r="L441" s="52">
        <v>0.7</v>
      </c>
      <c r="M441" s="47">
        <v>0.7</v>
      </c>
      <c r="N441" s="45" t="s">
        <v>54</v>
      </c>
      <c r="O441" s="48" t="s">
        <v>432</v>
      </c>
      <c r="P441" s="49" t="s">
        <v>124</v>
      </c>
      <c r="Q441" s="45" t="s">
        <v>148</v>
      </c>
      <c r="R441" s="49" t="s">
        <v>1718</v>
      </c>
      <c r="S441" s="49" t="s">
        <v>1719</v>
      </c>
      <c r="T441" s="49" t="s">
        <v>124</v>
      </c>
      <c r="U441" s="49" t="s">
        <v>124</v>
      </c>
      <c r="V441" s="49" t="s">
        <v>124</v>
      </c>
      <c r="W441" s="49" t="s">
        <v>124</v>
      </c>
      <c r="X441" s="49" t="s">
        <v>124</v>
      </c>
      <c r="Y441" s="50" t="str">
        <f>IF(CCUS_Projects_Database!$R441&lt;&gt;"",HYPERLINK(CCUS_Projects_Database!$R441,"Link 1"),"")</f>
        <v>Link 1</v>
      </c>
      <c r="Z441" s="50" t="str">
        <f>IF(CCUS_Projects_Database!$S441&lt;&gt;"",HYPERLINK(CCUS_Projects_Database!$S441,"Link 2"),"")</f>
        <v>Link 2</v>
      </c>
      <c r="AA441" s="50" t="str">
        <f>IF(CCUS_Projects_Database!$T441&lt;&gt;"",HYPERLINK(CCUS_Projects_Database!$T441,"Link 3"),"")</f>
        <v/>
      </c>
      <c r="AB441" s="50" t="str">
        <f>IF(CCUS_Projects_Database!$U441&lt;&gt;"",HYPERLINK(CCUS_Projects_Database!$U441,"Link 4"),"")</f>
        <v/>
      </c>
      <c r="AC441" s="50" t="str">
        <f>IF(CCUS_Projects_Database!$V441&lt;&gt;"",HYPERLINK(CCUS_Projects_Database!$V441,"Link 5"),"")</f>
        <v/>
      </c>
      <c r="AD441" s="50" t="str">
        <f>IF(CCUS_Projects_Database!$W441&lt;&gt;"",HYPERLINK(CCUS_Projects_Database!$W441,"Link 6"),"")</f>
        <v/>
      </c>
      <c r="AE441" s="50" t="str">
        <f>IF(CCUS_Projects_Database!$X441&lt;&gt;"",HYPERLINK(CCUS_Projects_Database!$X441,"Link 7"),"")</f>
        <v/>
      </c>
    </row>
    <row r="442" ht="15.75" customHeight="1">
      <c r="A442" s="37" t="s">
        <v>1720</v>
      </c>
      <c r="B442" s="38">
        <v>589.0</v>
      </c>
      <c r="C442" s="38" t="s">
        <v>157</v>
      </c>
      <c r="D442" s="39" t="s">
        <v>1721</v>
      </c>
      <c r="E442" s="38" t="s">
        <v>8</v>
      </c>
      <c r="F442" s="38">
        <v>2019.0</v>
      </c>
      <c r="G442" s="38" t="s">
        <v>124</v>
      </c>
      <c r="H442" s="38">
        <v>2028.0</v>
      </c>
      <c r="I442" s="38" t="s">
        <v>124</v>
      </c>
      <c r="J442" s="38" t="s">
        <v>28</v>
      </c>
      <c r="K442" s="40" t="s">
        <v>124</v>
      </c>
      <c r="L442" s="51">
        <v>0.86</v>
      </c>
      <c r="M442" s="40">
        <v>0.86</v>
      </c>
      <c r="N442" s="38" t="s">
        <v>54</v>
      </c>
      <c r="O442" s="41" t="s">
        <v>71</v>
      </c>
      <c r="P442" s="42" t="s">
        <v>571</v>
      </c>
      <c r="Q442" s="38" t="s">
        <v>125</v>
      </c>
      <c r="R442" s="42" t="s">
        <v>1722</v>
      </c>
      <c r="S442" s="42" t="s">
        <v>1723</v>
      </c>
      <c r="T442" s="42" t="s">
        <v>1724</v>
      </c>
      <c r="U442" s="42" t="s">
        <v>124</v>
      </c>
      <c r="V442" s="42" t="s">
        <v>124</v>
      </c>
      <c r="W442" s="42" t="s">
        <v>124</v>
      </c>
      <c r="X442" s="42" t="s">
        <v>124</v>
      </c>
      <c r="Y442" s="43" t="str">
        <f>IF(CCUS_Projects_Database!$R442&lt;&gt;"",HYPERLINK(CCUS_Projects_Database!$R442,"Link 1"),"")</f>
        <v>Link 1</v>
      </c>
      <c r="Z442" s="43" t="str">
        <f>IF(CCUS_Projects_Database!$S442&lt;&gt;"",HYPERLINK(CCUS_Projects_Database!$S442,"Link 2"),"")</f>
        <v>Link 2</v>
      </c>
      <c r="AA442" s="43" t="str">
        <f>IF(CCUS_Projects_Database!$T442&lt;&gt;"",HYPERLINK(CCUS_Projects_Database!$T442,"Link 3"),"")</f>
        <v>Link 3</v>
      </c>
      <c r="AB442" s="43" t="str">
        <f>IF(CCUS_Projects_Database!$U442&lt;&gt;"",HYPERLINK(CCUS_Projects_Database!$U442,"Link 4"),"")</f>
        <v/>
      </c>
      <c r="AC442" s="43" t="str">
        <f>IF(CCUS_Projects_Database!$V442&lt;&gt;"",HYPERLINK(CCUS_Projects_Database!$V442,"Link 5"),"")</f>
        <v/>
      </c>
      <c r="AD442" s="43" t="str">
        <f>IF(CCUS_Projects_Database!$W442&lt;&gt;"",HYPERLINK(CCUS_Projects_Database!$W442,"Link 6"),"")</f>
        <v/>
      </c>
      <c r="AE442" s="43" t="str">
        <f>IF(CCUS_Projects_Database!$X442&lt;&gt;"",HYPERLINK(CCUS_Projects_Database!$X442,"Link 7"),"")</f>
        <v/>
      </c>
    </row>
    <row r="443" ht="15.75" customHeight="1">
      <c r="A443" s="44" t="s">
        <v>1725</v>
      </c>
      <c r="B443" s="45">
        <v>225.0</v>
      </c>
      <c r="C443" s="45" t="s">
        <v>311</v>
      </c>
      <c r="D443" s="46" t="s">
        <v>1726</v>
      </c>
      <c r="E443" s="45" t="s">
        <v>8</v>
      </c>
      <c r="F443" s="45">
        <v>2021.0</v>
      </c>
      <c r="G443" s="45">
        <v>2024.0</v>
      </c>
      <c r="H443" s="45">
        <v>2030.0</v>
      </c>
      <c r="I443" s="45" t="s">
        <v>124</v>
      </c>
      <c r="J443" s="45" t="s">
        <v>28</v>
      </c>
      <c r="K443" s="47" t="s">
        <v>124</v>
      </c>
      <c r="L443" s="47"/>
      <c r="M443" s="47" t="s">
        <v>124</v>
      </c>
      <c r="N443" s="45" t="s">
        <v>60</v>
      </c>
      <c r="O443" s="48" t="s">
        <v>77</v>
      </c>
      <c r="P443" s="49" t="s">
        <v>124</v>
      </c>
      <c r="Q443" s="45" t="s">
        <v>125</v>
      </c>
      <c r="R443" s="49" t="s">
        <v>124</v>
      </c>
      <c r="S443" s="49" t="s">
        <v>124</v>
      </c>
      <c r="T443" s="49" t="s">
        <v>124</v>
      </c>
      <c r="U443" s="49" t="s">
        <v>124</v>
      </c>
      <c r="V443" s="49" t="s">
        <v>124</v>
      </c>
      <c r="W443" s="49" t="s">
        <v>124</v>
      </c>
      <c r="X443" s="49" t="s">
        <v>124</v>
      </c>
      <c r="Y443" s="50" t="str">
        <f>IF(CCUS_Projects_Database!$R443&lt;&gt;"",HYPERLINK(CCUS_Projects_Database!$R443,"Link 1"),"")</f>
        <v/>
      </c>
      <c r="Z443" s="50" t="str">
        <f>IF(CCUS_Projects_Database!$S443&lt;&gt;"",HYPERLINK(CCUS_Projects_Database!$S443,"Link 2"),"")</f>
        <v/>
      </c>
      <c r="AA443" s="50" t="str">
        <f>IF(CCUS_Projects_Database!$T443&lt;&gt;"",HYPERLINK(CCUS_Projects_Database!$T443,"Link 3"),"")</f>
        <v/>
      </c>
      <c r="AB443" s="50" t="str">
        <f>IF(CCUS_Projects_Database!$U443&lt;&gt;"",HYPERLINK(CCUS_Projects_Database!$U443,"Link 4"),"")</f>
        <v/>
      </c>
      <c r="AC443" s="50" t="str">
        <f>IF(CCUS_Projects_Database!$V443&lt;&gt;"",HYPERLINK(CCUS_Projects_Database!$V443,"Link 5"),"")</f>
        <v/>
      </c>
      <c r="AD443" s="50" t="str">
        <f>IF(CCUS_Projects_Database!$W443&lt;&gt;"",HYPERLINK(CCUS_Projects_Database!$W443,"Link 6"),"")</f>
        <v/>
      </c>
      <c r="AE443" s="50" t="str">
        <f>IF(CCUS_Projects_Database!$X443&lt;&gt;"",HYPERLINK(CCUS_Projects_Database!$X443,"Link 7"),"")</f>
        <v/>
      </c>
    </row>
    <row r="444" ht="15.75" customHeight="1">
      <c r="A444" s="37" t="s">
        <v>1727</v>
      </c>
      <c r="B444" s="38">
        <v>226.0</v>
      </c>
      <c r="C444" s="38" t="s">
        <v>157</v>
      </c>
      <c r="D444" s="39" t="s">
        <v>1728</v>
      </c>
      <c r="E444" s="38" t="s">
        <v>8</v>
      </c>
      <c r="F444" s="38">
        <v>2021.0</v>
      </c>
      <c r="G444" s="38" t="s">
        <v>124</v>
      </c>
      <c r="H444" s="38">
        <v>2030.0</v>
      </c>
      <c r="I444" s="38" t="s">
        <v>124</v>
      </c>
      <c r="J444" s="38" t="s">
        <v>28</v>
      </c>
      <c r="K444" s="40" t="s">
        <v>124</v>
      </c>
      <c r="L444" s="51">
        <v>1.0</v>
      </c>
      <c r="M444" s="40">
        <v>1.0</v>
      </c>
      <c r="N444" s="38" t="s">
        <v>60</v>
      </c>
      <c r="O444" s="41" t="s">
        <v>71</v>
      </c>
      <c r="P444" s="42" t="s">
        <v>159</v>
      </c>
      <c r="Q444" s="38" t="s">
        <v>125</v>
      </c>
      <c r="R444" s="42" t="s">
        <v>1729</v>
      </c>
      <c r="S444" s="42" t="s">
        <v>1730</v>
      </c>
      <c r="T444" s="42" t="s">
        <v>124</v>
      </c>
      <c r="U444" s="42" t="s">
        <v>124</v>
      </c>
      <c r="V444" s="42" t="s">
        <v>124</v>
      </c>
      <c r="W444" s="42" t="s">
        <v>124</v>
      </c>
      <c r="X444" s="42" t="s">
        <v>124</v>
      </c>
      <c r="Y444" s="43" t="str">
        <f>IF(CCUS_Projects_Database!$R444&lt;&gt;"",HYPERLINK(CCUS_Projects_Database!$R444,"Link 1"),"")</f>
        <v>Link 1</v>
      </c>
      <c r="Z444" s="43" t="str">
        <f>IF(CCUS_Projects_Database!$S444&lt;&gt;"",HYPERLINK(CCUS_Projects_Database!$S444,"Link 2"),"")</f>
        <v>Link 2</v>
      </c>
      <c r="AA444" s="43" t="str">
        <f>IF(CCUS_Projects_Database!$T444&lt;&gt;"",HYPERLINK(CCUS_Projects_Database!$T444,"Link 3"),"")</f>
        <v/>
      </c>
      <c r="AB444" s="43" t="str">
        <f>IF(CCUS_Projects_Database!$U444&lt;&gt;"",HYPERLINK(CCUS_Projects_Database!$U444,"Link 4"),"")</f>
        <v/>
      </c>
      <c r="AC444" s="43" t="str">
        <f>IF(CCUS_Projects_Database!$V444&lt;&gt;"",HYPERLINK(CCUS_Projects_Database!$V444,"Link 5"),"")</f>
        <v/>
      </c>
      <c r="AD444" s="43" t="str">
        <f>IF(CCUS_Projects_Database!$W444&lt;&gt;"",HYPERLINK(CCUS_Projects_Database!$W444,"Link 6"),"")</f>
        <v/>
      </c>
      <c r="AE444" s="43" t="str">
        <f>IF(CCUS_Projects_Database!$X444&lt;&gt;"",HYPERLINK(CCUS_Projects_Database!$X444,"Link 7"),"")</f>
        <v/>
      </c>
    </row>
    <row r="445" ht="15.75" customHeight="1">
      <c r="A445" s="44" t="s">
        <v>1731</v>
      </c>
      <c r="B445" s="45">
        <v>604.0</v>
      </c>
      <c r="C445" s="45" t="s">
        <v>239</v>
      </c>
      <c r="D445" s="46" t="s">
        <v>1732</v>
      </c>
      <c r="E445" s="45" t="s">
        <v>8</v>
      </c>
      <c r="F445" s="45">
        <v>2022.0</v>
      </c>
      <c r="G445" s="45" t="s">
        <v>124</v>
      </c>
      <c r="H445" s="45" t="s">
        <v>124</v>
      </c>
      <c r="I445" s="45" t="s">
        <v>124</v>
      </c>
      <c r="J445" s="45" t="s">
        <v>28</v>
      </c>
      <c r="K445" s="47" t="s">
        <v>124</v>
      </c>
      <c r="L445" s="47"/>
      <c r="M445" s="47" t="s">
        <v>124</v>
      </c>
      <c r="N445" s="45" t="s">
        <v>46</v>
      </c>
      <c r="O445" s="48" t="s">
        <v>77</v>
      </c>
      <c r="P445" s="49" t="s">
        <v>462</v>
      </c>
      <c r="Q445" s="45" t="s">
        <v>143</v>
      </c>
      <c r="R445" s="49" t="s">
        <v>1733</v>
      </c>
      <c r="S445" s="49" t="s">
        <v>124</v>
      </c>
      <c r="T445" s="49" t="s">
        <v>124</v>
      </c>
      <c r="U445" s="49" t="s">
        <v>124</v>
      </c>
      <c r="V445" s="49" t="s">
        <v>124</v>
      </c>
      <c r="W445" s="49" t="s">
        <v>124</v>
      </c>
      <c r="X445" s="49" t="s">
        <v>124</v>
      </c>
      <c r="Y445" s="50" t="str">
        <f>IF(CCUS_Projects_Database!$R445&lt;&gt;"",HYPERLINK(CCUS_Projects_Database!$R445,"Link 1"),"")</f>
        <v>Link 1</v>
      </c>
      <c r="Z445" s="50" t="str">
        <f>IF(CCUS_Projects_Database!$S445&lt;&gt;"",HYPERLINK(CCUS_Projects_Database!$S445,"Link 2"),"")</f>
        <v/>
      </c>
      <c r="AA445" s="50" t="str">
        <f>IF(CCUS_Projects_Database!$T445&lt;&gt;"",HYPERLINK(CCUS_Projects_Database!$T445,"Link 3"),"")</f>
        <v/>
      </c>
      <c r="AB445" s="50" t="str">
        <f>IF(CCUS_Projects_Database!$U445&lt;&gt;"",HYPERLINK(CCUS_Projects_Database!$U445,"Link 4"),"")</f>
        <v/>
      </c>
      <c r="AC445" s="50" t="str">
        <f>IF(CCUS_Projects_Database!$V445&lt;&gt;"",HYPERLINK(CCUS_Projects_Database!$V445,"Link 5"),"")</f>
        <v/>
      </c>
      <c r="AD445" s="50" t="str">
        <f>IF(CCUS_Projects_Database!$W445&lt;&gt;"",HYPERLINK(CCUS_Projects_Database!$W445,"Link 6"),"")</f>
        <v/>
      </c>
      <c r="AE445" s="50" t="str">
        <f>IF(CCUS_Projects_Database!$X445&lt;&gt;"",HYPERLINK(CCUS_Projects_Database!$X445,"Link 7"),"")</f>
        <v/>
      </c>
    </row>
    <row r="446" ht="15.75" customHeight="1">
      <c r="A446" s="37" t="s">
        <v>1734</v>
      </c>
      <c r="B446" s="38">
        <v>616.0</v>
      </c>
      <c r="C446" s="38" t="s">
        <v>141</v>
      </c>
      <c r="D446" s="39" t="s">
        <v>1735</v>
      </c>
      <c r="E446" s="38" t="s">
        <v>8</v>
      </c>
      <c r="F446" s="38">
        <v>2023.0</v>
      </c>
      <c r="G446" s="38" t="s">
        <v>124</v>
      </c>
      <c r="H446" s="38">
        <v>2030.0</v>
      </c>
      <c r="I446" s="38" t="s">
        <v>124</v>
      </c>
      <c r="J446" s="38" t="s">
        <v>28</v>
      </c>
      <c r="K446" s="40">
        <v>1.0</v>
      </c>
      <c r="L446" s="40"/>
      <c r="M446" s="40" t="s">
        <v>124</v>
      </c>
      <c r="N446" s="38" t="s">
        <v>136</v>
      </c>
      <c r="O446" s="41" t="s">
        <v>77</v>
      </c>
      <c r="P446" s="42" t="s">
        <v>124</v>
      </c>
      <c r="Q446" s="38" t="s">
        <v>143</v>
      </c>
      <c r="R446" s="42" t="s">
        <v>1736</v>
      </c>
      <c r="S446" s="42" t="s">
        <v>124</v>
      </c>
      <c r="T446" s="42" t="s">
        <v>124</v>
      </c>
      <c r="U446" s="42" t="s">
        <v>124</v>
      </c>
      <c r="V446" s="42" t="s">
        <v>124</v>
      </c>
      <c r="W446" s="42" t="s">
        <v>124</v>
      </c>
      <c r="X446" s="42" t="s">
        <v>124</v>
      </c>
      <c r="Y446" s="43" t="str">
        <f>IF(CCUS_Projects_Database!$R446&lt;&gt;"",HYPERLINK(CCUS_Projects_Database!$R446,"Link 1"),"")</f>
        <v>Link 1</v>
      </c>
      <c r="Z446" s="43" t="str">
        <f>IF(CCUS_Projects_Database!$S446&lt;&gt;"",HYPERLINK(CCUS_Projects_Database!$S446,"Link 2"),"")</f>
        <v/>
      </c>
      <c r="AA446" s="43" t="str">
        <f>IF(CCUS_Projects_Database!$T446&lt;&gt;"",HYPERLINK(CCUS_Projects_Database!$T446,"Link 3"),"")</f>
        <v/>
      </c>
      <c r="AB446" s="43" t="str">
        <f>IF(CCUS_Projects_Database!$U446&lt;&gt;"",HYPERLINK(CCUS_Projects_Database!$U446,"Link 4"),"")</f>
        <v/>
      </c>
      <c r="AC446" s="43" t="str">
        <f>IF(CCUS_Projects_Database!$V446&lt;&gt;"",HYPERLINK(CCUS_Projects_Database!$V446,"Link 5"),"")</f>
        <v/>
      </c>
      <c r="AD446" s="43" t="str">
        <f>IF(CCUS_Projects_Database!$W446&lt;&gt;"",HYPERLINK(CCUS_Projects_Database!$W446,"Link 6"),"")</f>
        <v/>
      </c>
      <c r="AE446" s="43" t="str">
        <f>IF(CCUS_Projects_Database!$X446&lt;&gt;"",HYPERLINK(CCUS_Projects_Database!$X446,"Link 7"),"")</f>
        <v/>
      </c>
    </row>
    <row r="447" ht="15.75" customHeight="1">
      <c r="A447" s="44" t="s">
        <v>1737</v>
      </c>
      <c r="B447" s="45">
        <v>617.0</v>
      </c>
      <c r="C447" s="45" t="s">
        <v>141</v>
      </c>
      <c r="D447" s="46" t="s">
        <v>1735</v>
      </c>
      <c r="E447" s="45" t="s">
        <v>8</v>
      </c>
      <c r="F447" s="45">
        <v>2023.0</v>
      </c>
      <c r="G447" s="45" t="s">
        <v>124</v>
      </c>
      <c r="H447" s="45" t="s">
        <v>124</v>
      </c>
      <c r="I447" s="45" t="s">
        <v>124</v>
      </c>
      <c r="J447" s="45" t="s">
        <v>28</v>
      </c>
      <c r="K447" s="47">
        <v>2.0</v>
      </c>
      <c r="L447" s="52">
        <v>10.0</v>
      </c>
      <c r="M447" s="47">
        <v>10.0</v>
      </c>
      <c r="N447" s="45" t="s">
        <v>136</v>
      </c>
      <c r="O447" s="48" t="s">
        <v>77</v>
      </c>
      <c r="P447" s="49" t="s">
        <v>124</v>
      </c>
      <c r="Q447" s="45" t="s">
        <v>143</v>
      </c>
      <c r="R447" s="49" t="s">
        <v>1736</v>
      </c>
      <c r="S447" s="49" t="s">
        <v>124</v>
      </c>
      <c r="T447" s="49" t="s">
        <v>124</v>
      </c>
      <c r="U447" s="49" t="s">
        <v>124</v>
      </c>
      <c r="V447" s="49" t="s">
        <v>124</v>
      </c>
      <c r="W447" s="49" t="s">
        <v>124</v>
      </c>
      <c r="X447" s="49" t="s">
        <v>124</v>
      </c>
      <c r="Y447" s="50" t="str">
        <f>IF(CCUS_Projects_Database!$R447&lt;&gt;"",HYPERLINK(CCUS_Projects_Database!$R447,"Link 1"),"")</f>
        <v>Link 1</v>
      </c>
      <c r="Z447" s="50" t="str">
        <f>IF(CCUS_Projects_Database!$S447&lt;&gt;"",HYPERLINK(CCUS_Projects_Database!$S447,"Link 2"),"")</f>
        <v/>
      </c>
      <c r="AA447" s="50" t="str">
        <f>IF(CCUS_Projects_Database!$T447&lt;&gt;"",HYPERLINK(CCUS_Projects_Database!$T447,"Link 3"),"")</f>
        <v/>
      </c>
      <c r="AB447" s="50" t="str">
        <f>IF(CCUS_Projects_Database!$U447&lt;&gt;"",HYPERLINK(CCUS_Projects_Database!$U447,"Link 4"),"")</f>
        <v/>
      </c>
      <c r="AC447" s="50" t="str">
        <f>IF(CCUS_Projects_Database!$V447&lt;&gt;"",HYPERLINK(CCUS_Projects_Database!$V447,"Link 5"),"")</f>
        <v/>
      </c>
      <c r="AD447" s="50" t="str">
        <f>IF(CCUS_Projects_Database!$W447&lt;&gt;"",HYPERLINK(CCUS_Projects_Database!$W447,"Link 6"),"")</f>
        <v/>
      </c>
      <c r="AE447" s="50" t="str">
        <f>IF(CCUS_Projects_Database!$X447&lt;&gt;"",HYPERLINK(CCUS_Projects_Database!$X447,"Link 7"),"")</f>
        <v/>
      </c>
    </row>
    <row r="448" ht="15.75" customHeight="1">
      <c r="A448" s="37" t="s">
        <v>1738</v>
      </c>
      <c r="B448" s="38">
        <v>229.0</v>
      </c>
      <c r="C448" s="38" t="s">
        <v>239</v>
      </c>
      <c r="D448" s="39" t="s">
        <v>1739</v>
      </c>
      <c r="E448" s="38" t="s">
        <v>6</v>
      </c>
      <c r="F448" s="38">
        <v>2021.0</v>
      </c>
      <c r="G448" s="38" t="s">
        <v>124</v>
      </c>
      <c r="H448" s="38">
        <v>2027.0</v>
      </c>
      <c r="I448" s="38" t="s">
        <v>124</v>
      </c>
      <c r="J448" s="38" t="s">
        <v>28</v>
      </c>
      <c r="K448" s="40" t="s">
        <v>124</v>
      </c>
      <c r="L448" s="40"/>
      <c r="M448" s="40" t="s">
        <v>124</v>
      </c>
      <c r="N448" s="38" t="s">
        <v>136</v>
      </c>
      <c r="O448" s="41" t="s">
        <v>71</v>
      </c>
      <c r="P448" s="42" t="s">
        <v>124</v>
      </c>
      <c r="Q448" s="38" t="s">
        <v>143</v>
      </c>
      <c r="R448" s="42" t="s">
        <v>1740</v>
      </c>
      <c r="S448" s="42" t="s">
        <v>1741</v>
      </c>
      <c r="T448" s="42" t="s">
        <v>124</v>
      </c>
      <c r="U448" s="42" t="s">
        <v>124</v>
      </c>
      <c r="V448" s="42" t="s">
        <v>124</v>
      </c>
      <c r="W448" s="42" t="s">
        <v>124</v>
      </c>
      <c r="X448" s="42" t="s">
        <v>124</v>
      </c>
      <c r="Y448" s="43" t="str">
        <f>IF(CCUS_Projects_Database!$R448&lt;&gt;"",HYPERLINK(CCUS_Projects_Database!$R448,"Link 1"),"")</f>
        <v>Link 1</v>
      </c>
      <c r="Z448" s="43" t="str">
        <f>IF(CCUS_Projects_Database!$S448&lt;&gt;"",HYPERLINK(CCUS_Projects_Database!$S448,"Link 2"),"")</f>
        <v>Link 2</v>
      </c>
      <c r="AA448" s="43" t="str">
        <f>IF(CCUS_Projects_Database!$T448&lt;&gt;"",HYPERLINK(CCUS_Projects_Database!$T448,"Link 3"),"")</f>
        <v/>
      </c>
      <c r="AB448" s="43" t="str">
        <f>IF(CCUS_Projects_Database!$U448&lt;&gt;"",HYPERLINK(CCUS_Projects_Database!$U448,"Link 4"),"")</f>
        <v/>
      </c>
      <c r="AC448" s="43" t="str">
        <f>IF(CCUS_Projects_Database!$V448&lt;&gt;"",HYPERLINK(CCUS_Projects_Database!$V448,"Link 5"),"")</f>
        <v/>
      </c>
      <c r="AD448" s="43" t="str">
        <f>IF(CCUS_Projects_Database!$W448&lt;&gt;"",HYPERLINK(CCUS_Projects_Database!$W448,"Link 6"),"")</f>
        <v/>
      </c>
      <c r="AE448" s="43" t="str">
        <f>IF(CCUS_Projects_Database!$X448&lt;&gt;"",HYPERLINK(CCUS_Projects_Database!$X448,"Link 7"),"")</f>
        <v/>
      </c>
    </row>
    <row r="449" ht="15.75" customHeight="1">
      <c r="A449" s="44" t="s">
        <v>1742</v>
      </c>
      <c r="B449" s="45">
        <v>704.0</v>
      </c>
      <c r="C449" s="45" t="s">
        <v>181</v>
      </c>
      <c r="D449" s="46" t="s">
        <v>1743</v>
      </c>
      <c r="E449" s="45" t="s">
        <v>6</v>
      </c>
      <c r="F449" s="45">
        <v>2023.0</v>
      </c>
      <c r="G449" s="45" t="s">
        <v>124</v>
      </c>
      <c r="H449" s="45" t="s">
        <v>124</v>
      </c>
      <c r="I449" s="45" t="s">
        <v>124</v>
      </c>
      <c r="J449" s="45" t="s">
        <v>28</v>
      </c>
      <c r="K449" s="47" t="s">
        <v>124</v>
      </c>
      <c r="L449" s="52">
        <v>0.5</v>
      </c>
      <c r="M449" s="47" t="s">
        <v>124</v>
      </c>
      <c r="N449" s="45" t="s">
        <v>136</v>
      </c>
      <c r="O449" s="48" t="s">
        <v>71</v>
      </c>
      <c r="P449" s="49" t="s">
        <v>124</v>
      </c>
      <c r="Q449" s="45" t="s">
        <v>184</v>
      </c>
      <c r="R449" s="49" t="s">
        <v>1744</v>
      </c>
      <c r="S449" s="49" t="s">
        <v>124</v>
      </c>
      <c r="T449" s="49" t="s">
        <v>124</v>
      </c>
      <c r="U449" s="49" t="s">
        <v>124</v>
      </c>
      <c r="V449" s="49" t="s">
        <v>124</v>
      </c>
      <c r="W449" s="49" t="s">
        <v>124</v>
      </c>
      <c r="X449" s="49" t="s">
        <v>124</v>
      </c>
      <c r="Y449" s="50" t="str">
        <f>IF(CCUS_Projects_Database!$R455&lt;&gt;"",HYPERLINK(CCUS_Projects_Database!$R455,"Link 1"),"")</f>
        <v>Link 1</v>
      </c>
      <c r="Z449" s="50" t="str">
        <f>IF(CCUS_Projects_Database!$S455&lt;&gt;"",HYPERLINK(CCUS_Projects_Database!$S455,"Link 2"),"")</f>
        <v>Link 2</v>
      </c>
      <c r="AA449" s="50" t="str">
        <f>IF(CCUS_Projects_Database!$T455&lt;&gt;"",HYPERLINK(CCUS_Projects_Database!$T455,"Link 3"),"")</f>
        <v>Link 3</v>
      </c>
      <c r="AB449" s="50" t="str">
        <f>IF(CCUS_Projects_Database!$U455&lt;&gt;"",HYPERLINK(CCUS_Projects_Database!$U455,"Link 4"),"")</f>
        <v/>
      </c>
      <c r="AC449" s="50" t="str">
        <f>IF(CCUS_Projects_Database!$V455&lt;&gt;"",HYPERLINK(CCUS_Projects_Database!$V455,"Link 5"),"")</f>
        <v/>
      </c>
      <c r="AD449" s="50" t="str">
        <f>IF(CCUS_Projects_Database!$W455&lt;&gt;"",HYPERLINK(CCUS_Projects_Database!$W455,"Link 6"),"")</f>
        <v/>
      </c>
      <c r="AE449" s="50" t="str">
        <f>IF(CCUS_Projects_Database!$X455&lt;&gt;"",HYPERLINK(CCUS_Projects_Database!$X455,"Link 7"),"")</f>
        <v/>
      </c>
    </row>
    <row r="450" ht="15.75" customHeight="1">
      <c r="A450" s="37" t="s">
        <v>1745</v>
      </c>
      <c r="B450" s="38">
        <v>231.0</v>
      </c>
      <c r="C450" s="38" t="s">
        <v>141</v>
      </c>
      <c r="D450" s="39" t="s">
        <v>1746</v>
      </c>
      <c r="E450" s="38" t="s">
        <v>8</v>
      </c>
      <c r="F450" s="38">
        <v>2022.0</v>
      </c>
      <c r="G450" s="38" t="s">
        <v>124</v>
      </c>
      <c r="H450" s="38">
        <v>2030.0</v>
      </c>
      <c r="I450" s="38" t="s">
        <v>124</v>
      </c>
      <c r="J450" s="38" t="s">
        <v>28</v>
      </c>
      <c r="K450" s="40" t="s">
        <v>124</v>
      </c>
      <c r="L450" s="40"/>
      <c r="M450" s="40">
        <v>0.5</v>
      </c>
      <c r="N450" s="38" t="s">
        <v>46</v>
      </c>
      <c r="O450" s="41" t="s">
        <v>77</v>
      </c>
      <c r="P450" s="42" t="s">
        <v>124</v>
      </c>
      <c r="Q450" s="38" t="s">
        <v>143</v>
      </c>
      <c r="R450" s="42" t="s">
        <v>1747</v>
      </c>
      <c r="S450" s="42" t="s">
        <v>1748</v>
      </c>
      <c r="T450" s="42" t="s">
        <v>124</v>
      </c>
      <c r="U450" s="42" t="s">
        <v>124</v>
      </c>
      <c r="V450" s="42" t="s">
        <v>124</v>
      </c>
      <c r="W450" s="42" t="s">
        <v>124</v>
      </c>
      <c r="X450" s="42" t="s">
        <v>124</v>
      </c>
      <c r="Y450" s="43" t="str">
        <f>IF(CCUS_Projects_Database!$R449&lt;&gt;"",HYPERLINK(CCUS_Projects_Database!$R449,"Link 1"),"")</f>
        <v>Link 1</v>
      </c>
      <c r="Z450" s="43" t="str">
        <f>IF(CCUS_Projects_Database!$S449&lt;&gt;"",HYPERLINK(CCUS_Projects_Database!$S449,"Link 2"),"")</f>
        <v/>
      </c>
      <c r="AA450" s="43" t="str">
        <f>IF(CCUS_Projects_Database!$T449&lt;&gt;"",HYPERLINK(CCUS_Projects_Database!$T449,"Link 3"),"")</f>
        <v/>
      </c>
      <c r="AB450" s="43" t="str">
        <f>IF(CCUS_Projects_Database!$U449&lt;&gt;"",HYPERLINK(CCUS_Projects_Database!$U449,"Link 4"),"")</f>
        <v/>
      </c>
      <c r="AC450" s="43" t="str">
        <f>IF(CCUS_Projects_Database!$V449&lt;&gt;"",HYPERLINK(CCUS_Projects_Database!$V449,"Link 5"),"")</f>
        <v/>
      </c>
      <c r="AD450" s="43" t="str">
        <f>IF(CCUS_Projects_Database!$W449&lt;&gt;"",HYPERLINK(CCUS_Projects_Database!$W449,"Link 6"),"")</f>
        <v/>
      </c>
      <c r="AE450" s="43" t="str">
        <f>IF(CCUS_Projects_Database!$X449&lt;&gt;"",HYPERLINK(CCUS_Projects_Database!$X449,"Link 7"),"")</f>
        <v/>
      </c>
    </row>
    <row r="451" ht="15.75" customHeight="1">
      <c r="A451" s="44" t="s">
        <v>1749</v>
      </c>
      <c r="B451" s="45">
        <v>232.0</v>
      </c>
      <c r="C451" s="45" t="s">
        <v>141</v>
      </c>
      <c r="D451" s="46" t="s">
        <v>1750</v>
      </c>
      <c r="E451" s="45" t="s">
        <v>8</v>
      </c>
      <c r="F451" s="45">
        <v>2021.0</v>
      </c>
      <c r="G451" s="45" t="s">
        <v>124</v>
      </c>
      <c r="H451" s="45" t="s">
        <v>124</v>
      </c>
      <c r="I451" s="45" t="s">
        <v>124</v>
      </c>
      <c r="J451" s="45" t="s">
        <v>28</v>
      </c>
      <c r="K451" s="47" t="s">
        <v>124</v>
      </c>
      <c r="L451" s="52">
        <v>0.1</v>
      </c>
      <c r="M451" s="47" t="s">
        <v>124</v>
      </c>
      <c r="N451" s="45" t="s">
        <v>136</v>
      </c>
      <c r="O451" s="48" t="s">
        <v>77</v>
      </c>
      <c r="P451" s="49" t="s">
        <v>124</v>
      </c>
      <c r="Q451" s="45" t="s">
        <v>143</v>
      </c>
      <c r="R451" s="49" t="s">
        <v>1751</v>
      </c>
      <c r="S451" s="49" t="s">
        <v>1752</v>
      </c>
      <c r="T451" s="49" t="s">
        <v>124</v>
      </c>
      <c r="U451" s="49" t="s">
        <v>124</v>
      </c>
      <c r="V451" s="49" t="s">
        <v>124</v>
      </c>
      <c r="W451" s="49" t="s">
        <v>124</v>
      </c>
      <c r="X451" s="49" t="s">
        <v>124</v>
      </c>
      <c r="Y451" s="50" t="str">
        <f>IF(CCUS_Projects_Database!$R450&lt;&gt;"",HYPERLINK(CCUS_Projects_Database!$R450,"Link 1"),"")</f>
        <v>Link 1</v>
      </c>
      <c r="Z451" s="50" t="str">
        <f>IF(CCUS_Projects_Database!$S450&lt;&gt;"",HYPERLINK(CCUS_Projects_Database!$S450,"Link 2"),"")</f>
        <v>Link 2</v>
      </c>
      <c r="AA451" s="50" t="str">
        <f>IF(CCUS_Projects_Database!$T450&lt;&gt;"",HYPERLINK(CCUS_Projects_Database!$T450,"Link 3"),"")</f>
        <v/>
      </c>
      <c r="AB451" s="50" t="str">
        <f>IF(CCUS_Projects_Database!$U450&lt;&gt;"",HYPERLINK(CCUS_Projects_Database!$U450,"Link 4"),"")</f>
        <v/>
      </c>
      <c r="AC451" s="50" t="str">
        <f>IF(CCUS_Projects_Database!$V450&lt;&gt;"",HYPERLINK(CCUS_Projects_Database!$V450,"Link 5"),"")</f>
        <v/>
      </c>
      <c r="AD451" s="50" t="str">
        <f>IF(CCUS_Projects_Database!$W450&lt;&gt;"",HYPERLINK(CCUS_Projects_Database!$W450,"Link 6"),"")</f>
        <v/>
      </c>
      <c r="AE451" s="50" t="str">
        <f>IF(CCUS_Projects_Database!$X450&lt;&gt;"",HYPERLINK(CCUS_Projects_Database!$X450,"Link 7"),"")</f>
        <v/>
      </c>
    </row>
    <row r="452" ht="15.75" customHeight="1">
      <c r="A452" s="37" t="s">
        <v>1753</v>
      </c>
      <c r="B452" s="38">
        <v>643.0</v>
      </c>
      <c r="C452" s="38" t="s">
        <v>224</v>
      </c>
      <c r="D452" s="39" t="s">
        <v>1754</v>
      </c>
      <c r="E452" s="38" t="s">
        <v>6</v>
      </c>
      <c r="F452" s="38">
        <v>2021.0</v>
      </c>
      <c r="G452" s="38">
        <v>2022.0</v>
      </c>
      <c r="H452" s="38">
        <v>2023.0</v>
      </c>
      <c r="I452" s="38" t="s">
        <v>124</v>
      </c>
      <c r="J452" s="38" t="s">
        <v>32</v>
      </c>
      <c r="K452" s="40">
        <v>1.0</v>
      </c>
      <c r="L452" s="51">
        <v>2.0</v>
      </c>
      <c r="M452" s="40">
        <v>0.1</v>
      </c>
      <c r="N452" s="38" t="s">
        <v>54</v>
      </c>
      <c r="O452" s="41" t="s">
        <v>73</v>
      </c>
      <c r="P452" s="42" t="s">
        <v>1755</v>
      </c>
      <c r="Q452" s="38" t="s">
        <v>148</v>
      </c>
      <c r="R452" s="42" t="s">
        <v>1756</v>
      </c>
      <c r="S452" s="42" t="s">
        <v>124</v>
      </c>
      <c r="T452" s="42" t="s">
        <v>124</v>
      </c>
      <c r="U452" s="42" t="s">
        <v>124</v>
      </c>
      <c r="V452" s="42" t="s">
        <v>124</v>
      </c>
      <c r="W452" s="42" t="s">
        <v>124</v>
      </c>
      <c r="X452" s="42" t="s">
        <v>124</v>
      </c>
      <c r="Y452" s="43" t="str">
        <f>IF(CCUS_Projects_Database!$R451&lt;&gt;"",HYPERLINK(CCUS_Projects_Database!$R451,"Link 1"),"")</f>
        <v>Link 1</v>
      </c>
      <c r="Z452" s="43" t="str">
        <f>IF(CCUS_Projects_Database!$S451&lt;&gt;"",HYPERLINK(CCUS_Projects_Database!$S451,"Link 2"),"")</f>
        <v>Link 2</v>
      </c>
      <c r="AA452" s="43" t="str">
        <f>IF(CCUS_Projects_Database!$T451&lt;&gt;"",HYPERLINK(CCUS_Projects_Database!$T451,"Link 3"),"")</f>
        <v/>
      </c>
      <c r="AB452" s="43" t="str">
        <f>IF(CCUS_Projects_Database!$U451&lt;&gt;"",HYPERLINK(CCUS_Projects_Database!$U451,"Link 4"),"")</f>
        <v/>
      </c>
      <c r="AC452" s="43" t="str">
        <f>IF(CCUS_Projects_Database!$V451&lt;&gt;"",HYPERLINK(CCUS_Projects_Database!$V451,"Link 5"),"")</f>
        <v/>
      </c>
      <c r="AD452" s="43" t="str">
        <f>IF(CCUS_Projects_Database!$W451&lt;&gt;"",HYPERLINK(CCUS_Projects_Database!$W451,"Link 6"),"")</f>
        <v/>
      </c>
      <c r="AE452" s="43" t="str">
        <f>IF(CCUS_Projects_Database!$X451&lt;&gt;"",HYPERLINK(CCUS_Projects_Database!$X451,"Link 7"),"")</f>
        <v/>
      </c>
    </row>
    <row r="453" ht="15.75" customHeight="1">
      <c r="A453" s="44" t="s">
        <v>1757</v>
      </c>
      <c r="B453" s="45">
        <v>957.0</v>
      </c>
      <c r="C453" s="45" t="s">
        <v>1758</v>
      </c>
      <c r="D453" s="46" t="s">
        <v>1759</v>
      </c>
      <c r="E453" s="45" t="s">
        <v>14</v>
      </c>
      <c r="F453" s="45">
        <v>2022.0</v>
      </c>
      <c r="G453" s="45">
        <v>2025.0</v>
      </c>
      <c r="H453" s="45">
        <v>2028.0</v>
      </c>
      <c r="I453" s="45" t="s">
        <v>124</v>
      </c>
      <c r="J453" s="45" t="s">
        <v>28</v>
      </c>
      <c r="K453" s="47">
        <v>1.0</v>
      </c>
      <c r="L453" s="52">
        <v>8.0</v>
      </c>
      <c r="M453" s="47">
        <v>2.0</v>
      </c>
      <c r="N453" s="45" t="s">
        <v>14</v>
      </c>
      <c r="O453" s="48" t="s">
        <v>71</v>
      </c>
      <c r="P453" s="49" t="s">
        <v>124</v>
      </c>
      <c r="Q453" s="45" t="s">
        <v>148</v>
      </c>
      <c r="R453" s="49" t="s">
        <v>1760</v>
      </c>
      <c r="S453" s="49" t="s">
        <v>1761</v>
      </c>
      <c r="T453" s="49" t="s">
        <v>124</v>
      </c>
      <c r="U453" s="49" t="s">
        <v>124</v>
      </c>
      <c r="V453" s="49" t="s">
        <v>124</v>
      </c>
      <c r="W453" s="49" t="s">
        <v>124</v>
      </c>
      <c r="X453" s="49" t="s">
        <v>124</v>
      </c>
      <c r="Y453" s="50" t="str">
        <f>IF(CCUS_Projects_Database!$R452&lt;&gt;"",HYPERLINK(CCUS_Projects_Database!$R452,"Link 1"),"")</f>
        <v>Link 1</v>
      </c>
      <c r="Z453" s="50" t="str">
        <f>IF(CCUS_Projects_Database!$S452&lt;&gt;"",HYPERLINK(CCUS_Projects_Database!$S452,"Link 2"),"")</f>
        <v/>
      </c>
      <c r="AA453" s="50" t="str">
        <f>IF(CCUS_Projects_Database!$T452&lt;&gt;"",HYPERLINK(CCUS_Projects_Database!$T452,"Link 3"),"")</f>
        <v/>
      </c>
      <c r="AB453" s="50" t="str">
        <f>IF(CCUS_Projects_Database!$U452&lt;&gt;"",HYPERLINK(CCUS_Projects_Database!$U452,"Link 4"),"")</f>
        <v/>
      </c>
      <c r="AC453" s="50" t="str">
        <f>IF(CCUS_Projects_Database!$V452&lt;&gt;"",HYPERLINK(CCUS_Projects_Database!$V452,"Link 5"),"")</f>
        <v/>
      </c>
      <c r="AD453" s="50" t="str">
        <f>IF(CCUS_Projects_Database!$W452&lt;&gt;"",HYPERLINK(CCUS_Projects_Database!$W452,"Link 6"),"")</f>
        <v/>
      </c>
      <c r="AE453" s="50" t="str">
        <f>IF(CCUS_Projects_Database!$X452&lt;&gt;"",HYPERLINK(CCUS_Projects_Database!$X452,"Link 7"),"")</f>
        <v/>
      </c>
    </row>
    <row r="454" ht="15.75" customHeight="1">
      <c r="A454" s="37" t="s">
        <v>1762</v>
      </c>
      <c r="B454" s="38">
        <v>958.0</v>
      </c>
      <c r="C454" s="38" t="s">
        <v>1758</v>
      </c>
      <c r="D454" s="39" t="s">
        <v>1759</v>
      </c>
      <c r="E454" s="38" t="s">
        <v>14</v>
      </c>
      <c r="F454" s="38">
        <v>2022.0</v>
      </c>
      <c r="G454" s="38" t="s">
        <v>124</v>
      </c>
      <c r="H454" s="38">
        <v>2030.0</v>
      </c>
      <c r="I454" s="38" t="s">
        <v>124</v>
      </c>
      <c r="J454" s="38" t="s">
        <v>28</v>
      </c>
      <c r="K454" s="40">
        <v>2.0</v>
      </c>
      <c r="L454" s="40"/>
      <c r="M454" s="40">
        <v>8.0</v>
      </c>
      <c r="N454" s="38" t="s">
        <v>14</v>
      </c>
      <c r="O454" s="41" t="s">
        <v>71</v>
      </c>
      <c r="P454" s="42" t="s">
        <v>124</v>
      </c>
      <c r="Q454" s="38" t="s">
        <v>148</v>
      </c>
      <c r="R454" s="42" t="s">
        <v>1760</v>
      </c>
      <c r="S454" s="42" t="s">
        <v>124</v>
      </c>
      <c r="T454" s="42" t="s">
        <v>124</v>
      </c>
      <c r="U454" s="42" t="s">
        <v>124</v>
      </c>
      <c r="V454" s="42" t="s">
        <v>124</v>
      </c>
      <c r="W454" s="42" t="s">
        <v>124</v>
      </c>
      <c r="X454" s="42" t="s">
        <v>124</v>
      </c>
      <c r="Y454" s="43" t="str">
        <f>IF(CCUS_Projects_Database!$R453&lt;&gt;"",HYPERLINK(CCUS_Projects_Database!$R453,"Link 1"),"")</f>
        <v>Link 1</v>
      </c>
      <c r="Z454" s="43" t="str">
        <f>IF(CCUS_Projects_Database!$S453&lt;&gt;"",HYPERLINK(CCUS_Projects_Database!$S453,"Link 2"),"")</f>
        <v>Link 2</v>
      </c>
      <c r="AA454" s="43" t="str">
        <f>IF(CCUS_Projects_Database!$T453&lt;&gt;"",HYPERLINK(CCUS_Projects_Database!$T453,"Link 3"),"")</f>
        <v/>
      </c>
      <c r="AB454" s="43" t="str">
        <f>IF(CCUS_Projects_Database!$U453&lt;&gt;"",HYPERLINK(CCUS_Projects_Database!$U453,"Link 4"),"")</f>
        <v/>
      </c>
      <c r="AC454" s="43" t="str">
        <f>IF(CCUS_Projects_Database!$V453&lt;&gt;"",HYPERLINK(CCUS_Projects_Database!$V453,"Link 5"),"")</f>
        <v/>
      </c>
      <c r="AD454" s="43" t="str">
        <f>IF(CCUS_Projects_Database!$W453&lt;&gt;"",HYPERLINK(CCUS_Projects_Database!$W453,"Link 6"),"")</f>
        <v/>
      </c>
      <c r="AE454" s="43" t="str">
        <f>IF(CCUS_Projects_Database!$X453&lt;&gt;"",HYPERLINK(CCUS_Projects_Database!$X453,"Link 7"),"")</f>
        <v/>
      </c>
    </row>
    <row r="455" ht="15.75" customHeight="1">
      <c r="A455" s="44" t="s">
        <v>1763</v>
      </c>
      <c r="B455" s="45">
        <v>777.0</v>
      </c>
      <c r="C455" s="45" t="s">
        <v>1758</v>
      </c>
      <c r="D455" s="46" t="s">
        <v>1764</v>
      </c>
      <c r="E455" s="45" t="s">
        <v>8</v>
      </c>
      <c r="F455" s="45">
        <v>2022.0</v>
      </c>
      <c r="G455" s="45" t="s">
        <v>124</v>
      </c>
      <c r="H455" s="45" t="s">
        <v>124</v>
      </c>
      <c r="I455" s="45" t="s">
        <v>124</v>
      </c>
      <c r="J455" s="45" t="s">
        <v>28</v>
      </c>
      <c r="K455" s="47" t="s">
        <v>124</v>
      </c>
      <c r="L455" s="47"/>
      <c r="M455" s="47" t="s">
        <v>124</v>
      </c>
      <c r="N455" s="45" t="s">
        <v>58</v>
      </c>
      <c r="O455" s="48" t="s">
        <v>71</v>
      </c>
      <c r="P455" s="49" t="s">
        <v>124</v>
      </c>
      <c r="Q455" s="45" t="s">
        <v>148</v>
      </c>
      <c r="R455" s="49" t="s">
        <v>1109</v>
      </c>
      <c r="S455" s="49" t="s">
        <v>1765</v>
      </c>
      <c r="T455" s="49" t="s">
        <v>1766</v>
      </c>
      <c r="U455" s="49" t="s">
        <v>124</v>
      </c>
      <c r="V455" s="49" t="s">
        <v>124</v>
      </c>
      <c r="W455" s="49" t="s">
        <v>124</v>
      </c>
      <c r="X455" s="49" t="s">
        <v>124</v>
      </c>
      <c r="Y455" s="50" t="str">
        <f>IF(CCUS_Projects_Database!$R454&lt;&gt;"",HYPERLINK(CCUS_Projects_Database!$R454,"Link 1"),"")</f>
        <v>Link 1</v>
      </c>
      <c r="Z455" s="50" t="str">
        <f>IF(CCUS_Projects_Database!$S454&lt;&gt;"",HYPERLINK(CCUS_Projects_Database!$S454,"Link 2"),"")</f>
        <v/>
      </c>
      <c r="AA455" s="50" t="str">
        <f>IF(CCUS_Projects_Database!$T454&lt;&gt;"",HYPERLINK(CCUS_Projects_Database!$T454,"Link 3"),"")</f>
        <v/>
      </c>
      <c r="AB455" s="50" t="str">
        <f>IF(CCUS_Projects_Database!$U454&lt;&gt;"",HYPERLINK(CCUS_Projects_Database!$U454,"Link 4"),"")</f>
        <v/>
      </c>
      <c r="AC455" s="50" t="str">
        <f>IF(CCUS_Projects_Database!$V454&lt;&gt;"",HYPERLINK(CCUS_Projects_Database!$V454,"Link 5"),"")</f>
        <v/>
      </c>
      <c r="AD455" s="50" t="str">
        <f>IF(CCUS_Projects_Database!$W454&lt;&gt;"",HYPERLINK(CCUS_Projects_Database!$W454,"Link 6"),"")</f>
        <v/>
      </c>
      <c r="AE455" s="50" t="str">
        <f>IF(CCUS_Projects_Database!$X454&lt;&gt;"",HYPERLINK(CCUS_Projects_Database!$X454,"Link 7"),"")</f>
        <v/>
      </c>
    </row>
    <row r="456" ht="15.75" customHeight="1">
      <c r="A456" s="37" t="s">
        <v>1767</v>
      </c>
      <c r="B456" s="38">
        <v>948.0</v>
      </c>
      <c r="C456" s="38" t="s">
        <v>146</v>
      </c>
      <c r="D456" s="39" t="s">
        <v>1768</v>
      </c>
      <c r="E456" s="38" t="s">
        <v>12</v>
      </c>
      <c r="F456" s="38">
        <v>2023.0</v>
      </c>
      <c r="G456" s="38" t="s">
        <v>124</v>
      </c>
      <c r="H456" s="38" t="s">
        <v>124</v>
      </c>
      <c r="I456" s="38" t="s">
        <v>124</v>
      </c>
      <c r="J456" s="38" t="s">
        <v>28</v>
      </c>
      <c r="K456" s="40" t="s">
        <v>124</v>
      </c>
      <c r="L456" s="40"/>
      <c r="M456" s="40" t="s">
        <v>124</v>
      </c>
      <c r="N456" s="38" t="s">
        <v>12</v>
      </c>
      <c r="O456" s="41" t="s">
        <v>77</v>
      </c>
      <c r="P456" s="42" t="s">
        <v>124</v>
      </c>
      <c r="Q456" s="38" t="s">
        <v>148</v>
      </c>
      <c r="R456" s="42" t="s">
        <v>1769</v>
      </c>
      <c r="S456" s="42" t="s">
        <v>124</v>
      </c>
      <c r="T456" s="42" t="s">
        <v>124</v>
      </c>
      <c r="U456" s="42" t="s">
        <v>124</v>
      </c>
      <c r="V456" s="42" t="s">
        <v>124</v>
      </c>
      <c r="W456" s="42" t="s">
        <v>124</v>
      </c>
      <c r="X456" s="42" t="s">
        <v>124</v>
      </c>
      <c r="Y456" s="43" t="str">
        <f>IF(CCUS_Projects_Database!$R456&lt;&gt;"",HYPERLINK(CCUS_Projects_Database!$R456,"Link 1"),"")</f>
        <v>Link 1</v>
      </c>
      <c r="Z456" s="43" t="str">
        <f>IF(CCUS_Projects_Database!$S456&lt;&gt;"",HYPERLINK(CCUS_Projects_Database!$S456,"Link 2"),"")</f>
        <v/>
      </c>
      <c r="AA456" s="43" t="str">
        <f>IF(CCUS_Projects_Database!$T456&lt;&gt;"",HYPERLINK(CCUS_Projects_Database!$T456,"Link 3"),"")</f>
        <v/>
      </c>
      <c r="AB456" s="43" t="str">
        <f>IF(CCUS_Projects_Database!$U456&lt;&gt;"",HYPERLINK(CCUS_Projects_Database!$U456,"Link 4"),"")</f>
        <v/>
      </c>
      <c r="AC456" s="43" t="str">
        <f>IF(CCUS_Projects_Database!$V456&lt;&gt;"",HYPERLINK(CCUS_Projects_Database!$V456,"Link 5"),"")</f>
        <v/>
      </c>
      <c r="AD456" s="43" t="str">
        <f>IF(CCUS_Projects_Database!$W456&lt;&gt;"",HYPERLINK(CCUS_Projects_Database!$W456,"Link 6"),"")</f>
        <v/>
      </c>
      <c r="AE456" s="43" t="str">
        <f>IF(CCUS_Projects_Database!$X456&lt;&gt;"",HYPERLINK(CCUS_Projects_Database!$X456,"Link 7"),"")</f>
        <v/>
      </c>
    </row>
    <row r="457" ht="15.75" customHeight="1">
      <c r="A457" s="44" t="s">
        <v>1770</v>
      </c>
      <c r="B457" s="45">
        <v>601.0</v>
      </c>
      <c r="C457" s="45" t="s">
        <v>1771</v>
      </c>
      <c r="D457" s="46" t="s">
        <v>1772</v>
      </c>
      <c r="E457" s="45" t="s">
        <v>14</v>
      </c>
      <c r="F457" s="45">
        <v>2022.0</v>
      </c>
      <c r="G457" s="45" t="s">
        <v>124</v>
      </c>
      <c r="H457" s="45">
        <v>2027.0</v>
      </c>
      <c r="I457" s="45" t="s">
        <v>124</v>
      </c>
      <c r="J457" s="45" t="s">
        <v>28</v>
      </c>
      <c r="K457" s="47" t="s">
        <v>124</v>
      </c>
      <c r="L457" s="52">
        <v>9.0</v>
      </c>
      <c r="M457" s="47">
        <v>9.0</v>
      </c>
      <c r="N457" s="45" t="s">
        <v>14</v>
      </c>
      <c r="O457" s="48" t="s">
        <v>71</v>
      </c>
      <c r="P457" s="49" t="s">
        <v>1773</v>
      </c>
      <c r="Q457" s="45" t="s">
        <v>137</v>
      </c>
      <c r="R457" s="49" t="s">
        <v>1774</v>
      </c>
      <c r="S457" s="49" t="s">
        <v>124</v>
      </c>
      <c r="T457" s="49" t="s">
        <v>124</v>
      </c>
      <c r="U457" s="49" t="s">
        <v>124</v>
      </c>
      <c r="V457" s="49" t="s">
        <v>124</v>
      </c>
      <c r="W457" s="49" t="s">
        <v>124</v>
      </c>
      <c r="X457" s="49" t="s">
        <v>124</v>
      </c>
      <c r="Y457" s="50" t="str">
        <f>IF(CCUS_Projects_Database!$R457&lt;&gt;"",HYPERLINK(CCUS_Projects_Database!$R457,"Link 1"),"")</f>
        <v>Link 1</v>
      </c>
      <c r="Z457" s="50" t="str">
        <f>IF(CCUS_Projects_Database!$S457&lt;&gt;"",HYPERLINK(CCUS_Projects_Database!$S457,"Link 2"),"")</f>
        <v/>
      </c>
      <c r="AA457" s="50" t="str">
        <f>IF(CCUS_Projects_Database!$T457&lt;&gt;"",HYPERLINK(CCUS_Projects_Database!$T457,"Link 3"),"")</f>
        <v/>
      </c>
      <c r="AB457" s="50" t="str">
        <f>IF(CCUS_Projects_Database!$U457&lt;&gt;"",HYPERLINK(CCUS_Projects_Database!$U457,"Link 4"),"")</f>
        <v/>
      </c>
      <c r="AC457" s="50" t="str">
        <f>IF(CCUS_Projects_Database!$V457&lt;&gt;"",HYPERLINK(CCUS_Projects_Database!$V457,"Link 5"),"")</f>
        <v/>
      </c>
      <c r="AD457" s="50" t="str">
        <f>IF(CCUS_Projects_Database!$W457&lt;&gt;"",HYPERLINK(CCUS_Projects_Database!$W457,"Link 6"),"")</f>
        <v/>
      </c>
      <c r="AE457" s="50" t="str">
        <f>IF(CCUS_Projects_Database!$X457&lt;&gt;"",HYPERLINK(CCUS_Projects_Database!$X457,"Link 7"),"")</f>
        <v/>
      </c>
    </row>
    <row r="458" ht="15.75" customHeight="1">
      <c r="A458" s="37" t="s">
        <v>1775</v>
      </c>
      <c r="B458" s="38">
        <v>1121.0</v>
      </c>
      <c r="C458" s="38" t="s">
        <v>239</v>
      </c>
      <c r="D458" s="39" t="s">
        <v>1776</v>
      </c>
      <c r="E458" s="38" t="s">
        <v>8</v>
      </c>
      <c r="F458" s="38">
        <v>2023.0</v>
      </c>
      <c r="G458" s="38" t="s">
        <v>124</v>
      </c>
      <c r="H458" s="38" t="s">
        <v>124</v>
      </c>
      <c r="I458" s="38" t="s">
        <v>124</v>
      </c>
      <c r="J458" s="38" t="s">
        <v>28</v>
      </c>
      <c r="K458" s="40" t="s">
        <v>124</v>
      </c>
      <c r="L458" s="40"/>
      <c r="M458" s="40" t="s">
        <v>124</v>
      </c>
      <c r="N458" s="38" t="s">
        <v>60</v>
      </c>
      <c r="O458" s="41" t="s">
        <v>71</v>
      </c>
      <c r="P458" s="42" t="s">
        <v>856</v>
      </c>
      <c r="Q458" s="38" t="s">
        <v>143</v>
      </c>
      <c r="R458" s="42" t="s">
        <v>1777</v>
      </c>
      <c r="S458" s="42" t="s">
        <v>1778</v>
      </c>
      <c r="T458" s="42" t="s">
        <v>1779</v>
      </c>
      <c r="U458" s="42" t="s">
        <v>124</v>
      </c>
      <c r="V458" s="42" t="s">
        <v>124</v>
      </c>
      <c r="W458" s="42" t="s">
        <v>124</v>
      </c>
      <c r="X458" s="42" t="s">
        <v>124</v>
      </c>
      <c r="Y458" s="43" t="str">
        <f>IF(CCUS_Projects_Database!$R458&lt;&gt;"",HYPERLINK(CCUS_Projects_Database!$R458,"Link 1"),"")</f>
        <v>Link 1</v>
      </c>
      <c r="Z458" s="43" t="str">
        <f>IF(CCUS_Projects_Database!$S458&lt;&gt;"",HYPERLINK(CCUS_Projects_Database!$S458,"Link 2"),"")</f>
        <v>Link 2</v>
      </c>
      <c r="AA458" s="43" t="str">
        <f>IF(CCUS_Projects_Database!$T458&lt;&gt;"",HYPERLINK(CCUS_Projects_Database!$T458,"Link 3"),"")</f>
        <v>Link 3</v>
      </c>
      <c r="AB458" s="43" t="str">
        <f>IF(CCUS_Projects_Database!$U458&lt;&gt;"",HYPERLINK(CCUS_Projects_Database!$U458,"Link 4"),"")</f>
        <v/>
      </c>
      <c r="AC458" s="43" t="str">
        <f>IF(CCUS_Projects_Database!$V458&lt;&gt;"",HYPERLINK(CCUS_Projects_Database!$V458,"Link 5"),"")</f>
        <v/>
      </c>
      <c r="AD458" s="43" t="str">
        <f>IF(CCUS_Projects_Database!$W458&lt;&gt;"",HYPERLINK(CCUS_Projects_Database!$W458,"Link 6"),"")</f>
        <v/>
      </c>
      <c r="AE458" s="43" t="str">
        <f>IF(CCUS_Projects_Database!$X458&lt;&gt;"",HYPERLINK(CCUS_Projects_Database!$X458,"Link 7"),"")</f>
        <v/>
      </c>
    </row>
    <row r="459" ht="15.75" customHeight="1">
      <c r="A459" s="44" t="s">
        <v>1780</v>
      </c>
      <c r="B459" s="45">
        <v>236.0</v>
      </c>
      <c r="C459" s="45" t="s">
        <v>122</v>
      </c>
      <c r="D459" s="46" t="s">
        <v>1781</v>
      </c>
      <c r="E459" s="45" t="s">
        <v>8</v>
      </c>
      <c r="F459" s="45">
        <v>2021.0</v>
      </c>
      <c r="G459" s="45">
        <v>2026.0</v>
      </c>
      <c r="H459" s="45">
        <v>2028.0</v>
      </c>
      <c r="I459" s="45" t="s">
        <v>124</v>
      </c>
      <c r="J459" s="45" t="s">
        <v>28</v>
      </c>
      <c r="K459" s="47" t="s">
        <v>124</v>
      </c>
      <c r="L459" s="52">
        <v>0.81</v>
      </c>
      <c r="M459" s="47">
        <v>0.81</v>
      </c>
      <c r="N459" s="45" t="s">
        <v>56</v>
      </c>
      <c r="O459" s="48" t="s">
        <v>71</v>
      </c>
      <c r="P459" s="49" t="s">
        <v>124</v>
      </c>
      <c r="Q459" s="45" t="s">
        <v>125</v>
      </c>
      <c r="R459" s="49" t="s">
        <v>1120</v>
      </c>
      <c r="S459" s="49" t="s">
        <v>1782</v>
      </c>
      <c r="T459" s="49" t="s">
        <v>124</v>
      </c>
      <c r="U459" s="49" t="s">
        <v>124</v>
      </c>
      <c r="V459" s="49" t="s">
        <v>124</v>
      </c>
      <c r="W459" s="49" t="s">
        <v>124</v>
      </c>
      <c r="X459" s="49" t="s">
        <v>124</v>
      </c>
      <c r="Y459" s="50" t="str">
        <f>IF(CCUS_Projects_Database!$R459&lt;&gt;"",HYPERLINK(CCUS_Projects_Database!$R459,"Link 1"),"")</f>
        <v>Link 1</v>
      </c>
      <c r="Z459" s="50" t="str">
        <f>IF(CCUS_Projects_Database!$S459&lt;&gt;"",HYPERLINK(CCUS_Projects_Database!$S459,"Link 2"),"")</f>
        <v>Link 2</v>
      </c>
      <c r="AA459" s="50" t="str">
        <f>IF(CCUS_Projects_Database!$T459&lt;&gt;"",HYPERLINK(CCUS_Projects_Database!$T459,"Link 3"),"")</f>
        <v/>
      </c>
      <c r="AB459" s="50" t="str">
        <f>IF(CCUS_Projects_Database!$U459&lt;&gt;"",HYPERLINK(CCUS_Projects_Database!$U459,"Link 4"),"")</f>
        <v/>
      </c>
      <c r="AC459" s="50" t="str">
        <f>IF(CCUS_Projects_Database!$V459&lt;&gt;"",HYPERLINK(CCUS_Projects_Database!$V459,"Link 5"),"")</f>
        <v/>
      </c>
      <c r="AD459" s="50" t="str">
        <f>IF(CCUS_Projects_Database!$W459&lt;&gt;"",HYPERLINK(CCUS_Projects_Database!$W459,"Link 6"),"")</f>
        <v/>
      </c>
      <c r="AE459" s="50" t="str">
        <f>IF(CCUS_Projects_Database!$X459&lt;&gt;"",HYPERLINK(CCUS_Projects_Database!$X459,"Link 7"),"")</f>
        <v/>
      </c>
    </row>
    <row r="460" ht="15.75" customHeight="1">
      <c r="A460" s="37" t="s">
        <v>1783</v>
      </c>
      <c r="B460" s="38">
        <v>237.0</v>
      </c>
      <c r="C460" s="38" t="s">
        <v>311</v>
      </c>
      <c r="D460" s="39" t="s">
        <v>1784</v>
      </c>
      <c r="E460" s="38" t="s">
        <v>8</v>
      </c>
      <c r="F460" s="38">
        <v>2021.0</v>
      </c>
      <c r="G460" s="38" t="s">
        <v>124</v>
      </c>
      <c r="H460" s="38">
        <v>2027.0</v>
      </c>
      <c r="I460" s="38" t="s">
        <v>124</v>
      </c>
      <c r="J460" s="38" t="s">
        <v>28</v>
      </c>
      <c r="K460" s="40" t="s">
        <v>124</v>
      </c>
      <c r="L460" s="51">
        <v>1.42</v>
      </c>
      <c r="M460" s="40">
        <v>1.42</v>
      </c>
      <c r="N460" s="38" t="s">
        <v>60</v>
      </c>
      <c r="O460" s="41" t="s">
        <v>71</v>
      </c>
      <c r="P460" s="42" t="s">
        <v>124</v>
      </c>
      <c r="Q460" s="38" t="s">
        <v>125</v>
      </c>
      <c r="R460" s="42" t="s">
        <v>1120</v>
      </c>
      <c r="S460" s="42" t="s">
        <v>1785</v>
      </c>
      <c r="T460" s="42" t="s">
        <v>1786</v>
      </c>
      <c r="U460" s="42" t="s">
        <v>124</v>
      </c>
      <c r="V460" s="42" t="s">
        <v>124</v>
      </c>
      <c r="W460" s="42" t="s">
        <v>124</v>
      </c>
      <c r="X460" s="42" t="s">
        <v>124</v>
      </c>
      <c r="Y460" s="43" t="str">
        <f>IF(CCUS_Projects_Database!$R460&lt;&gt;"",HYPERLINK(CCUS_Projects_Database!$R460,"Link 1"),"")</f>
        <v>Link 1</v>
      </c>
      <c r="Z460" s="43" t="str">
        <f>IF(CCUS_Projects_Database!$S460&lt;&gt;"",HYPERLINK(CCUS_Projects_Database!$S460,"Link 2"),"")</f>
        <v>Link 2</v>
      </c>
      <c r="AA460" s="43" t="str">
        <f>IF(CCUS_Projects_Database!$T460&lt;&gt;"",HYPERLINK(CCUS_Projects_Database!$T460,"Link 3"),"")</f>
        <v>Link 3</v>
      </c>
      <c r="AB460" s="43" t="str">
        <f>IF(CCUS_Projects_Database!$U460&lt;&gt;"",HYPERLINK(CCUS_Projects_Database!$U460,"Link 4"),"")</f>
        <v/>
      </c>
      <c r="AC460" s="43" t="str">
        <f>IF(CCUS_Projects_Database!$V460&lt;&gt;"",HYPERLINK(CCUS_Projects_Database!$V460,"Link 5"),"")</f>
        <v/>
      </c>
      <c r="AD460" s="43" t="str">
        <f>IF(CCUS_Projects_Database!$W460&lt;&gt;"",HYPERLINK(CCUS_Projects_Database!$W460,"Link 6"),"")</f>
        <v/>
      </c>
      <c r="AE460" s="43" t="str">
        <f>IF(CCUS_Projects_Database!$X460&lt;&gt;"",HYPERLINK(CCUS_Projects_Database!$X460,"Link 7"),"")</f>
        <v/>
      </c>
    </row>
    <row r="461" ht="15.75" customHeight="1">
      <c r="A461" s="44" t="s">
        <v>1787</v>
      </c>
      <c r="B461" s="45">
        <v>727.0</v>
      </c>
      <c r="C461" s="45" t="s">
        <v>299</v>
      </c>
      <c r="D461" s="46" t="s">
        <v>1788</v>
      </c>
      <c r="E461" s="45" t="s">
        <v>8</v>
      </c>
      <c r="F461" s="45">
        <v>2021.0</v>
      </c>
      <c r="G461" s="45" t="s">
        <v>124</v>
      </c>
      <c r="H461" s="45">
        <v>2030.0</v>
      </c>
      <c r="I461" s="45" t="s">
        <v>124</v>
      </c>
      <c r="J461" s="45" t="s">
        <v>28</v>
      </c>
      <c r="K461" s="47" t="s">
        <v>124</v>
      </c>
      <c r="L461" s="47"/>
      <c r="M461" s="47" t="s">
        <v>124</v>
      </c>
      <c r="N461" s="45" t="s">
        <v>54</v>
      </c>
      <c r="O461" s="48" t="s">
        <v>77</v>
      </c>
      <c r="P461" s="49" t="s">
        <v>124</v>
      </c>
      <c r="Q461" s="45" t="s">
        <v>125</v>
      </c>
      <c r="R461" s="49" t="s">
        <v>346</v>
      </c>
      <c r="S461" s="49" t="s">
        <v>415</v>
      </c>
      <c r="T461" s="49" t="s">
        <v>1789</v>
      </c>
      <c r="U461" s="49" t="s">
        <v>124</v>
      </c>
      <c r="V461" s="49" t="s">
        <v>124</v>
      </c>
      <c r="W461" s="49" t="s">
        <v>124</v>
      </c>
      <c r="X461" s="49" t="s">
        <v>124</v>
      </c>
      <c r="Y461" s="50" t="str">
        <f>IF(CCUS_Projects_Database!$R461&lt;&gt;"",HYPERLINK(CCUS_Projects_Database!$R461,"Link 1"),"")</f>
        <v>Link 1</v>
      </c>
      <c r="Z461" s="50" t="str">
        <f>IF(CCUS_Projects_Database!$S461&lt;&gt;"",HYPERLINK(CCUS_Projects_Database!$S461,"Link 2"),"")</f>
        <v>Link 2</v>
      </c>
      <c r="AA461" s="50" t="str">
        <f>IF(CCUS_Projects_Database!$T461&lt;&gt;"",HYPERLINK(CCUS_Projects_Database!$T461,"Link 3"),"")</f>
        <v>Link 3</v>
      </c>
      <c r="AB461" s="50" t="str">
        <f>IF(CCUS_Projects_Database!$U461&lt;&gt;"",HYPERLINK(CCUS_Projects_Database!$U461,"Link 4"),"")</f>
        <v/>
      </c>
      <c r="AC461" s="50" t="str">
        <f>IF(CCUS_Projects_Database!$V461&lt;&gt;"",HYPERLINK(CCUS_Projects_Database!$V461,"Link 5"),"")</f>
        <v/>
      </c>
      <c r="AD461" s="50" t="str">
        <f>IF(CCUS_Projects_Database!$W461&lt;&gt;"",HYPERLINK(CCUS_Projects_Database!$W461,"Link 6"),"")</f>
        <v/>
      </c>
      <c r="AE461" s="50" t="str">
        <f>IF(CCUS_Projects_Database!$X461&lt;&gt;"",HYPERLINK(CCUS_Projects_Database!$X461,"Link 7"),"")</f>
        <v/>
      </c>
    </row>
    <row r="462" ht="15.75" customHeight="1">
      <c r="A462" s="37" t="s">
        <v>1790</v>
      </c>
      <c r="B462" s="38">
        <v>238.0</v>
      </c>
      <c r="C462" s="38" t="s">
        <v>224</v>
      </c>
      <c r="D462" s="39" t="s">
        <v>1791</v>
      </c>
      <c r="E462" s="38" t="s">
        <v>6</v>
      </c>
      <c r="F462" s="38" t="s">
        <v>124</v>
      </c>
      <c r="G462" s="38" t="s">
        <v>124</v>
      </c>
      <c r="H462" s="38">
        <v>2015.0</v>
      </c>
      <c r="I462" s="38" t="s">
        <v>124</v>
      </c>
      <c r="J462" s="38" t="s">
        <v>32</v>
      </c>
      <c r="K462" s="40" t="s">
        <v>124</v>
      </c>
      <c r="L462" s="51">
        <v>0.1</v>
      </c>
      <c r="M462" s="40">
        <v>0.1</v>
      </c>
      <c r="N462" s="38" t="s">
        <v>60</v>
      </c>
      <c r="O462" s="41" t="s">
        <v>73</v>
      </c>
      <c r="P462" s="42" t="s">
        <v>124</v>
      </c>
      <c r="Q462" s="38" t="s">
        <v>148</v>
      </c>
      <c r="R462" s="42" t="s">
        <v>1792</v>
      </c>
      <c r="S462" s="42" t="s">
        <v>1793</v>
      </c>
      <c r="T462" s="42" t="s">
        <v>1794</v>
      </c>
      <c r="U462" s="42" t="s">
        <v>795</v>
      </c>
      <c r="V462" s="42" t="s">
        <v>124</v>
      </c>
      <c r="W462" s="42" t="s">
        <v>124</v>
      </c>
      <c r="X462" s="42" t="s">
        <v>124</v>
      </c>
      <c r="Y462" s="43" t="str">
        <f>IF(CCUS_Projects_Database!$R462&lt;&gt;"",HYPERLINK(CCUS_Projects_Database!$R462,"Link 1"),"")</f>
        <v>Link 1</v>
      </c>
      <c r="Z462" s="43" t="str">
        <f>IF(CCUS_Projects_Database!$S462&lt;&gt;"",HYPERLINK(CCUS_Projects_Database!$S462,"Link 2"),"")</f>
        <v>Link 2</v>
      </c>
      <c r="AA462" s="43" t="str">
        <f>IF(CCUS_Projects_Database!$T462&lt;&gt;"",HYPERLINK(CCUS_Projects_Database!$T462,"Link 3"),"")</f>
        <v>Link 3</v>
      </c>
      <c r="AB462" s="43" t="str">
        <f>IF(CCUS_Projects_Database!$U462&lt;&gt;"",HYPERLINK(CCUS_Projects_Database!$U462,"Link 4"),"")</f>
        <v>Link 4</v>
      </c>
      <c r="AC462" s="43" t="str">
        <f>IF(CCUS_Projects_Database!$V462&lt;&gt;"",HYPERLINK(CCUS_Projects_Database!$V462,"Link 5"),"")</f>
        <v/>
      </c>
      <c r="AD462" s="43" t="str">
        <f>IF(CCUS_Projects_Database!$W462&lt;&gt;"",HYPERLINK(CCUS_Projects_Database!$W462,"Link 6"),"")</f>
        <v/>
      </c>
      <c r="AE462" s="43" t="str">
        <f>IF(CCUS_Projects_Database!$X462&lt;&gt;"",HYPERLINK(CCUS_Projects_Database!$X462,"Link 7"),"")</f>
        <v/>
      </c>
    </row>
    <row r="463" ht="15.75" customHeight="1">
      <c r="A463" s="44" t="s">
        <v>1795</v>
      </c>
      <c r="B463" s="45">
        <v>239.0</v>
      </c>
      <c r="C463" s="45" t="s">
        <v>157</v>
      </c>
      <c r="D463" s="46" t="s">
        <v>1796</v>
      </c>
      <c r="E463" s="45" t="s">
        <v>8</v>
      </c>
      <c r="F463" s="45">
        <v>2020.0</v>
      </c>
      <c r="G463" s="45" t="s">
        <v>124</v>
      </c>
      <c r="H463" s="45">
        <v>2028.0</v>
      </c>
      <c r="I463" s="45" t="s">
        <v>124</v>
      </c>
      <c r="J463" s="45" t="s">
        <v>28</v>
      </c>
      <c r="K463" s="47" t="s">
        <v>124</v>
      </c>
      <c r="L463" s="52">
        <v>1.5</v>
      </c>
      <c r="M463" s="47">
        <v>1.5</v>
      </c>
      <c r="N463" s="45" t="s">
        <v>46</v>
      </c>
      <c r="O463" s="48" t="s">
        <v>71</v>
      </c>
      <c r="P463" s="49" t="s">
        <v>281</v>
      </c>
      <c r="Q463" s="45" t="s">
        <v>125</v>
      </c>
      <c r="R463" s="49" t="s">
        <v>1797</v>
      </c>
      <c r="S463" s="49" t="s">
        <v>1798</v>
      </c>
      <c r="T463" s="49" t="s">
        <v>1799</v>
      </c>
      <c r="U463" s="49" t="s">
        <v>1800</v>
      </c>
      <c r="V463" s="49" t="s">
        <v>1801</v>
      </c>
      <c r="W463" s="49" t="s">
        <v>124</v>
      </c>
      <c r="X463" s="49" t="s">
        <v>124</v>
      </c>
      <c r="Y463" s="50" t="str">
        <f>IF(CCUS_Projects_Database!$R463&lt;&gt;"",HYPERLINK(CCUS_Projects_Database!$R463,"Link 1"),"")</f>
        <v>Link 1</v>
      </c>
      <c r="Z463" s="50" t="str">
        <f>IF(CCUS_Projects_Database!$S463&lt;&gt;"",HYPERLINK(CCUS_Projects_Database!$S463,"Link 2"),"")</f>
        <v>Link 2</v>
      </c>
      <c r="AA463" s="50" t="str">
        <f>IF(CCUS_Projects_Database!$T463&lt;&gt;"",HYPERLINK(CCUS_Projects_Database!$T463,"Link 3"),"")</f>
        <v>Link 3</v>
      </c>
      <c r="AB463" s="50" t="str">
        <f>IF(CCUS_Projects_Database!$U463&lt;&gt;"",HYPERLINK(CCUS_Projects_Database!$U463,"Link 4"),"")</f>
        <v>Link 4</v>
      </c>
      <c r="AC463" s="50" t="str">
        <f>IF(CCUS_Projects_Database!$V463&lt;&gt;"",HYPERLINK(CCUS_Projects_Database!$V463,"Link 5"),"")</f>
        <v>Link 5</v>
      </c>
      <c r="AD463" s="50" t="str">
        <f>IF(CCUS_Projects_Database!$W463&lt;&gt;"",HYPERLINK(CCUS_Projects_Database!$W463,"Link 6"),"")</f>
        <v/>
      </c>
      <c r="AE463" s="50" t="str">
        <f>IF(CCUS_Projects_Database!$X463&lt;&gt;"",HYPERLINK(CCUS_Projects_Database!$X463,"Link 7"),"")</f>
        <v/>
      </c>
    </row>
    <row r="464" ht="15.75" customHeight="1">
      <c r="A464" s="37" t="s">
        <v>1802</v>
      </c>
      <c r="B464" s="38">
        <v>241.0</v>
      </c>
      <c r="C464" s="38" t="s">
        <v>141</v>
      </c>
      <c r="D464" s="39" t="s">
        <v>1803</v>
      </c>
      <c r="E464" s="38" t="s">
        <v>6</v>
      </c>
      <c r="F464" s="38" t="s">
        <v>124</v>
      </c>
      <c r="G464" s="38">
        <v>2010.0</v>
      </c>
      <c r="H464" s="38">
        <v>2017.0</v>
      </c>
      <c r="I464" s="38">
        <v>2017.0</v>
      </c>
      <c r="J464" s="38" t="s">
        <v>1548</v>
      </c>
      <c r="K464" s="40" t="s">
        <v>124</v>
      </c>
      <c r="L464" s="51">
        <v>3.0</v>
      </c>
      <c r="M464" s="40">
        <v>3.0</v>
      </c>
      <c r="N464" s="38" t="s">
        <v>46</v>
      </c>
      <c r="O464" s="41" t="s">
        <v>73</v>
      </c>
      <c r="P464" s="42" t="s">
        <v>124</v>
      </c>
      <c r="Q464" s="38" t="s">
        <v>143</v>
      </c>
      <c r="R464" s="42" t="s">
        <v>1804</v>
      </c>
      <c r="S464" s="42" t="s">
        <v>1805</v>
      </c>
      <c r="T464" s="42" t="s">
        <v>124</v>
      </c>
      <c r="U464" s="42" t="s">
        <v>124</v>
      </c>
      <c r="V464" s="42" t="s">
        <v>124</v>
      </c>
      <c r="W464" s="42" t="s">
        <v>124</v>
      </c>
      <c r="X464" s="42" t="s">
        <v>124</v>
      </c>
      <c r="Y464" s="43" t="str">
        <f>IF(CCUS_Projects_Database!$R464&lt;&gt;"",HYPERLINK(CCUS_Projects_Database!$R464,"Link 1"),"")</f>
        <v>Link 1</v>
      </c>
      <c r="Z464" s="43" t="str">
        <f>IF(CCUS_Projects_Database!$S464&lt;&gt;"",HYPERLINK(CCUS_Projects_Database!$S464,"Link 2"),"")</f>
        <v>Link 2</v>
      </c>
      <c r="AA464" s="43" t="str">
        <f>IF(CCUS_Projects_Database!$T464&lt;&gt;"",HYPERLINK(CCUS_Projects_Database!$T464,"Link 3"),"")</f>
        <v/>
      </c>
      <c r="AB464" s="43" t="str">
        <f>IF(CCUS_Projects_Database!$U464&lt;&gt;"",HYPERLINK(CCUS_Projects_Database!$U464,"Link 4"),"")</f>
        <v/>
      </c>
      <c r="AC464" s="43" t="str">
        <f>IF(CCUS_Projects_Database!$V464&lt;&gt;"",HYPERLINK(CCUS_Projects_Database!$V464,"Link 5"),"")</f>
        <v/>
      </c>
      <c r="AD464" s="43" t="str">
        <f>IF(CCUS_Projects_Database!$W464&lt;&gt;"",HYPERLINK(CCUS_Projects_Database!$W464,"Link 6"),"")</f>
        <v/>
      </c>
      <c r="AE464" s="43" t="str">
        <f>IF(CCUS_Projects_Database!$X464&lt;&gt;"",HYPERLINK(CCUS_Projects_Database!$X464,"Link 7"),"")</f>
        <v/>
      </c>
    </row>
    <row r="465" ht="15.75" customHeight="1">
      <c r="A465" s="44" t="s">
        <v>1806</v>
      </c>
      <c r="B465" s="45">
        <v>244.0</v>
      </c>
      <c r="C465" s="45" t="s">
        <v>141</v>
      </c>
      <c r="D465" s="46" t="s">
        <v>1807</v>
      </c>
      <c r="E465" s="45" t="s">
        <v>8</v>
      </c>
      <c r="F465" s="45">
        <v>2022.0</v>
      </c>
      <c r="G465" s="45" t="s">
        <v>124</v>
      </c>
      <c r="H465" s="45" t="s">
        <v>124</v>
      </c>
      <c r="I465" s="45" t="s">
        <v>124</v>
      </c>
      <c r="J465" s="45" t="s">
        <v>28</v>
      </c>
      <c r="K465" s="47" t="s">
        <v>124</v>
      </c>
      <c r="L465" s="47"/>
      <c r="M465" s="47" t="s">
        <v>124</v>
      </c>
      <c r="N465" s="45" t="s">
        <v>46</v>
      </c>
      <c r="O465" s="48" t="s">
        <v>71</v>
      </c>
      <c r="P465" s="49" t="s">
        <v>124</v>
      </c>
      <c r="Q465" s="45" t="s">
        <v>143</v>
      </c>
      <c r="R465" s="49" t="s">
        <v>1808</v>
      </c>
      <c r="S465" s="49" t="s">
        <v>124</v>
      </c>
      <c r="T465" s="49" t="s">
        <v>124</v>
      </c>
      <c r="U465" s="49" t="s">
        <v>124</v>
      </c>
      <c r="V465" s="49" t="s">
        <v>124</v>
      </c>
      <c r="W465" s="49" t="s">
        <v>124</v>
      </c>
      <c r="X465" s="49" t="s">
        <v>124</v>
      </c>
      <c r="Y465" s="50" t="str">
        <f>IF(CCUS_Projects_Database!$R465&lt;&gt;"",HYPERLINK(CCUS_Projects_Database!$R465,"Link 1"),"")</f>
        <v>Link 1</v>
      </c>
      <c r="Z465" s="50" t="str">
        <f>IF(CCUS_Projects_Database!$S465&lt;&gt;"",HYPERLINK(CCUS_Projects_Database!$S465,"Link 2"),"")</f>
        <v/>
      </c>
      <c r="AA465" s="50" t="str">
        <f>IF(CCUS_Projects_Database!$T465&lt;&gt;"",HYPERLINK(CCUS_Projects_Database!$T465,"Link 3"),"")</f>
        <v/>
      </c>
      <c r="AB465" s="50" t="str">
        <f>IF(CCUS_Projects_Database!$U465&lt;&gt;"",HYPERLINK(CCUS_Projects_Database!$U465,"Link 4"),"")</f>
        <v/>
      </c>
      <c r="AC465" s="50" t="str">
        <f>IF(CCUS_Projects_Database!$V465&lt;&gt;"",HYPERLINK(CCUS_Projects_Database!$V465,"Link 5"),"")</f>
        <v/>
      </c>
      <c r="AD465" s="50" t="str">
        <f>IF(CCUS_Projects_Database!$W465&lt;&gt;"",HYPERLINK(CCUS_Projects_Database!$W465,"Link 6"),"")</f>
        <v/>
      </c>
      <c r="AE465" s="50" t="str">
        <f>IF(CCUS_Projects_Database!$X465&lt;&gt;"",HYPERLINK(CCUS_Projects_Database!$X465,"Link 7"),"")</f>
        <v/>
      </c>
    </row>
    <row r="466" ht="15.75" customHeight="1">
      <c r="A466" s="37" t="s">
        <v>1809</v>
      </c>
      <c r="B466" s="38">
        <v>245.0</v>
      </c>
      <c r="C466" s="38" t="s">
        <v>141</v>
      </c>
      <c r="D466" s="39" t="s">
        <v>1810</v>
      </c>
      <c r="E466" s="38" t="s">
        <v>6</v>
      </c>
      <c r="F466" s="38">
        <v>2021.0</v>
      </c>
      <c r="G466" s="38" t="s">
        <v>124</v>
      </c>
      <c r="H466" s="38">
        <v>2026.0</v>
      </c>
      <c r="I466" s="38" t="s">
        <v>124</v>
      </c>
      <c r="J466" s="38" t="s">
        <v>28</v>
      </c>
      <c r="K466" s="40" t="s">
        <v>124</v>
      </c>
      <c r="L466" s="51">
        <v>0.5</v>
      </c>
      <c r="M466" s="40">
        <v>0.5</v>
      </c>
      <c r="N466" s="38" t="s">
        <v>60</v>
      </c>
      <c r="O466" s="41" t="s">
        <v>71</v>
      </c>
      <c r="P466" s="42" t="s">
        <v>124</v>
      </c>
      <c r="Q466" s="38" t="s">
        <v>143</v>
      </c>
      <c r="R466" s="42" t="s">
        <v>1811</v>
      </c>
      <c r="S466" s="42" t="s">
        <v>1812</v>
      </c>
      <c r="T466" s="42" t="s">
        <v>1813</v>
      </c>
      <c r="U466" s="42" t="s">
        <v>124</v>
      </c>
      <c r="V466" s="42" t="s">
        <v>124</v>
      </c>
      <c r="W466" s="42" t="s">
        <v>124</v>
      </c>
      <c r="X466" s="42" t="s">
        <v>124</v>
      </c>
      <c r="Y466" s="43" t="str">
        <f>IF(CCUS_Projects_Database!$R466&lt;&gt;"",HYPERLINK(CCUS_Projects_Database!$R466,"Link 1"),"")</f>
        <v>Link 1</v>
      </c>
      <c r="Z466" s="43" t="str">
        <f>IF(CCUS_Projects_Database!$S466&lt;&gt;"",HYPERLINK(CCUS_Projects_Database!$S466,"Link 2"),"")</f>
        <v>Link 2</v>
      </c>
      <c r="AA466" s="43" t="str">
        <f>IF(CCUS_Projects_Database!$T466&lt;&gt;"",HYPERLINK(CCUS_Projects_Database!$T466,"Link 3"),"")</f>
        <v>Link 3</v>
      </c>
      <c r="AB466" s="43" t="str">
        <f>IF(CCUS_Projects_Database!$U466&lt;&gt;"",HYPERLINK(CCUS_Projects_Database!$U466,"Link 4"),"")</f>
        <v/>
      </c>
      <c r="AC466" s="43" t="str">
        <f>IF(CCUS_Projects_Database!$V466&lt;&gt;"",HYPERLINK(CCUS_Projects_Database!$V466,"Link 5"),"")</f>
        <v/>
      </c>
      <c r="AD466" s="43" t="str">
        <f>IF(CCUS_Projects_Database!$W466&lt;&gt;"",HYPERLINK(CCUS_Projects_Database!$W466,"Link 6"),"")</f>
        <v/>
      </c>
      <c r="AE466" s="43" t="str">
        <f>IF(CCUS_Projects_Database!$X466&lt;&gt;"",HYPERLINK(CCUS_Projects_Database!$X466,"Link 7"),"")</f>
        <v/>
      </c>
    </row>
    <row r="467" ht="15.75" customHeight="1">
      <c r="A467" s="44" t="s">
        <v>1814</v>
      </c>
      <c r="B467" s="45">
        <v>658.0</v>
      </c>
      <c r="C467" s="45" t="s">
        <v>893</v>
      </c>
      <c r="D467" s="46" t="s">
        <v>1815</v>
      </c>
      <c r="E467" s="45" t="s">
        <v>8</v>
      </c>
      <c r="F467" s="45">
        <v>2023.0</v>
      </c>
      <c r="G467" s="45" t="s">
        <v>124</v>
      </c>
      <c r="H467" s="45">
        <v>2028.0</v>
      </c>
      <c r="I467" s="45" t="s">
        <v>124</v>
      </c>
      <c r="J467" s="45" t="s">
        <v>28</v>
      </c>
      <c r="K467" s="47" t="s">
        <v>124</v>
      </c>
      <c r="L467" s="52">
        <v>0.366</v>
      </c>
      <c r="M467" s="47">
        <v>0.366</v>
      </c>
      <c r="N467" s="45" t="s">
        <v>56</v>
      </c>
      <c r="O467" s="48" t="s">
        <v>71</v>
      </c>
      <c r="P467" s="49" t="s">
        <v>124</v>
      </c>
      <c r="Q467" s="45" t="s">
        <v>125</v>
      </c>
      <c r="R467" s="49" t="s">
        <v>1816</v>
      </c>
      <c r="S467" s="49" t="s">
        <v>124</v>
      </c>
      <c r="T467" s="49" t="s">
        <v>124</v>
      </c>
      <c r="U467" s="49" t="s">
        <v>124</v>
      </c>
      <c r="V467" s="49" t="s">
        <v>124</v>
      </c>
      <c r="W467" s="49" t="s">
        <v>124</v>
      </c>
      <c r="X467" s="49" t="s">
        <v>124</v>
      </c>
      <c r="Y467" s="50" t="str">
        <f>IF(CCUS_Projects_Database!$R467&lt;&gt;"",HYPERLINK(CCUS_Projects_Database!$R467,"Link 1"),"")</f>
        <v>Link 1</v>
      </c>
      <c r="Z467" s="50" t="str">
        <f>IF(CCUS_Projects_Database!$S467&lt;&gt;"",HYPERLINK(CCUS_Projects_Database!$S467,"Link 2"),"")</f>
        <v/>
      </c>
      <c r="AA467" s="50" t="str">
        <f>IF(CCUS_Projects_Database!$T467&lt;&gt;"",HYPERLINK(CCUS_Projects_Database!$T467,"Link 3"),"")</f>
        <v/>
      </c>
      <c r="AB467" s="50" t="str">
        <f>IF(CCUS_Projects_Database!$U467&lt;&gt;"",HYPERLINK(CCUS_Projects_Database!$U467,"Link 4"),"")</f>
        <v/>
      </c>
      <c r="AC467" s="50" t="str">
        <f>IF(CCUS_Projects_Database!$V467&lt;&gt;"",HYPERLINK(CCUS_Projects_Database!$V467,"Link 5"),"")</f>
        <v/>
      </c>
      <c r="AD467" s="50" t="str">
        <f>IF(CCUS_Projects_Database!$W467&lt;&gt;"",HYPERLINK(CCUS_Projects_Database!$W467,"Link 6"),"")</f>
        <v/>
      </c>
      <c r="AE467" s="50" t="str">
        <f>IF(CCUS_Projects_Database!$X467&lt;&gt;"",HYPERLINK(CCUS_Projects_Database!$X467,"Link 7"),"")</f>
        <v/>
      </c>
    </row>
    <row r="468" ht="15.75" customHeight="1">
      <c r="A468" s="37" t="s">
        <v>1817</v>
      </c>
      <c r="B468" s="38">
        <v>1030.0</v>
      </c>
      <c r="C468" s="38" t="s">
        <v>243</v>
      </c>
      <c r="D468" s="39" t="s">
        <v>1818</v>
      </c>
      <c r="E468" s="38" t="s">
        <v>16</v>
      </c>
      <c r="F468" s="38">
        <v>2021.0</v>
      </c>
      <c r="G468" s="38">
        <v>2024.0</v>
      </c>
      <c r="H468" s="38">
        <v>2026.0</v>
      </c>
      <c r="I468" s="38" t="s">
        <v>124</v>
      </c>
      <c r="J468" s="38" t="s">
        <v>28</v>
      </c>
      <c r="K468" s="40" t="s">
        <v>124</v>
      </c>
      <c r="L468" s="51">
        <v>0.11</v>
      </c>
      <c r="M468" s="40">
        <v>0.11</v>
      </c>
      <c r="N468" s="38" t="s">
        <v>46</v>
      </c>
      <c r="O468" s="41" t="s">
        <v>75</v>
      </c>
      <c r="P468" s="42" t="s">
        <v>124</v>
      </c>
      <c r="Q468" s="38" t="s">
        <v>125</v>
      </c>
      <c r="R468" s="42" t="s">
        <v>1819</v>
      </c>
      <c r="S468" s="42" t="s">
        <v>124</v>
      </c>
      <c r="T468" s="42" t="s">
        <v>124</v>
      </c>
      <c r="U468" s="42" t="s">
        <v>124</v>
      </c>
      <c r="V468" s="42" t="s">
        <v>124</v>
      </c>
      <c r="W468" s="42" t="s">
        <v>124</v>
      </c>
      <c r="X468" s="42" t="s">
        <v>124</v>
      </c>
      <c r="Y468" s="43" t="str">
        <f>IF(CCUS_Projects_Database!$R468&lt;&gt;"",HYPERLINK(CCUS_Projects_Database!$R468,"Link 1"),"")</f>
        <v>Link 1</v>
      </c>
      <c r="Z468" s="43" t="str">
        <f>IF(CCUS_Projects_Database!$S468&lt;&gt;"",HYPERLINK(CCUS_Projects_Database!$S468,"Link 2"),"")</f>
        <v/>
      </c>
      <c r="AA468" s="43" t="str">
        <f>IF(CCUS_Projects_Database!$T468&lt;&gt;"",HYPERLINK(CCUS_Projects_Database!$T468,"Link 3"),"")</f>
        <v/>
      </c>
      <c r="AB468" s="43" t="str">
        <f>IF(CCUS_Projects_Database!$U468&lt;&gt;"",HYPERLINK(CCUS_Projects_Database!$U468,"Link 4"),"")</f>
        <v/>
      </c>
      <c r="AC468" s="43" t="str">
        <f>IF(CCUS_Projects_Database!$V468&lt;&gt;"",HYPERLINK(CCUS_Projects_Database!$V468,"Link 5"),"")</f>
        <v/>
      </c>
      <c r="AD468" s="43" t="str">
        <f>IF(CCUS_Projects_Database!$W468&lt;&gt;"",HYPERLINK(CCUS_Projects_Database!$W468,"Link 6"),"")</f>
        <v/>
      </c>
      <c r="AE468" s="43" t="str">
        <f>IF(CCUS_Projects_Database!$X468&lt;&gt;"",HYPERLINK(CCUS_Projects_Database!$X468,"Link 7"),"")</f>
        <v/>
      </c>
    </row>
    <row r="469" ht="15.75" customHeight="1">
      <c r="A469" s="44" t="s">
        <v>1820</v>
      </c>
      <c r="B469" s="45">
        <v>1079.0</v>
      </c>
      <c r="C469" s="45" t="s">
        <v>299</v>
      </c>
      <c r="D469" s="46" t="s">
        <v>1821</v>
      </c>
      <c r="E469" s="45" t="s">
        <v>8</v>
      </c>
      <c r="F469" s="45">
        <v>2023.0</v>
      </c>
      <c r="G469" s="45" t="s">
        <v>124</v>
      </c>
      <c r="H469" s="45">
        <v>2030.0</v>
      </c>
      <c r="I469" s="45" t="s">
        <v>124</v>
      </c>
      <c r="J469" s="45" t="s">
        <v>28</v>
      </c>
      <c r="K469" s="47" t="s">
        <v>124</v>
      </c>
      <c r="L469" s="52">
        <v>0.36</v>
      </c>
      <c r="M469" s="47">
        <v>0.36</v>
      </c>
      <c r="N469" s="45" t="s">
        <v>46</v>
      </c>
      <c r="O469" s="48" t="s">
        <v>71</v>
      </c>
      <c r="P469" s="49" t="s">
        <v>124</v>
      </c>
      <c r="Q469" s="45" t="s">
        <v>125</v>
      </c>
      <c r="R469" s="49" t="s">
        <v>1822</v>
      </c>
      <c r="S469" s="49" t="s">
        <v>124</v>
      </c>
      <c r="T469" s="49" t="s">
        <v>124</v>
      </c>
      <c r="U469" s="49" t="s">
        <v>124</v>
      </c>
      <c r="V469" s="49" t="s">
        <v>124</v>
      </c>
      <c r="W469" s="49" t="s">
        <v>124</v>
      </c>
      <c r="X469" s="49" t="s">
        <v>124</v>
      </c>
      <c r="Y469" s="50" t="str">
        <f>IF(CCUS_Projects_Database!$R469&lt;&gt;"",HYPERLINK(CCUS_Projects_Database!$R469,"Link 1"),"")</f>
        <v>Link 1</v>
      </c>
      <c r="Z469" s="50" t="str">
        <f>IF(CCUS_Projects_Database!$S469&lt;&gt;"",HYPERLINK(CCUS_Projects_Database!$S469,"Link 2"),"")</f>
        <v/>
      </c>
      <c r="AA469" s="50" t="str">
        <f>IF(CCUS_Projects_Database!$T469&lt;&gt;"",HYPERLINK(CCUS_Projects_Database!$T469,"Link 3"),"")</f>
        <v/>
      </c>
      <c r="AB469" s="50" t="str">
        <f>IF(CCUS_Projects_Database!$U469&lt;&gt;"",HYPERLINK(CCUS_Projects_Database!$U469,"Link 4"),"")</f>
        <v/>
      </c>
      <c r="AC469" s="50" t="str">
        <f>IF(CCUS_Projects_Database!$V469&lt;&gt;"",HYPERLINK(CCUS_Projects_Database!$V469,"Link 5"),"")</f>
        <v/>
      </c>
      <c r="AD469" s="50" t="str">
        <f>IF(CCUS_Projects_Database!$W469&lt;&gt;"",HYPERLINK(CCUS_Projects_Database!$W469,"Link 6"),"")</f>
        <v/>
      </c>
      <c r="AE469" s="50" t="str">
        <f>IF(CCUS_Projects_Database!$X469&lt;&gt;"",HYPERLINK(CCUS_Projects_Database!$X469,"Link 7"),"")</f>
        <v/>
      </c>
    </row>
    <row r="470" ht="15.75" customHeight="1">
      <c r="A470" s="37" t="s">
        <v>433</v>
      </c>
      <c r="B470" s="38">
        <v>765.0</v>
      </c>
      <c r="C470" s="38" t="s">
        <v>146</v>
      </c>
      <c r="D470" s="39" t="s">
        <v>1823</v>
      </c>
      <c r="E470" s="38" t="s">
        <v>12</v>
      </c>
      <c r="F470" s="38">
        <v>2022.0</v>
      </c>
      <c r="G470" s="38" t="s">
        <v>124</v>
      </c>
      <c r="H470" s="38">
        <v>2030.0</v>
      </c>
      <c r="I470" s="38" t="s">
        <v>124</v>
      </c>
      <c r="J470" s="38" t="s">
        <v>28</v>
      </c>
      <c r="K470" s="40" t="s">
        <v>124</v>
      </c>
      <c r="L470" s="40"/>
      <c r="M470" s="40" t="s">
        <v>124</v>
      </c>
      <c r="N470" s="38" t="s">
        <v>12</v>
      </c>
      <c r="O470" s="41" t="s">
        <v>71</v>
      </c>
      <c r="P470" s="42" t="s">
        <v>433</v>
      </c>
      <c r="Q470" s="38" t="s">
        <v>148</v>
      </c>
      <c r="R470" s="42" t="s">
        <v>434</v>
      </c>
      <c r="S470" s="42" t="s">
        <v>758</v>
      </c>
      <c r="T470" s="42" t="s">
        <v>124</v>
      </c>
      <c r="U470" s="42" t="s">
        <v>124</v>
      </c>
      <c r="V470" s="42" t="s">
        <v>124</v>
      </c>
      <c r="W470" s="42" t="s">
        <v>124</v>
      </c>
      <c r="X470" s="42" t="s">
        <v>124</v>
      </c>
      <c r="Y470" s="43" t="str">
        <f>IF(CCUS_Projects_Database!$R470&lt;&gt;"",HYPERLINK(CCUS_Projects_Database!$R470,"Link 1"),"")</f>
        <v>Link 1</v>
      </c>
      <c r="Z470" s="43" t="str">
        <f>IF(CCUS_Projects_Database!$S470&lt;&gt;"",HYPERLINK(CCUS_Projects_Database!$S470,"Link 2"),"")</f>
        <v>Link 2</v>
      </c>
      <c r="AA470" s="43" t="str">
        <f>IF(CCUS_Projects_Database!$T470&lt;&gt;"",HYPERLINK(CCUS_Projects_Database!$T470,"Link 3"),"")</f>
        <v/>
      </c>
      <c r="AB470" s="43" t="str">
        <f>IF(CCUS_Projects_Database!$U470&lt;&gt;"",HYPERLINK(CCUS_Projects_Database!$U470,"Link 4"),"")</f>
        <v/>
      </c>
      <c r="AC470" s="43" t="str">
        <f>IF(CCUS_Projects_Database!$V470&lt;&gt;"",HYPERLINK(CCUS_Projects_Database!$V470,"Link 5"),"")</f>
        <v/>
      </c>
      <c r="AD470" s="43" t="str">
        <f>IF(CCUS_Projects_Database!$W470&lt;&gt;"",HYPERLINK(CCUS_Projects_Database!$W470,"Link 6"),"")</f>
        <v/>
      </c>
      <c r="AE470" s="43" t="str">
        <f>IF(CCUS_Projects_Database!$X470&lt;&gt;"",HYPERLINK(CCUS_Projects_Database!$X470,"Link 7"),"")</f>
        <v/>
      </c>
    </row>
    <row r="471" ht="15.75" customHeight="1">
      <c r="A471" s="44" t="s">
        <v>1824</v>
      </c>
      <c r="B471" s="45">
        <v>726.0</v>
      </c>
      <c r="C471" s="45" t="s">
        <v>893</v>
      </c>
      <c r="D471" s="46" t="s">
        <v>1825</v>
      </c>
      <c r="E471" s="45" t="s">
        <v>8</v>
      </c>
      <c r="F471" s="45">
        <v>2021.0</v>
      </c>
      <c r="G471" s="45" t="s">
        <v>124</v>
      </c>
      <c r="H471" s="45">
        <v>2027.0</v>
      </c>
      <c r="I471" s="45" t="s">
        <v>124</v>
      </c>
      <c r="J471" s="45" t="s">
        <v>28</v>
      </c>
      <c r="K471" s="47" t="s">
        <v>124</v>
      </c>
      <c r="L471" s="52">
        <v>0.19</v>
      </c>
      <c r="M471" s="47">
        <v>0.19</v>
      </c>
      <c r="N471" s="45" t="s">
        <v>60</v>
      </c>
      <c r="O471" s="48" t="s">
        <v>77</v>
      </c>
      <c r="P471" s="49" t="s">
        <v>1826</v>
      </c>
      <c r="Q471" s="45" t="s">
        <v>125</v>
      </c>
      <c r="R471" s="49" t="s">
        <v>1827</v>
      </c>
      <c r="S471" s="49" t="s">
        <v>1828</v>
      </c>
      <c r="T471" s="49" t="s">
        <v>124</v>
      </c>
      <c r="U471" s="49" t="s">
        <v>124</v>
      </c>
      <c r="V471" s="49" t="s">
        <v>124</v>
      </c>
      <c r="W471" s="49" t="s">
        <v>124</v>
      </c>
      <c r="X471" s="49" t="s">
        <v>124</v>
      </c>
      <c r="Y471" s="50" t="str">
        <f>IF(CCUS_Projects_Database!$R471&lt;&gt;"",HYPERLINK(CCUS_Projects_Database!$R471,"Link 1"),"")</f>
        <v>Link 1</v>
      </c>
      <c r="Z471" s="50" t="str">
        <f>IF(CCUS_Projects_Database!$S471&lt;&gt;"",HYPERLINK(CCUS_Projects_Database!$S471,"Link 2"),"")</f>
        <v>Link 2</v>
      </c>
      <c r="AA471" s="50" t="str">
        <f>IF(CCUS_Projects_Database!$T471&lt;&gt;"",HYPERLINK(CCUS_Projects_Database!$T471,"Link 3"),"")</f>
        <v/>
      </c>
      <c r="AB471" s="50" t="str">
        <f>IF(CCUS_Projects_Database!$U471&lt;&gt;"",HYPERLINK(CCUS_Projects_Database!$U471,"Link 4"),"")</f>
        <v/>
      </c>
      <c r="AC471" s="50" t="str">
        <f>IF(CCUS_Projects_Database!$V471&lt;&gt;"",HYPERLINK(CCUS_Projects_Database!$V471,"Link 5"),"")</f>
        <v/>
      </c>
      <c r="AD471" s="50" t="str">
        <f>IF(CCUS_Projects_Database!$W471&lt;&gt;"",HYPERLINK(CCUS_Projects_Database!$W471,"Link 6"),"")</f>
        <v/>
      </c>
      <c r="AE471" s="50" t="str">
        <f>IF(CCUS_Projects_Database!$X471&lt;&gt;"",HYPERLINK(CCUS_Projects_Database!$X471,"Link 7"),"")</f>
        <v/>
      </c>
    </row>
    <row r="472" ht="15.75" customHeight="1">
      <c r="A472" s="37" t="s">
        <v>1829</v>
      </c>
      <c r="B472" s="38">
        <v>646.0</v>
      </c>
      <c r="C472" s="38" t="s">
        <v>1830</v>
      </c>
      <c r="D472" s="39" t="s">
        <v>1831</v>
      </c>
      <c r="E472" s="38" t="s">
        <v>8</v>
      </c>
      <c r="F472" s="38">
        <v>2020.0</v>
      </c>
      <c r="G472" s="38" t="s">
        <v>124</v>
      </c>
      <c r="H472" s="38">
        <v>2025.0</v>
      </c>
      <c r="I472" s="38" t="s">
        <v>124</v>
      </c>
      <c r="J472" s="38" t="s">
        <v>28</v>
      </c>
      <c r="K472" s="40" t="s">
        <v>124</v>
      </c>
      <c r="L472" s="51">
        <v>0.1</v>
      </c>
      <c r="M472" s="40">
        <v>0.1</v>
      </c>
      <c r="N472" s="38" t="s">
        <v>46</v>
      </c>
      <c r="O472" s="41" t="s">
        <v>77</v>
      </c>
      <c r="P472" s="42" t="s">
        <v>124</v>
      </c>
      <c r="Q472" s="38" t="s">
        <v>125</v>
      </c>
      <c r="R472" s="42" t="s">
        <v>1832</v>
      </c>
      <c r="S472" s="42" t="s">
        <v>1833</v>
      </c>
      <c r="T472" s="42" t="s">
        <v>1834</v>
      </c>
      <c r="U472" s="42" t="s">
        <v>124</v>
      </c>
      <c r="V472" s="42" t="s">
        <v>124</v>
      </c>
      <c r="W472" s="42" t="s">
        <v>124</v>
      </c>
      <c r="X472" s="42" t="s">
        <v>124</v>
      </c>
      <c r="Y472" s="43" t="str">
        <f>IF(CCUS_Projects_Database!$R472&lt;&gt;"",HYPERLINK(CCUS_Projects_Database!$R472,"Link 1"),"")</f>
        <v>Link 1</v>
      </c>
      <c r="Z472" s="43" t="str">
        <f>IF(CCUS_Projects_Database!$S472&lt;&gt;"",HYPERLINK(CCUS_Projects_Database!$S472,"Link 2"),"")</f>
        <v>Link 2</v>
      </c>
      <c r="AA472" s="43" t="str">
        <f>IF(CCUS_Projects_Database!$T472&lt;&gt;"",HYPERLINK(CCUS_Projects_Database!$T472,"Link 3"),"")</f>
        <v>Link 3</v>
      </c>
      <c r="AB472" s="43" t="str">
        <f>IF(CCUS_Projects_Database!$U472&lt;&gt;"",HYPERLINK(CCUS_Projects_Database!$U472,"Link 4"),"")</f>
        <v/>
      </c>
      <c r="AC472" s="43" t="str">
        <f>IF(CCUS_Projects_Database!$V472&lt;&gt;"",HYPERLINK(CCUS_Projects_Database!$V472,"Link 5"),"")</f>
        <v/>
      </c>
      <c r="AD472" s="43" t="str">
        <f>IF(CCUS_Projects_Database!$W472&lt;&gt;"",HYPERLINK(CCUS_Projects_Database!$W472,"Link 6"),"")</f>
        <v/>
      </c>
      <c r="AE472" s="43" t="str">
        <f>IF(CCUS_Projects_Database!$X472&lt;&gt;"",HYPERLINK(CCUS_Projects_Database!$X472,"Link 7"),"")</f>
        <v/>
      </c>
    </row>
    <row r="473" ht="15.75" customHeight="1">
      <c r="A473" s="44" t="s">
        <v>1835</v>
      </c>
      <c r="B473" s="45">
        <v>1029.0</v>
      </c>
      <c r="C473" s="45" t="s">
        <v>243</v>
      </c>
      <c r="D473" s="46" t="s">
        <v>1836</v>
      </c>
      <c r="E473" s="45" t="s">
        <v>16</v>
      </c>
      <c r="F473" s="45">
        <v>2021.0</v>
      </c>
      <c r="G473" s="45">
        <v>2024.0</v>
      </c>
      <c r="H473" s="45">
        <v>2026.0</v>
      </c>
      <c r="I473" s="45" t="s">
        <v>124</v>
      </c>
      <c r="J473" s="45" t="s">
        <v>28</v>
      </c>
      <c r="K473" s="47" t="s">
        <v>124</v>
      </c>
      <c r="L473" s="52">
        <v>0.11</v>
      </c>
      <c r="M473" s="47">
        <v>0.11</v>
      </c>
      <c r="N473" s="45" t="s">
        <v>46</v>
      </c>
      <c r="O473" s="48" t="s">
        <v>75</v>
      </c>
      <c r="P473" s="49" t="s">
        <v>124</v>
      </c>
      <c r="Q473" s="45" t="s">
        <v>125</v>
      </c>
      <c r="R473" s="49" t="s">
        <v>1837</v>
      </c>
      <c r="S473" s="49" t="s">
        <v>124</v>
      </c>
      <c r="T473" s="49" t="s">
        <v>124</v>
      </c>
      <c r="U473" s="49" t="s">
        <v>124</v>
      </c>
      <c r="V473" s="49" t="s">
        <v>124</v>
      </c>
      <c r="W473" s="49" t="s">
        <v>124</v>
      </c>
      <c r="X473" s="49" t="s">
        <v>124</v>
      </c>
      <c r="Y473" s="50" t="str">
        <f>IF(CCUS_Projects_Database!$R473&lt;&gt;"",HYPERLINK(CCUS_Projects_Database!$R473,"Link 1"),"")</f>
        <v>Link 1</v>
      </c>
      <c r="Z473" s="50" t="str">
        <f>IF(CCUS_Projects_Database!$S473&lt;&gt;"",HYPERLINK(CCUS_Projects_Database!$S473,"Link 2"),"")</f>
        <v/>
      </c>
      <c r="AA473" s="50" t="str">
        <f>IF(CCUS_Projects_Database!$T473&lt;&gt;"",HYPERLINK(CCUS_Projects_Database!$T473,"Link 3"),"")</f>
        <v/>
      </c>
      <c r="AB473" s="50" t="str">
        <f>IF(CCUS_Projects_Database!$U473&lt;&gt;"",HYPERLINK(CCUS_Projects_Database!$U473,"Link 4"),"")</f>
        <v/>
      </c>
      <c r="AC473" s="50" t="str">
        <f>IF(CCUS_Projects_Database!$V473&lt;&gt;"",HYPERLINK(CCUS_Projects_Database!$V473,"Link 5"),"")</f>
        <v/>
      </c>
      <c r="AD473" s="50" t="str">
        <f>IF(CCUS_Projects_Database!$W473&lt;&gt;"",HYPERLINK(CCUS_Projects_Database!$W473,"Link 6"),"")</f>
        <v/>
      </c>
      <c r="AE473" s="50" t="str">
        <f>IF(CCUS_Projects_Database!$X473&lt;&gt;"",HYPERLINK(CCUS_Projects_Database!$X473,"Link 7"),"")</f>
        <v/>
      </c>
    </row>
    <row r="474" ht="15.75" customHeight="1">
      <c r="A474" s="37" t="s">
        <v>1838</v>
      </c>
      <c r="B474" s="38">
        <v>285.0</v>
      </c>
      <c r="C474" s="38" t="s">
        <v>204</v>
      </c>
      <c r="D474" s="39" t="s">
        <v>1839</v>
      </c>
      <c r="E474" s="38" t="s">
        <v>14</v>
      </c>
      <c r="F474" s="38">
        <v>2020.0</v>
      </c>
      <c r="G474" s="38">
        <v>2025.0</v>
      </c>
      <c r="H474" s="38">
        <v>2028.0</v>
      </c>
      <c r="I474" s="38" t="s">
        <v>124</v>
      </c>
      <c r="J474" s="38" t="s">
        <v>28</v>
      </c>
      <c r="K474" s="40">
        <v>1.0</v>
      </c>
      <c r="L474" s="51">
        <v>5.0</v>
      </c>
      <c r="M474" s="40">
        <v>5.0</v>
      </c>
      <c r="N474" s="38" t="s">
        <v>14</v>
      </c>
      <c r="O474" s="41" t="s">
        <v>71</v>
      </c>
      <c r="P474" s="42" t="s">
        <v>1840</v>
      </c>
      <c r="Q474" s="38" t="s">
        <v>125</v>
      </c>
      <c r="R474" s="42" t="s">
        <v>1841</v>
      </c>
      <c r="S474" s="42" t="s">
        <v>1842</v>
      </c>
      <c r="T474" s="42" t="s">
        <v>1842</v>
      </c>
      <c r="U474" s="42" t="s">
        <v>1843</v>
      </c>
      <c r="V474" s="42" t="s">
        <v>124</v>
      </c>
      <c r="W474" s="42" t="s">
        <v>124</v>
      </c>
      <c r="X474" s="42" t="s">
        <v>124</v>
      </c>
      <c r="Y474" s="43" t="str">
        <f>IF(CCUS_Projects_Database!$R474&lt;&gt;"",HYPERLINK(CCUS_Projects_Database!$R474,"Link 1"),"")</f>
        <v>Link 1</v>
      </c>
      <c r="Z474" s="43" t="str">
        <f>IF(CCUS_Projects_Database!$S474&lt;&gt;"",HYPERLINK(CCUS_Projects_Database!$S474,"Link 2"),"")</f>
        <v>Link 2</v>
      </c>
      <c r="AA474" s="43" t="str">
        <f>IF(CCUS_Projects_Database!$T474&lt;&gt;"",HYPERLINK(CCUS_Projects_Database!$T474,"Link 3"),"")</f>
        <v>Link 3</v>
      </c>
      <c r="AB474" s="43" t="str">
        <f>IF(CCUS_Projects_Database!$U474&lt;&gt;"",HYPERLINK(CCUS_Projects_Database!$U474,"Link 4"),"")</f>
        <v>Link 4</v>
      </c>
      <c r="AC474" s="43" t="str">
        <f>IF(CCUS_Projects_Database!$V474&lt;&gt;"",HYPERLINK(CCUS_Projects_Database!$V474,"Link 5"),"")</f>
        <v/>
      </c>
      <c r="AD474" s="43" t="str">
        <f>IF(CCUS_Projects_Database!$W474&lt;&gt;"",HYPERLINK(CCUS_Projects_Database!$W474,"Link 6"),"")</f>
        <v/>
      </c>
      <c r="AE474" s="43" t="str">
        <f>IF(CCUS_Projects_Database!$X474&lt;&gt;"",HYPERLINK(CCUS_Projects_Database!$X474,"Link 7"),"")</f>
        <v/>
      </c>
    </row>
    <row r="475" ht="15.75" customHeight="1">
      <c r="A475" s="44" t="s">
        <v>1844</v>
      </c>
      <c r="B475" s="45">
        <v>875.0</v>
      </c>
      <c r="C475" s="45" t="s">
        <v>141</v>
      </c>
      <c r="D475" s="46" t="s">
        <v>1845</v>
      </c>
      <c r="E475" s="45" t="s">
        <v>12</v>
      </c>
      <c r="F475" s="45">
        <v>2022.0</v>
      </c>
      <c r="G475" s="45" t="s">
        <v>124</v>
      </c>
      <c r="H475" s="45" t="s">
        <v>124</v>
      </c>
      <c r="I475" s="45" t="s">
        <v>124</v>
      </c>
      <c r="J475" s="45" t="s">
        <v>28</v>
      </c>
      <c r="K475" s="47" t="s">
        <v>124</v>
      </c>
      <c r="L475" s="52">
        <v>1.0</v>
      </c>
      <c r="M475" s="47">
        <v>1.0</v>
      </c>
      <c r="N475" s="45" t="s">
        <v>12</v>
      </c>
      <c r="O475" s="48" t="s">
        <v>77</v>
      </c>
      <c r="P475" s="49" t="s">
        <v>124</v>
      </c>
      <c r="Q475" s="45" t="s">
        <v>143</v>
      </c>
      <c r="R475" s="49" t="s">
        <v>1846</v>
      </c>
      <c r="S475" s="49" t="s">
        <v>124</v>
      </c>
      <c r="T475" s="49" t="s">
        <v>124</v>
      </c>
      <c r="U475" s="49" t="s">
        <v>124</v>
      </c>
      <c r="V475" s="49" t="s">
        <v>124</v>
      </c>
      <c r="W475" s="49" t="s">
        <v>124</v>
      </c>
      <c r="X475" s="49" t="s">
        <v>124</v>
      </c>
      <c r="Y475" s="50" t="str">
        <f>IF(CCUS_Projects_Database!$R475&lt;&gt;"",HYPERLINK(CCUS_Projects_Database!$R475,"Link 1"),"")</f>
        <v>Link 1</v>
      </c>
      <c r="Z475" s="50" t="str">
        <f>IF(CCUS_Projects_Database!$S475&lt;&gt;"",HYPERLINK(CCUS_Projects_Database!$S475,"Link 2"),"")</f>
        <v/>
      </c>
      <c r="AA475" s="50" t="str">
        <f>IF(CCUS_Projects_Database!$T475&lt;&gt;"",HYPERLINK(CCUS_Projects_Database!$T475,"Link 3"),"")</f>
        <v/>
      </c>
      <c r="AB475" s="50" t="str">
        <f>IF(CCUS_Projects_Database!$U475&lt;&gt;"",HYPERLINK(CCUS_Projects_Database!$U475,"Link 4"),"")</f>
        <v/>
      </c>
      <c r="AC475" s="50" t="str">
        <f>IF(CCUS_Projects_Database!$V475&lt;&gt;"",HYPERLINK(CCUS_Projects_Database!$V475,"Link 5"),"")</f>
        <v/>
      </c>
      <c r="AD475" s="50" t="str">
        <f>IF(CCUS_Projects_Database!$W475&lt;&gt;"",HYPERLINK(CCUS_Projects_Database!$W475,"Link 6"),"")</f>
        <v/>
      </c>
      <c r="AE475" s="50" t="str">
        <f>IF(CCUS_Projects_Database!$X475&lt;&gt;"",HYPERLINK(CCUS_Projects_Database!$X475,"Link 7"),"")</f>
        <v/>
      </c>
    </row>
    <row r="476" ht="15.75" customHeight="1">
      <c r="A476" s="37" t="s">
        <v>1847</v>
      </c>
      <c r="B476" s="38">
        <v>250.0</v>
      </c>
      <c r="C476" s="38" t="s">
        <v>141</v>
      </c>
      <c r="D476" s="39" t="s">
        <v>1848</v>
      </c>
      <c r="E476" s="38" t="s">
        <v>6</v>
      </c>
      <c r="F476" s="38">
        <v>2021.0</v>
      </c>
      <c r="G476" s="38">
        <v>2022.0</v>
      </c>
      <c r="H476" s="38">
        <v>2025.0</v>
      </c>
      <c r="I476" s="38" t="s">
        <v>124</v>
      </c>
      <c r="J476" s="38" t="s">
        <v>30</v>
      </c>
      <c r="K476" s="40" t="s">
        <v>124</v>
      </c>
      <c r="L476" s="51">
        <v>1.1</v>
      </c>
      <c r="M476" s="40">
        <v>1.0</v>
      </c>
      <c r="N476" s="38" t="s">
        <v>48</v>
      </c>
      <c r="O476" s="41" t="s">
        <v>77</v>
      </c>
      <c r="P476" s="42" t="s">
        <v>124</v>
      </c>
      <c r="Q476" s="38" t="s">
        <v>143</v>
      </c>
      <c r="R476" s="42" t="s">
        <v>1849</v>
      </c>
      <c r="S476" s="42" t="s">
        <v>1850</v>
      </c>
      <c r="T476" s="42" t="s">
        <v>1195</v>
      </c>
      <c r="U476" s="42" t="s">
        <v>1851</v>
      </c>
      <c r="V476" s="42" t="s">
        <v>124</v>
      </c>
      <c r="W476" s="42" t="s">
        <v>124</v>
      </c>
      <c r="X476" s="42" t="s">
        <v>124</v>
      </c>
      <c r="Y476" s="43" t="str">
        <f>IF(CCUS_Projects_Database!$R476&lt;&gt;"",HYPERLINK(CCUS_Projects_Database!$R476,"Link 1"),"")</f>
        <v>Link 1</v>
      </c>
      <c r="Z476" s="43" t="str">
        <f>IF(CCUS_Projects_Database!$S476&lt;&gt;"",HYPERLINK(CCUS_Projects_Database!$S476,"Link 2"),"")</f>
        <v>Link 2</v>
      </c>
      <c r="AA476" s="43" t="str">
        <f>IF(CCUS_Projects_Database!$T476&lt;&gt;"",HYPERLINK(CCUS_Projects_Database!$T476,"Link 3"),"")</f>
        <v>Link 3</v>
      </c>
      <c r="AB476" s="43" t="str">
        <f>IF(CCUS_Projects_Database!$U476&lt;&gt;"",HYPERLINK(CCUS_Projects_Database!$U476,"Link 4"),"")</f>
        <v>Link 4</v>
      </c>
      <c r="AC476" s="43" t="str">
        <f>IF(CCUS_Projects_Database!$V476&lt;&gt;"",HYPERLINK(CCUS_Projects_Database!$V476,"Link 5"),"")</f>
        <v/>
      </c>
      <c r="AD476" s="43" t="str">
        <f>IF(CCUS_Projects_Database!$W476&lt;&gt;"",HYPERLINK(CCUS_Projects_Database!$W476,"Link 6"),"")</f>
        <v/>
      </c>
      <c r="AE476" s="43" t="str">
        <f>IF(CCUS_Projects_Database!$X476&lt;&gt;"",HYPERLINK(CCUS_Projects_Database!$X476,"Link 7"),"")</f>
        <v/>
      </c>
    </row>
    <row r="477" ht="15.75" customHeight="1">
      <c r="A477" s="44" t="s">
        <v>1852</v>
      </c>
      <c r="B477" s="45">
        <v>251.0</v>
      </c>
      <c r="C477" s="45" t="s">
        <v>141</v>
      </c>
      <c r="D477" s="46" t="s">
        <v>1853</v>
      </c>
      <c r="E477" s="45" t="s">
        <v>6</v>
      </c>
      <c r="F477" s="45">
        <v>2008.0</v>
      </c>
      <c r="G477" s="45">
        <v>2008.0</v>
      </c>
      <c r="H477" s="45">
        <v>2010.0</v>
      </c>
      <c r="I477" s="45" t="s">
        <v>124</v>
      </c>
      <c r="J477" s="45" t="s">
        <v>32</v>
      </c>
      <c r="K477" s="47">
        <v>2.0</v>
      </c>
      <c r="L477" s="52">
        <v>3.5</v>
      </c>
      <c r="M477" s="47">
        <v>3.5</v>
      </c>
      <c r="N477" s="45" t="s">
        <v>48</v>
      </c>
      <c r="O477" s="48" t="s">
        <v>73</v>
      </c>
      <c r="P477" s="49" t="s">
        <v>124</v>
      </c>
      <c r="Q477" s="45" t="s">
        <v>143</v>
      </c>
      <c r="R477" s="49" t="s">
        <v>1854</v>
      </c>
      <c r="S477" s="49" t="s">
        <v>124</v>
      </c>
      <c r="T477" s="49" t="s">
        <v>124</v>
      </c>
      <c r="U477" s="49" t="s">
        <v>124</v>
      </c>
      <c r="V477" s="49" t="s">
        <v>124</v>
      </c>
      <c r="W477" s="49" t="s">
        <v>124</v>
      </c>
      <c r="X477" s="49" t="s">
        <v>124</v>
      </c>
      <c r="Y477" s="50" t="str">
        <f>IF(CCUS_Projects_Database!$R477&lt;&gt;"",HYPERLINK(CCUS_Projects_Database!$R477,"Link 1"),"")</f>
        <v>Link 1</v>
      </c>
      <c r="Z477" s="50" t="str">
        <f>IF(CCUS_Projects_Database!$S477&lt;&gt;"",HYPERLINK(CCUS_Projects_Database!$S477,"Link 2"),"")</f>
        <v/>
      </c>
      <c r="AA477" s="50" t="str">
        <f>IF(CCUS_Projects_Database!$T477&lt;&gt;"",HYPERLINK(CCUS_Projects_Database!$T477,"Link 3"),"")</f>
        <v/>
      </c>
      <c r="AB477" s="50" t="str">
        <f>IF(CCUS_Projects_Database!$U477&lt;&gt;"",HYPERLINK(CCUS_Projects_Database!$U477,"Link 4"),"")</f>
        <v/>
      </c>
      <c r="AC477" s="50" t="str">
        <f>IF(CCUS_Projects_Database!$V477&lt;&gt;"",HYPERLINK(CCUS_Projects_Database!$V477,"Link 5"),"")</f>
        <v/>
      </c>
      <c r="AD477" s="50" t="str">
        <f>IF(CCUS_Projects_Database!$W477&lt;&gt;"",HYPERLINK(CCUS_Projects_Database!$W477,"Link 6"),"")</f>
        <v/>
      </c>
      <c r="AE477" s="50" t="str">
        <f>IF(CCUS_Projects_Database!$X477&lt;&gt;"",HYPERLINK(CCUS_Projects_Database!$X477,"Link 7"),"")</f>
        <v/>
      </c>
    </row>
    <row r="478" ht="15.75" customHeight="1">
      <c r="A478" s="37" t="s">
        <v>1855</v>
      </c>
      <c r="B478" s="38">
        <v>252.0</v>
      </c>
      <c r="C478" s="38" t="s">
        <v>141</v>
      </c>
      <c r="D478" s="39" t="s">
        <v>1853</v>
      </c>
      <c r="E478" s="38" t="s">
        <v>6</v>
      </c>
      <c r="F478" s="38">
        <v>1984.0</v>
      </c>
      <c r="G478" s="38">
        <v>1984.0</v>
      </c>
      <c r="H478" s="38">
        <v>1986.0</v>
      </c>
      <c r="I478" s="38" t="s">
        <v>124</v>
      </c>
      <c r="J478" s="38" t="s">
        <v>32</v>
      </c>
      <c r="K478" s="40">
        <v>1.0</v>
      </c>
      <c r="L478" s="51">
        <v>3.5</v>
      </c>
      <c r="M478" s="40">
        <v>3.5</v>
      </c>
      <c r="N478" s="38" t="s">
        <v>48</v>
      </c>
      <c r="O478" s="41" t="s">
        <v>73</v>
      </c>
      <c r="P478" s="42" t="s">
        <v>124</v>
      </c>
      <c r="Q478" s="38" t="s">
        <v>143</v>
      </c>
      <c r="R478" s="42" t="s">
        <v>1850</v>
      </c>
      <c r="S478" s="42" t="s">
        <v>1856</v>
      </c>
      <c r="T478" s="42" t="s">
        <v>1857</v>
      </c>
      <c r="U478" s="42" t="s">
        <v>124</v>
      </c>
      <c r="V478" s="42" t="s">
        <v>124</v>
      </c>
      <c r="W478" s="42" t="s">
        <v>124</v>
      </c>
      <c r="X478" s="42" t="s">
        <v>124</v>
      </c>
      <c r="Y478" s="43" t="str">
        <f>IF(CCUS_Projects_Database!$R478&lt;&gt;"",HYPERLINK(CCUS_Projects_Database!$R478,"Link 1"),"")</f>
        <v>Link 1</v>
      </c>
      <c r="Z478" s="43" t="str">
        <f>IF(CCUS_Projects_Database!$S478&lt;&gt;"",HYPERLINK(CCUS_Projects_Database!$S478,"Link 2"),"")</f>
        <v>Link 2</v>
      </c>
      <c r="AA478" s="43" t="str">
        <f>IF(CCUS_Projects_Database!$T478&lt;&gt;"",HYPERLINK(CCUS_Projects_Database!$T478,"Link 3"),"")</f>
        <v>Link 3</v>
      </c>
      <c r="AB478" s="43" t="str">
        <f>IF(CCUS_Projects_Database!$U478&lt;&gt;"",HYPERLINK(CCUS_Projects_Database!$U478,"Link 4"),"")</f>
        <v/>
      </c>
      <c r="AC478" s="43" t="str">
        <f>IF(CCUS_Projects_Database!$V478&lt;&gt;"",HYPERLINK(CCUS_Projects_Database!$V478,"Link 5"),"")</f>
        <v/>
      </c>
      <c r="AD478" s="43" t="str">
        <f>IF(CCUS_Projects_Database!$W478&lt;&gt;"",HYPERLINK(CCUS_Projects_Database!$W478,"Link 6"),"")</f>
        <v/>
      </c>
      <c r="AE478" s="43" t="str">
        <f>IF(CCUS_Projects_Database!$X478&lt;&gt;"",HYPERLINK(CCUS_Projects_Database!$X478,"Link 7"),"")</f>
        <v/>
      </c>
    </row>
    <row r="479" ht="15.75" customHeight="1">
      <c r="A479" s="44" t="s">
        <v>1858</v>
      </c>
      <c r="B479" s="45">
        <v>254.0</v>
      </c>
      <c r="C479" s="45" t="s">
        <v>141</v>
      </c>
      <c r="D479" s="46" t="s">
        <v>1859</v>
      </c>
      <c r="E479" s="45" t="s">
        <v>8</v>
      </c>
      <c r="F479" s="45">
        <v>2021.0</v>
      </c>
      <c r="G479" s="45" t="s">
        <v>124</v>
      </c>
      <c r="H479" s="45" t="s">
        <v>124</v>
      </c>
      <c r="I479" s="45" t="s">
        <v>124</v>
      </c>
      <c r="J479" s="45" t="s">
        <v>28</v>
      </c>
      <c r="K479" s="47" t="s">
        <v>124</v>
      </c>
      <c r="L479" s="52">
        <v>2.8</v>
      </c>
      <c r="M479" s="47">
        <v>2.8</v>
      </c>
      <c r="N479" s="45" t="s">
        <v>56</v>
      </c>
      <c r="O479" s="48" t="s">
        <v>71</v>
      </c>
      <c r="P479" s="49" t="s">
        <v>124</v>
      </c>
      <c r="Q479" s="45" t="s">
        <v>143</v>
      </c>
      <c r="R479" s="49" t="s">
        <v>1860</v>
      </c>
      <c r="S479" s="49" t="s">
        <v>1861</v>
      </c>
      <c r="T479" s="49" t="s">
        <v>124</v>
      </c>
      <c r="U479" s="49" t="s">
        <v>124</v>
      </c>
      <c r="V479" s="49" t="s">
        <v>124</v>
      </c>
      <c r="W479" s="49" t="s">
        <v>124</v>
      </c>
      <c r="X479" s="49" t="s">
        <v>124</v>
      </c>
      <c r="Y479" s="50" t="str">
        <f>IF(CCUS_Projects_Database!$R479&lt;&gt;"",HYPERLINK(CCUS_Projects_Database!$R479,"Link 1"),"")</f>
        <v>Link 1</v>
      </c>
      <c r="Z479" s="50" t="str">
        <f>IF(CCUS_Projects_Database!$S479&lt;&gt;"",HYPERLINK(CCUS_Projects_Database!$S479,"Link 2"),"")</f>
        <v>Link 2</v>
      </c>
      <c r="AA479" s="50" t="str">
        <f>IF(CCUS_Projects_Database!$T479&lt;&gt;"",HYPERLINK(CCUS_Projects_Database!$T479,"Link 3"),"")</f>
        <v/>
      </c>
      <c r="AB479" s="50" t="str">
        <f>IF(CCUS_Projects_Database!$U479&lt;&gt;"",HYPERLINK(CCUS_Projects_Database!$U479,"Link 4"),"")</f>
        <v/>
      </c>
      <c r="AC479" s="50" t="str">
        <f>IF(CCUS_Projects_Database!$V479&lt;&gt;"",HYPERLINK(CCUS_Projects_Database!$V479,"Link 5"),"")</f>
        <v/>
      </c>
      <c r="AD479" s="50" t="str">
        <f>IF(CCUS_Projects_Database!$W479&lt;&gt;"",HYPERLINK(CCUS_Projects_Database!$W479,"Link 6"),"")</f>
        <v/>
      </c>
      <c r="AE479" s="50" t="str">
        <f>IF(CCUS_Projects_Database!$X479&lt;&gt;"",HYPERLINK(CCUS_Projects_Database!$X479,"Link 7"),"")</f>
        <v/>
      </c>
    </row>
    <row r="480" ht="15.75" customHeight="1">
      <c r="A480" s="37" t="s">
        <v>1862</v>
      </c>
      <c r="B480" s="38">
        <v>999.0</v>
      </c>
      <c r="C480" s="38" t="s">
        <v>141</v>
      </c>
      <c r="D480" s="39" t="s">
        <v>1863</v>
      </c>
      <c r="E480" s="38" t="s">
        <v>8</v>
      </c>
      <c r="F480" s="38">
        <v>2023.0</v>
      </c>
      <c r="G480" s="38" t="s">
        <v>124</v>
      </c>
      <c r="H480" s="38" t="s">
        <v>124</v>
      </c>
      <c r="I480" s="38" t="s">
        <v>124</v>
      </c>
      <c r="J480" s="38" t="s">
        <v>28</v>
      </c>
      <c r="K480" s="40" t="s">
        <v>124</v>
      </c>
      <c r="L480" s="40"/>
      <c r="M480" s="40" t="s">
        <v>124</v>
      </c>
      <c r="N480" s="38" t="s">
        <v>136</v>
      </c>
      <c r="O480" s="41" t="s">
        <v>77</v>
      </c>
      <c r="P480" s="42" t="s">
        <v>124</v>
      </c>
      <c r="Q480" s="38" t="s">
        <v>143</v>
      </c>
      <c r="R480" s="42" t="s">
        <v>1864</v>
      </c>
      <c r="S480" s="42" t="s">
        <v>124</v>
      </c>
      <c r="T480" s="42" t="s">
        <v>124</v>
      </c>
      <c r="U480" s="42" t="s">
        <v>124</v>
      </c>
      <c r="V480" s="42" t="s">
        <v>124</v>
      </c>
      <c r="W480" s="42" t="s">
        <v>124</v>
      </c>
      <c r="X480" s="42" t="s">
        <v>124</v>
      </c>
      <c r="Y480" s="43" t="str">
        <f>IF(CCUS_Projects_Database!$R480&lt;&gt;"",HYPERLINK(CCUS_Projects_Database!$R480,"Link 1"),"")</f>
        <v>Link 1</v>
      </c>
      <c r="Z480" s="43" t="str">
        <f>IF(CCUS_Projects_Database!$S480&lt;&gt;"",HYPERLINK(CCUS_Projects_Database!$S480,"Link 2"),"")</f>
        <v/>
      </c>
      <c r="AA480" s="43" t="str">
        <f>IF(CCUS_Projects_Database!$T480&lt;&gt;"",HYPERLINK(CCUS_Projects_Database!$T480,"Link 3"),"")</f>
        <v/>
      </c>
      <c r="AB480" s="43" t="str">
        <f>IF(CCUS_Projects_Database!$U480&lt;&gt;"",HYPERLINK(CCUS_Projects_Database!$U480,"Link 4"),"")</f>
        <v/>
      </c>
      <c r="AC480" s="43" t="str">
        <f>IF(CCUS_Projects_Database!$V480&lt;&gt;"",HYPERLINK(CCUS_Projects_Database!$V480,"Link 5"),"")</f>
        <v/>
      </c>
      <c r="AD480" s="43" t="str">
        <f>IF(CCUS_Projects_Database!$W480&lt;&gt;"",HYPERLINK(CCUS_Projects_Database!$W480,"Link 6"),"")</f>
        <v/>
      </c>
      <c r="AE480" s="43" t="str">
        <f>IF(CCUS_Projects_Database!$X480&lt;&gt;"",HYPERLINK(CCUS_Projects_Database!$X480,"Link 7"),"")</f>
        <v/>
      </c>
    </row>
    <row r="481" ht="15.75" customHeight="1">
      <c r="A481" s="44" t="s">
        <v>1865</v>
      </c>
      <c r="B481" s="45">
        <v>255.0</v>
      </c>
      <c r="C481" s="45" t="s">
        <v>141</v>
      </c>
      <c r="D481" s="46" t="s">
        <v>1866</v>
      </c>
      <c r="E481" s="45" t="s">
        <v>8</v>
      </c>
      <c r="F481" s="45">
        <v>2009.0</v>
      </c>
      <c r="G481" s="45">
        <v>2024.0</v>
      </c>
      <c r="H481" s="45">
        <v>2027.0</v>
      </c>
      <c r="I481" s="45" t="s">
        <v>124</v>
      </c>
      <c r="J481" s="45" t="s">
        <v>28</v>
      </c>
      <c r="K481" s="47" t="s">
        <v>124</v>
      </c>
      <c r="L481" s="52">
        <v>4.1</v>
      </c>
      <c r="M481" s="47">
        <v>4.2</v>
      </c>
      <c r="N481" s="45" t="s">
        <v>60</v>
      </c>
      <c r="O481" s="48" t="s">
        <v>432</v>
      </c>
      <c r="P481" s="49" t="s">
        <v>124</v>
      </c>
      <c r="Q481" s="45" t="s">
        <v>143</v>
      </c>
      <c r="R481" s="49" t="s">
        <v>1867</v>
      </c>
      <c r="S481" s="49" t="s">
        <v>1868</v>
      </c>
      <c r="T481" s="49" t="s">
        <v>124</v>
      </c>
      <c r="U481" s="49" t="s">
        <v>124</v>
      </c>
      <c r="V481" s="49" t="s">
        <v>124</v>
      </c>
      <c r="W481" s="49" t="s">
        <v>124</v>
      </c>
      <c r="X481" s="49" t="s">
        <v>124</v>
      </c>
      <c r="Y481" s="50" t="str">
        <f>IF(CCUS_Projects_Database!$R481&lt;&gt;"",HYPERLINK(CCUS_Projects_Database!$R481,"Link 1"),"")</f>
        <v>Link 1</v>
      </c>
      <c r="Z481" s="50" t="str">
        <f>IF(CCUS_Projects_Database!$S481&lt;&gt;"",HYPERLINK(CCUS_Projects_Database!$S481,"Link 2"),"")</f>
        <v>Link 2</v>
      </c>
      <c r="AA481" s="50" t="str">
        <f>IF(CCUS_Projects_Database!$T481&lt;&gt;"",HYPERLINK(CCUS_Projects_Database!$T481,"Link 3"),"")</f>
        <v/>
      </c>
      <c r="AB481" s="50" t="str">
        <f>IF(CCUS_Projects_Database!$U481&lt;&gt;"",HYPERLINK(CCUS_Projects_Database!$U481,"Link 4"),"")</f>
        <v/>
      </c>
      <c r="AC481" s="50" t="str">
        <f>IF(CCUS_Projects_Database!$V481&lt;&gt;"",HYPERLINK(CCUS_Projects_Database!$V481,"Link 5"),"")</f>
        <v/>
      </c>
      <c r="AD481" s="50" t="str">
        <f>IF(CCUS_Projects_Database!$W481&lt;&gt;"",HYPERLINK(CCUS_Projects_Database!$W481,"Link 6"),"")</f>
        <v/>
      </c>
      <c r="AE481" s="50" t="str">
        <f>IF(CCUS_Projects_Database!$X481&lt;&gt;"",HYPERLINK(CCUS_Projects_Database!$X481,"Link 7"),"")</f>
        <v/>
      </c>
    </row>
    <row r="482" ht="15.75" customHeight="1">
      <c r="A482" s="37" t="s">
        <v>1869</v>
      </c>
      <c r="B482" s="38">
        <v>1130.0</v>
      </c>
      <c r="C482" s="38" t="s">
        <v>141</v>
      </c>
      <c r="D482" s="39" t="s">
        <v>1870</v>
      </c>
      <c r="E482" s="38" t="s">
        <v>6</v>
      </c>
      <c r="F482" s="38">
        <v>2023.0</v>
      </c>
      <c r="G482" s="38" t="s">
        <v>124</v>
      </c>
      <c r="H482" s="38" t="s">
        <v>124</v>
      </c>
      <c r="I482" s="38" t="s">
        <v>124</v>
      </c>
      <c r="J482" s="38" t="s">
        <v>28</v>
      </c>
      <c r="K482" s="40" t="s">
        <v>124</v>
      </c>
      <c r="L482" s="51">
        <v>2.5</v>
      </c>
      <c r="M482" s="40">
        <v>2.5</v>
      </c>
      <c r="N482" s="38" t="s">
        <v>46</v>
      </c>
      <c r="O482" s="41" t="s">
        <v>71</v>
      </c>
      <c r="P482" s="38" t="s">
        <v>124</v>
      </c>
      <c r="Q482" s="38" t="s">
        <v>143</v>
      </c>
      <c r="R482" s="55" t="s">
        <v>372</v>
      </c>
      <c r="S482" s="55" t="s">
        <v>124</v>
      </c>
      <c r="T482" s="55" t="s">
        <v>124</v>
      </c>
      <c r="U482" s="55" t="s">
        <v>124</v>
      </c>
      <c r="V482" s="55" t="s">
        <v>124</v>
      </c>
      <c r="W482" s="55" t="s">
        <v>124</v>
      </c>
      <c r="X482" s="55" t="s">
        <v>124</v>
      </c>
      <c r="Y482" s="56" t="str">
        <f>IF(CCUS_Projects_Database!$R482&lt;&gt;"",HYPERLINK(CCUS_Projects_Database!$R482,"Link 1"),"")</f>
        <v>Link 1</v>
      </c>
      <c r="Z482" s="42" t="str">
        <f>IF(CCUS_Projects_Database!$S482&lt;&gt;"",HYPERLINK(CCUS_Projects_Database!$S482,"Link 2"),"")</f>
        <v/>
      </c>
      <c r="AA482" s="42" t="str">
        <f>IF(CCUS_Projects_Database!$T482&lt;&gt;"",HYPERLINK(CCUS_Projects_Database!$T482,"Link 3"),"")</f>
        <v/>
      </c>
      <c r="AB482" s="42" t="str">
        <f>IF(CCUS_Projects_Database!$U482&lt;&gt;"",HYPERLINK(CCUS_Projects_Database!$U482,"Link 4"),"")</f>
        <v/>
      </c>
      <c r="AC482" s="42" t="str">
        <f>IF(CCUS_Projects_Database!$V482&lt;&gt;"",HYPERLINK(CCUS_Projects_Database!$V482,"Link 5"),"")</f>
        <v/>
      </c>
      <c r="AD482" s="42" t="str">
        <f>IF(CCUS_Projects_Database!$W482&lt;&gt;"",HYPERLINK(CCUS_Projects_Database!$W482,"Link 6"),"")</f>
        <v/>
      </c>
      <c r="AE482" s="43" t="str">
        <f>IF(CCUS_Projects_Database!$X482&lt;&gt;"",HYPERLINK(CCUS_Projects_Database!$X482,"Link 7"),"")</f>
        <v/>
      </c>
    </row>
    <row r="483" ht="15.75" customHeight="1">
      <c r="A483" s="44" t="s">
        <v>1871</v>
      </c>
      <c r="B483" s="45">
        <v>1122.0</v>
      </c>
      <c r="C483" s="45" t="s">
        <v>239</v>
      </c>
      <c r="D483" s="46" t="s">
        <v>1872</v>
      </c>
      <c r="E483" s="45" t="s">
        <v>12</v>
      </c>
      <c r="F483" s="45">
        <v>2023.0</v>
      </c>
      <c r="G483" s="45">
        <v>2024.0</v>
      </c>
      <c r="H483" s="45">
        <v>2024.0</v>
      </c>
      <c r="I483" s="45" t="s">
        <v>124</v>
      </c>
      <c r="J483" s="45" t="s">
        <v>28</v>
      </c>
      <c r="K483" s="47" t="s">
        <v>124</v>
      </c>
      <c r="L483" s="52">
        <v>2.5</v>
      </c>
      <c r="M483" s="47">
        <v>3.0</v>
      </c>
      <c r="N483" s="45" t="s">
        <v>12</v>
      </c>
      <c r="O483" s="48" t="s">
        <v>71</v>
      </c>
      <c r="P483" s="49" t="s">
        <v>1873</v>
      </c>
      <c r="Q483" s="45" t="s">
        <v>143</v>
      </c>
      <c r="R483" s="49" t="s">
        <v>1874</v>
      </c>
      <c r="S483" s="49" t="s">
        <v>124</v>
      </c>
      <c r="T483" s="49" t="s">
        <v>124</v>
      </c>
      <c r="U483" s="49" t="s">
        <v>124</v>
      </c>
      <c r="V483" s="49" t="s">
        <v>124</v>
      </c>
      <c r="W483" s="49" t="s">
        <v>124</v>
      </c>
      <c r="X483" s="49" t="s">
        <v>124</v>
      </c>
      <c r="Y483" s="50" t="str">
        <f>IF(CCUS_Projects_Database!$R483&lt;&gt;"",HYPERLINK(CCUS_Projects_Database!$R483,"Link 1"),"")</f>
        <v>Link 1</v>
      </c>
      <c r="Z483" s="50" t="str">
        <f>IF(CCUS_Projects_Database!$S483&lt;&gt;"",HYPERLINK(CCUS_Projects_Database!$S483,"Link 2"),"")</f>
        <v/>
      </c>
      <c r="AA483" s="50" t="str">
        <f>IF(CCUS_Projects_Database!$T483&lt;&gt;"",HYPERLINK(CCUS_Projects_Database!$T483,"Link 3"),"")</f>
        <v/>
      </c>
      <c r="AB483" s="50" t="str">
        <f>IF(CCUS_Projects_Database!$U483&lt;&gt;"",HYPERLINK(CCUS_Projects_Database!$U483,"Link 4"),"")</f>
        <v/>
      </c>
      <c r="AC483" s="50" t="str">
        <f>IF(CCUS_Projects_Database!$V483&lt;&gt;"",HYPERLINK(CCUS_Projects_Database!$V483,"Link 5"),"")</f>
        <v/>
      </c>
      <c r="AD483" s="50" t="str">
        <f>IF(CCUS_Projects_Database!$W483&lt;&gt;"",HYPERLINK(CCUS_Projects_Database!$W483,"Link 6"),"")</f>
        <v/>
      </c>
      <c r="AE483" s="50" t="str">
        <f>IF(CCUS_Projects_Database!$X483&lt;&gt;"",HYPERLINK(CCUS_Projects_Database!$X483,"Link 7"),"")</f>
        <v/>
      </c>
    </row>
    <row r="484" ht="15.75" customHeight="1">
      <c r="A484" s="37" t="s">
        <v>1875</v>
      </c>
      <c r="B484" s="38">
        <v>866.0</v>
      </c>
      <c r="C484" s="38" t="s">
        <v>141</v>
      </c>
      <c r="D484" s="39" t="s">
        <v>348</v>
      </c>
      <c r="E484" s="38" t="s">
        <v>12</v>
      </c>
      <c r="F484" s="38">
        <v>2022.0</v>
      </c>
      <c r="G484" s="38" t="s">
        <v>124</v>
      </c>
      <c r="H484" s="38">
        <v>2025.0</v>
      </c>
      <c r="I484" s="38" t="s">
        <v>124</v>
      </c>
      <c r="J484" s="38" t="s">
        <v>28</v>
      </c>
      <c r="K484" s="40" t="s">
        <v>124</v>
      </c>
      <c r="L484" s="51">
        <v>7.5</v>
      </c>
      <c r="M484" s="40">
        <v>10.0</v>
      </c>
      <c r="N484" s="38" t="s">
        <v>12</v>
      </c>
      <c r="O484" s="41" t="s">
        <v>71</v>
      </c>
      <c r="P484" s="42" t="s">
        <v>1876</v>
      </c>
      <c r="Q484" s="38" t="s">
        <v>143</v>
      </c>
      <c r="R484" s="42" t="s">
        <v>1877</v>
      </c>
      <c r="S484" s="42" t="s">
        <v>349</v>
      </c>
      <c r="T484" s="42" t="s">
        <v>1878</v>
      </c>
      <c r="U484" s="42" t="s">
        <v>124</v>
      </c>
      <c r="V484" s="42" t="s">
        <v>124</v>
      </c>
      <c r="W484" s="42" t="s">
        <v>124</v>
      </c>
      <c r="X484" s="42" t="s">
        <v>124</v>
      </c>
      <c r="Y484" s="43" t="str">
        <f>IF(CCUS_Projects_Database!$R484&lt;&gt;"",HYPERLINK(CCUS_Projects_Database!$R484,"Link 1"),"")</f>
        <v>Link 1</v>
      </c>
      <c r="Z484" s="43" t="str">
        <f>IF(CCUS_Projects_Database!$S484&lt;&gt;"",HYPERLINK(CCUS_Projects_Database!$S484,"Link 2"),"")</f>
        <v>Link 2</v>
      </c>
      <c r="AA484" s="43" t="str">
        <f>IF(CCUS_Projects_Database!$T484&lt;&gt;"",HYPERLINK(CCUS_Projects_Database!$T484,"Link 3"),"")</f>
        <v>Link 3</v>
      </c>
      <c r="AB484" s="43" t="str">
        <f>IF(CCUS_Projects_Database!$U484&lt;&gt;"",HYPERLINK(CCUS_Projects_Database!$U484,"Link 4"),"")</f>
        <v/>
      </c>
      <c r="AC484" s="43" t="str">
        <f>IF(CCUS_Projects_Database!$V484&lt;&gt;"",HYPERLINK(CCUS_Projects_Database!$V484,"Link 5"),"")</f>
        <v/>
      </c>
      <c r="AD484" s="43" t="str">
        <f>IF(CCUS_Projects_Database!$W484&lt;&gt;"",HYPERLINK(CCUS_Projects_Database!$W484,"Link 6"),"")</f>
        <v/>
      </c>
      <c r="AE484" s="43" t="str">
        <f>IF(CCUS_Projects_Database!$X484&lt;&gt;"",HYPERLINK(CCUS_Projects_Database!$X484,"Link 7"),"")</f>
        <v/>
      </c>
    </row>
    <row r="485" ht="15.75" customHeight="1">
      <c r="A485" s="44" t="s">
        <v>1879</v>
      </c>
      <c r="B485" s="45">
        <v>551.0</v>
      </c>
      <c r="C485" s="45" t="s">
        <v>141</v>
      </c>
      <c r="D485" s="46" t="s">
        <v>1880</v>
      </c>
      <c r="E485" s="45" t="s">
        <v>8</v>
      </c>
      <c r="F485" s="45">
        <v>2022.0</v>
      </c>
      <c r="G485" s="45" t="s">
        <v>124</v>
      </c>
      <c r="H485" s="45" t="s">
        <v>124</v>
      </c>
      <c r="I485" s="45" t="s">
        <v>124</v>
      </c>
      <c r="J485" s="45" t="s">
        <v>28</v>
      </c>
      <c r="K485" s="47">
        <v>1.0</v>
      </c>
      <c r="L485" s="52">
        <v>1.7</v>
      </c>
      <c r="M485" s="47">
        <v>1.7</v>
      </c>
      <c r="N485" s="45" t="s">
        <v>46</v>
      </c>
      <c r="O485" s="48" t="s">
        <v>77</v>
      </c>
      <c r="P485" s="49" t="s">
        <v>124</v>
      </c>
      <c r="Q485" s="45" t="s">
        <v>143</v>
      </c>
      <c r="R485" s="49" t="s">
        <v>740</v>
      </c>
      <c r="S485" s="49" t="s">
        <v>1881</v>
      </c>
      <c r="T485" s="49" t="s">
        <v>124</v>
      </c>
      <c r="U485" s="49" t="s">
        <v>124</v>
      </c>
      <c r="V485" s="49" t="s">
        <v>124</v>
      </c>
      <c r="W485" s="49" t="s">
        <v>124</v>
      </c>
      <c r="X485" s="49" t="s">
        <v>124</v>
      </c>
      <c r="Y485" s="50" t="str">
        <f>IF(CCUS_Projects_Database!$R485&lt;&gt;"",HYPERLINK(CCUS_Projects_Database!$R485,"Link 1"),"")</f>
        <v>Link 1</v>
      </c>
      <c r="Z485" s="50" t="str">
        <f>IF(CCUS_Projects_Database!$S485&lt;&gt;"",HYPERLINK(CCUS_Projects_Database!$S485,"Link 2"),"")</f>
        <v>Link 2</v>
      </c>
      <c r="AA485" s="50" t="str">
        <f>IF(CCUS_Projects_Database!$T485&lt;&gt;"",HYPERLINK(CCUS_Projects_Database!$T485,"Link 3"),"")</f>
        <v/>
      </c>
      <c r="AB485" s="50" t="str">
        <f>IF(CCUS_Projects_Database!$U485&lt;&gt;"",HYPERLINK(CCUS_Projects_Database!$U485,"Link 4"),"")</f>
        <v/>
      </c>
      <c r="AC485" s="50" t="str">
        <f>IF(CCUS_Projects_Database!$V485&lt;&gt;"",HYPERLINK(CCUS_Projects_Database!$V485,"Link 5"),"")</f>
        <v/>
      </c>
      <c r="AD485" s="50" t="str">
        <f>IF(CCUS_Projects_Database!$W485&lt;&gt;"",HYPERLINK(CCUS_Projects_Database!$W485,"Link 6"),"")</f>
        <v/>
      </c>
      <c r="AE485" s="50" t="str">
        <f>IF(CCUS_Projects_Database!$X485&lt;&gt;"",HYPERLINK(CCUS_Projects_Database!$X485,"Link 7"),"")</f>
        <v/>
      </c>
    </row>
    <row r="486" ht="15.75" customHeight="1">
      <c r="A486" s="37" t="s">
        <v>1882</v>
      </c>
      <c r="B486" s="38">
        <v>839.0</v>
      </c>
      <c r="C486" s="38" t="s">
        <v>141</v>
      </c>
      <c r="D486" s="39" t="s">
        <v>1883</v>
      </c>
      <c r="E486" s="38" t="s">
        <v>12</v>
      </c>
      <c r="F486" s="38">
        <v>2023.0</v>
      </c>
      <c r="G486" s="38" t="s">
        <v>124</v>
      </c>
      <c r="H486" s="38">
        <v>2027.0</v>
      </c>
      <c r="I486" s="38" t="s">
        <v>124</v>
      </c>
      <c r="J486" s="38" t="s">
        <v>28</v>
      </c>
      <c r="K486" s="40" t="s">
        <v>124</v>
      </c>
      <c r="L486" s="51">
        <v>7.5</v>
      </c>
      <c r="M486" s="40">
        <v>10.0</v>
      </c>
      <c r="N486" s="38" t="s">
        <v>12</v>
      </c>
      <c r="O486" s="41" t="s">
        <v>77</v>
      </c>
      <c r="P486" s="42" t="s">
        <v>124</v>
      </c>
      <c r="Q486" s="38" t="s">
        <v>143</v>
      </c>
      <c r="R486" s="42" t="s">
        <v>1884</v>
      </c>
      <c r="S486" s="42" t="s">
        <v>124</v>
      </c>
      <c r="T486" s="42" t="s">
        <v>124</v>
      </c>
      <c r="U486" s="42" t="s">
        <v>124</v>
      </c>
      <c r="V486" s="42" t="s">
        <v>124</v>
      </c>
      <c r="W486" s="42" t="s">
        <v>124</v>
      </c>
      <c r="X486" s="42" t="s">
        <v>124</v>
      </c>
      <c r="Y486" s="43" t="str">
        <f>IF(CCUS_Projects_Database!$R486&lt;&gt;"",HYPERLINK(CCUS_Projects_Database!$R486,"Link 1"),"")</f>
        <v>Link 1</v>
      </c>
      <c r="Z486" s="43" t="str">
        <f>IF(CCUS_Projects_Database!$S486&lt;&gt;"",HYPERLINK(CCUS_Projects_Database!$S486,"Link 2"),"")</f>
        <v/>
      </c>
      <c r="AA486" s="43" t="str">
        <f>IF(CCUS_Projects_Database!$T486&lt;&gt;"",HYPERLINK(CCUS_Projects_Database!$T486,"Link 3"),"")</f>
        <v/>
      </c>
      <c r="AB486" s="43" t="str">
        <f>IF(CCUS_Projects_Database!$U486&lt;&gt;"",HYPERLINK(CCUS_Projects_Database!$U486,"Link 4"),"")</f>
        <v/>
      </c>
      <c r="AC486" s="43" t="str">
        <f>IF(CCUS_Projects_Database!$V486&lt;&gt;"",HYPERLINK(CCUS_Projects_Database!$V486,"Link 5"),"")</f>
        <v/>
      </c>
      <c r="AD486" s="43" t="str">
        <f>IF(CCUS_Projects_Database!$W486&lt;&gt;"",HYPERLINK(CCUS_Projects_Database!$W486,"Link 6"),"")</f>
        <v/>
      </c>
      <c r="AE486" s="43" t="str">
        <f>IF(CCUS_Projects_Database!$X486&lt;&gt;"",HYPERLINK(CCUS_Projects_Database!$X486,"Link 7"),"")</f>
        <v/>
      </c>
    </row>
    <row r="487" ht="15.75" customHeight="1">
      <c r="A487" s="44" t="s">
        <v>1885</v>
      </c>
      <c r="B487" s="45">
        <v>1104.0</v>
      </c>
      <c r="C487" s="45" t="s">
        <v>157</v>
      </c>
      <c r="D487" s="46" t="s">
        <v>1886</v>
      </c>
      <c r="E487" s="45" t="s">
        <v>8</v>
      </c>
      <c r="F487" s="45">
        <v>2021.0</v>
      </c>
      <c r="G487" s="45" t="s">
        <v>124</v>
      </c>
      <c r="H487" s="45">
        <v>2028.0</v>
      </c>
      <c r="I487" s="45" t="s">
        <v>124</v>
      </c>
      <c r="J487" s="45" t="s">
        <v>28</v>
      </c>
      <c r="K487" s="47" t="s">
        <v>124</v>
      </c>
      <c r="L487" s="47"/>
      <c r="M487" s="47" t="s">
        <v>124</v>
      </c>
      <c r="N487" s="45" t="s">
        <v>50</v>
      </c>
      <c r="O487" s="48" t="s">
        <v>71</v>
      </c>
      <c r="P487" s="49" t="s">
        <v>281</v>
      </c>
      <c r="Q487" s="45" t="s">
        <v>125</v>
      </c>
      <c r="R487" s="49" t="s">
        <v>1887</v>
      </c>
      <c r="S487" s="49" t="s">
        <v>124</v>
      </c>
      <c r="T487" s="49" t="s">
        <v>124</v>
      </c>
      <c r="U487" s="49" t="s">
        <v>124</v>
      </c>
      <c r="V487" s="49" t="s">
        <v>124</v>
      </c>
      <c r="W487" s="49" t="s">
        <v>124</v>
      </c>
      <c r="X487" s="49" t="s">
        <v>124</v>
      </c>
      <c r="Y487" s="50" t="str">
        <f>IF(CCUS_Projects_Database!$R487&lt;&gt;"",HYPERLINK(CCUS_Projects_Database!$R487,"Link 1"),"")</f>
        <v>Link 1</v>
      </c>
      <c r="Z487" s="50" t="str">
        <f>IF(CCUS_Projects_Database!$S487&lt;&gt;"",HYPERLINK(CCUS_Projects_Database!$S487,"Link 2"),"")</f>
        <v/>
      </c>
      <c r="AA487" s="50" t="str">
        <f>IF(CCUS_Projects_Database!$T487&lt;&gt;"",HYPERLINK(CCUS_Projects_Database!$T487,"Link 3"),"")</f>
        <v/>
      </c>
      <c r="AB487" s="50" t="str">
        <f>IF(CCUS_Projects_Database!$U487&lt;&gt;"",HYPERLINK(CCUS_Projects_Database!$U487,"Link 4"),"")</f>
        <v/>
      </c>
      <c r="AC487" s="50" t="str">
        <f>IF(CCUS_Projects_Database!$V487&lt;&gt;"",HYPERLINK(CCUS_Projects_Database!$V487,"Link 5"),"")</f>
        <v/>
      </c>
      <c r="AD487" s="50" t="str">
        <f>IF(CCUS_Projects_Database!$W487&lt;&gt;"",HYPERLINK(CCUS_Projects_Database!$W487,"Link 6"),"")</f>
        <v/>
      </c>
      <c r="AE487" s="50" t="str">
        <f>IF(CCUS_Projects_Database!$X487&lt;&gt;"",HYPERLINK(CCUS_Projects_Database!$X487,"Link 7"),"")</f>
        <v/>
      </c>
    </row>
    <row r="488" ht="15.75" customHeight="1">
      <c r="A488" s="37" t="s">
        <v>1888</v>
      </c>
      <c r="B488" s="38">
        <v>965.0</v>
      </c>
      <c r="C488" s="38" t="s">
        <v>1830</v>
      </c>
      <c r="D488" s="39" t="s">
        <v>1889</v>
      </c>
      <c r="E488" s="38" t="s">
        <v>8</v>
      </c>
      <c r="F488" s="38">
        <v>2023.0</v>
      </c>
      <c r="G488" s="38" t="s">
        <v>124</v>
      </c>
      <c r="H488" s="38" t="s">
        <v>124</v>
      </c>
      <c r="I488" s="38" t="s">
        <v>124</v>
      </c>
      <c r="J488" s="38" t="s">
        <v>28</v>
      </c>
      <c r="K488" s="40" t="s">
        <v>124</v>
      </c>
      <c r="L488" s="40"/>
      <c r="M488" s="40" t="s">
        <v>124</v>
      </c>
      <c r="N488" s="38" t="s">
        <v>46</v>
      </c>
      <c r="O488" s="41" t="s">
        <v>77</v>
      </c>
      <c r="P488" s="42" t="s">
        <v>124</v>
      </c>
      <c r="Q488" s="38" t="s">
        <v>125</v>
      </c>
      <c r="R488" s="42" t="s">
        <v>1890</v>
      </c>
      <c r="S488" s="42" t="s">
        <v>124</v>
      </c>
      <c r="T488" s="42" t="s">
        <v>124</v>
      </c>
      <c r="U488" s="42" t="s">
        <v>124</v>
      </c>
      <c r="V488" s="42" t="s">
        <v>124</v>
      </c>
      <c r="W488" s="42" t="s">
        <v>124</v>
      </c>
      <c r="X488" s="42" t="s">
        <v>124</v>
      </c>
      <c r="Y488" s="43" t="str">
        <f>IF(CCUS_Projects_Database!$R488&lt;&gt;"",HYPERLINK(CCUS_Projects_Database!$R488,"Link 1"),"")</f>
        <v>Link 1</v>
      </c>
      <c r="Z488" s="43" t="str">
        <f>IF(CCUS_Projects_Database!$S488&lt;&gt;"",HYPERLINK(CCUS_Projects_Database!$S488,"Link 2"),"")</f>
        <v/>
      </c>
      <c r="AA488" s="43" t="str">
        <f>IF(CCUS_Projects_Database!$T488&lt;&gt;"",HYPERLINK(CCUS_Projects_Database!$T488,"Link 3"),"")</f>
        <v/>
      </c>
      <c r="AB488" s="43" t="str">
        <f>IF(CCUS_Projects_Database!$U488&lt;&gt;"",HYPERLINK(CCUS_Projects_Database!$U488,"Link 4"),"")</f>
        <v/>
      </c>
      <c r="AC488" s="43" t="str">
        <f>IF(CCUS_Projects_Database!$V488&lt;&gt;"",HYPERLINK(CCUS_Projects_Database!$V488,"Link 5"),"")</f>
        <v/>
      </c>
      <c r="AD488" s="43" t="str">
        <f>IF(CCUS_Projects_Database!$W488&lt;&gt;"",HYPERLINK(CCUS_Projects_Database!$W488,"Link 6"),"")</f>
        <v/>
      </c>
      <c r="AE488" s="43" t="str">
        <f>IF(CCUS_Projects_Database!$X488&lt;&gt;"",HYPERLINK(CCUS_Projects_Database!$X488,"Link 7"),"")</f>
        <v/>
      </c>
    </row>
    <row r="489" ht="15.75" customHeight="1">
      <c r="A489" s="44" t="s">
        <v>1891</v>
      </c>
      <c r="B489" s="45">
        <v>260.0</v>
      </c>
      <c r="C489" s="45" t="s">
        <v>141</v>
      </c>
      <c r="D489" s="46" t="s">
        <v>1892</v>
      </c>
      <c r="E489" s="45" t="s">
        <v>8</v>
      </c>
      <c r="F489" s="45">
        <v>2021.0</v>
      </c>
      <c r="G489" s="45">
        <v>2024.0</v>
      </c>
      <c r="H489" s="45">
        <v>2024.0</v>
      </c>
      <c r="I489" s="45" t="s">
        <v>124</v>
      </c>
      <c r="J489" s="45" t="s">
        <v>28</v>
      </c>
      <c r="K489" s="47" t="s">
        <v>124</v>
      </c>
      <c r="L489" s="52">
        <v>0.24</v>
      </c>
      <c r="M489" s="47">
        <v>0.257</v>
      </c>
      <c r="N489" s="45" t="s">
        <v>50</v>
      </c>
      <c r="O489" s="48" t="s">
        <v>71</v>
      </c>
      <c r="P489" s="49" t="s">
        <v>567</v>
      </c>
      <c r="Q489" s="45" t="s">
        <v>143</v>
      </c>
      <c r="R489" s="49" t="s">
        <v>945</v>
      </c>
      <c r="S489" s="49" t="s">
        <v>946</v>
      </c>
      <c r="T489" s="49" t="s">
        <v>947</v>
      </c>
      <c r="U489" s="49" t="s">
        <v>124</v>
      </c>
      <c r="V489" s="49" t="s">
        <v>124</v>
      </c>
      <c r="W489" s="49" t="s">
        <v>124</v>
      </c>
      <c r="X489" s="49" t="s">
        <v>124</v>
      </c>
      <c r="Y489" s="50" t="str">
        <f>IF(CCUS_Projects_Database!$R489&lt;&gt;"",HYPERLINK(CCUS_Projects_Database!$R489,"Link 1"),"")</f>
        <v>Link 1</v>
      </c>
      <c r="Z489" s="50" t="str">
        <f>IF(CCUS_Projects_Database!$S489&lt;&gt;"",HYPERLINK(CCUS_Projects_Database!$S489,"Link 2"),"")</f>
        <v>Link 2</v>
      </c>
      <c r="AA489" s="50" t="str">
        <f>IF(CCUS_Projects_Database!$T489&lt;&gt;"",HYPERLINK(CCUS_Projects_Database!$T489,"Link 3"),"")</f>
        <v>Link 3</v>
      </c>
      <c r="AB489" s="50" t="str">
        <f>IF(CCUS_Projects_Database!$U489&lt;&gt;"",HYPERLINK(CCUS_Projects_Database!$U489,"Link 4"),"")</f>
        <v/>
      </c>
      <c r="AC489" s="50" t="str">
        <f>IF(CCUS_Projects_Database!$V489&lt;&gt;"",HYPERLINK(CCUS_Projects_Database!$V489,"Link 5"),"")</f>
        <v/>
      </c>
      <c r="AD489" s="50" t="str">
        <f>IF(CCUS_Projects_Database!$W489&lt;&gt;"",HYPERLINK(CCUS_Projects_Database!$W489,"Link 6"),"")</f>
        <v/>
      </c>
      <c r="AE489" s="50" t="str">
        <f>IF(CCUS_Projects_Database!$X489&lt;&gt;"",HYPERLINK(CCUS_Projects_Database!$X489,"Link 7"),"")</f>
        <v/>
      </c>
    </row>
    <row r="490" ht="15.75" customHeight="1">
      <c r="A490" s="37" t="s">
        <v>1893</v>
      </c>
      <c r="B490" s="38">
        <v>1043.0</v>
      </c>
      <c r="C490" s="38" t="s">
        <v>141</v>
      </c>
      <c r="D490" s="39" t="s">
        <v>1894</v>
      </c>
      <c r="E490" s="38" t="s">
        <v>16</v>
      </c>
      <c r="F490" s="38">
        <v>2022.0</v>
      </c>
      <c r="G490" s="38" t="s">
        <v>124</v>
      </c>
      <c r="H490" s="38">
        <v>2023.0</v>
      </c>
      <c r="I490" s="38" t="s">
        <v>124</v>
      </c>
      <c r="J490" s="38" t="s">
        <v>32</v>
      </c>
      <c r="K490" s="40" t="s">
        <v>124</v>
      </c>
      <c r="L490" s="51">
        <v>0.18</v>
      </c>
      <c r="M490" s="40">
        <v>0.18</v>
      </c>
      <c r="N490" s="38" t="s">
        <v>60</v>
      </c>
      <c r="O490" s="41" t="s">
        <v>75</v>
      </c>
      <c r="P490" s="42" t="s">
        <v>124</v>
      </c>
      <c r="Q490" s="38" t="s">
        <v>143</v>
      </c>
      <c r="R490" s="42" t="s">
        <v>1895</v>
      </c>
      <c r="S490" s="42" t="s">
        <v>1896</v>
      </c>
      <c r="T490" s="42" t="s">
        <v>124</v>
      </c>
      <c r="U490" s="42" t="s">
        <v>124</v>
      </c>
      <c r="V490" s="42" t="s">
        <v>124</v>
      </c>
      <c r="W490" s="42" t="s">
        <v>124</v>
      </c>
      <c r="X490" s="42" t="s">
        <v>124</v>
      </c>
      <c r="Y490" s="43" t="str">
        <f>IF(CCUS_Projects_Database!$R490&lt;&gt;"",HYPERLINK(CCUS_Projects_Database!$R490,"Link 1"),"")</f>
        <v>Link 1</v>
      </c>
      <c r="Z490" s="43" t="str">
        <f>IF(CCUS_Projects_Database!$S490&lt;&gt;"",HYPERLINK(CCUS_Projects_Database!$S490,"Link 2"),"")</f>
        <v>Link 2</v>
      </c>
      <c r="AA490" s="43" t="str">
        <f>IF(CCUS_Projects_Database!$T490&lt;&gt;"",HYPERLINK(CCUS_Projects_Database!$T490,"Link 3"),"")</f>
        <v/>
      </c>
      <c r="AB490" s="43" t="str">
        <f>IF(CCUS_Projects_Database!$U490&lt;&gt;"",HYPERLINK(CCUS_Projects_Database!$U490,"Link 4"),"")</f>
        <v/>
      </c>
      <c r="AC490" s="43" t="str">
        <f>IF(CCUS_Projects_Database!$V490&lt;&gt;"",HYPERLINK(CCUS_Projects_Database!$V490,"Link 5"),"")</f>
        <v/>
      </c>
      <c r="AD490" s="43" t="str">
        <f>IF(CCUS_Projects_Database!$W490&lt;&gt;"",HYPERLINK(CCUS_Projects_Database!$W490,"Link 6"),"")</f>
        <v/>
      </c>
      <c r="AE490" s="43" t="str">
        <f>IF(CCUS_Projects_Database!$X490&lt;&gt;"",HYPERLINK(CCUS_Projects_Database!$X490,"Link 7"),"")</f>
        <v/>
      </c>
    </row>
    <row r="491" ht="15.75" customHeight="1">
      <c r="A491" s="44" t="s">
        <v>1897</v>
      </c>
      <c r="B491" s="45">
        <v>414.0</v>
      </c>
      <c r="C491" s="45" t="s">
        <v>141</v>
      </c>
      <c r="D491" s="46" t="s">
        <v>1898</v>
      </c>
      <c r="E491" s="45" t="s">
        <v>8</v>
      </c>
      <c r="F491" s="45">
        <v>2022.0</v>
      </c>
      <c r="G491" s="45">
        <v>2023.0</v>
      </c>
      <c r="H491" s="45">
        <v>2025.0</v>
      </c>
      <c r="I491" s="45" t="s">
        <v>124</v>
      </c>
      <c r="J491" s="45" t="s">
        <v>30</v>
      </c>
      <c r="K491" s="47" t="s">
        <v>124</v>
      </c>
      <c r="L491" s="52">
        <v>1.7</v>
      </c>
      <c r="M491" s="47">
        <v>1.7</v>
      </c>
      <c r="N491" s="45" t="s">
        <v>136</v>
      </c>
      <c r="O491" s="48" t="s">
        <v>71</v>
      </c>
      <c r="P491" s="49" t="s">
        <v>1899</v>
      </c>
      <c r="Q491" s="45" t="s">
        <v>143</v>
      </c>
      <c r="R491" s="49" t="s">
        <v>1900</v>
      </c>
      <c r="S491" s="49" t="s">
        <v>1901</v>
      </c>
      <c r="T491" s="49" t="s">
        <v>1902</v>
      </c>
      <c r="U491" s="49" t="s">
        <v>1903</v>
      </c>
      <c r="V491" s="49" t="s">
        <v>1904</v>
      </c>
      <c r="W491" s="49" t="s">
        <v>124</v>
      </c>
      <c r="X491" s="49" t="s">
        <v>124</v>
      </c>
      <c r="Y491" s="50" t="str">
        <f>IF(CCUS_Projects_Database!$R491&lt;&gt;"",HYPERLINK(CCUS_Projects_Database!$R491,"Link 1"),"")</f>
        <v>Link 1</v>
      </c>
      <c r="Z491" s="50" t="str">
        <f>IF(CCUS_Projects_Database!$S491&lt;&gt;"",HYPERLINK(CCUS_Projects_Database!$S491,"Link 2"),"")</f>
        <v>Link 2</v>
      </c>
      <c r="AA491" s="50" t="str">
        <f>IF(CCUS_Projects_Database!$T491&lt;&gt;"",HYPERLINK(CCUS_Projects_Database!$T491,"Link 3"),"")</f>
        <v>Link 3</v>
      </c>
      <c r="AB491" s="50" t="str">
        <f>IF(CCUS_Projects_Database!$U491&lt;&gt;"",HYPERLINK(CCUS_Projects_Database!$U491,"Link 4"),"")</f>
        <v>Link 4</v>
      </c>
      <c r="AC491" s="50" t="str">
        <f>IF(CCUS_Projects_Database!$V491&lt;&gt;"",HYPERLINK(CCUS_Projects_Database!$V491,"Link 5"),"")</f>
        <v>Link 5</v>
      </c>
      <c r="AD491" s="50" t="str">
        <f>IF(CCUS_Projects_Database!$W491&lt;&gt;"",HYPERLINK(CCUS_Projects_Database!$W491,"Link 6"),"")</f>
        <v/>
      </c>
      <c r="AE491" s="50" t="str">
        <f>IF(CCUS_Projects_Database!$X491&lt;&gt;"",HYPERLINK(CCUS_Projects_Database!$X491,"Link 7"),"")</f>
        <v/>
      </c>
    </row>
    <row r="492" ht="15.75" customHeight="1">
      <c r="A492" s="37" t="s">
        <v>1905</v>
      </c>
      <c r="B492" s="38">
        <v>696.0</v>
      </c>
      <c r="C492" s="38" t="s">
        <v>141</v>
      </c>
      <c r="D492" s="39" t="s">
        <v>1906</v>
      </c>
      <c r="E492" s="38" t="s">
        <v>8</v>
      </c>
      <c r="F492" s="38">
        <v>2020.0</v>
      </c>
      <c r="G492" s="38" t="s">
        <v>124</v>
      </c>
      <c r="H492" s="38" t="s">
        <v>124</v>
      </c>
      <c r="I492" s="38" t="s">
        <v>124</v>
      </c>
      <c r="J492" s="38" t="s">
        <v>28</v>
      </c>
      <c r="K492" s="40" t="s">
        <v>124</v>
      </c>
      <c r="L492" s="51">
        <v>1.361</v>
      </c>
      <c r="M492" s="40">
        <v>1.361</v>
      </c>
      <c r="N492" s="38" t="s">
        <v>136</v>
      </c>
      <c r="O492" s="41" t="s">
        <v>77</v>
      </c>
      <c r="P492" s="42" t="s">
        <v>124</v>
      </c>
      <c r="Q492" s="38" t="s">
        <v>143</v>
      </c>
      <c r="R492" s="42" t="s">
        <v>563</v>
      </c>
      <c r="S492" s="42" t="s">
        <v>1907</v>
      </c>
      <c r="T492" s="42" t="s">
        <v>124</v>
      </c>
      <c r="U492" s="42" t="s">
        <v>124</v>
      </c>
      <c r="V492" s="42" t="s">
        <v>124</v>
      </c>
      <c r="W492" s="42" t="s">
        <v>124</v>
      </c>
      <c r="X492" s="42" t="s">
        <v>124</v>
      </c>
      <c r="Y492" s="43" t="str">
        <f>IF(CCUS_Projects_Database!$R492&lt;&gt;"",HYPERLINK(CCUS_Projects_Database!$R492,"Link 1"),"")</f>
        <v>Link 1</v>
      </c>
      <c r="Z492" s="43" t="str">
        <f>IF(CCUS_Projects_Database!$S492&lt;&gt;"",HYPERLINK(CCUS_Projects_Database!$S492,"Link 2"),"")</f>
        <v>Link 2</v>
      </c>
      <c r="AA492" s="43" t="str">
        <f>IF(CCUS_Projects_Database!$T492&lt;&gt;"",HYPERLINK(CCUS_Projects_Database!$T492,"Link 3"),"")</f>
        <v/>
      </c>
      <c r="AB492" s="43" t="str">
        <f>IF(CCUS_Projects_Database!$U492&lt;&gt;"",HYPERLINK(CCUS_Projects_Database!$U492,"Link 4"),"")</f>
        <v/>
      </c>
      <c r="AC492" s="43" t="str">
        <f>IF(CCUS_Projects_Database!$V492&lt;&gt;"",HYPERLINK(CCUS_Projects_Database!$V492,"Link 5"),"")</f>
        <v/>
      </c>
      <c r="AD492" s="43" t="str">
        <f>IF(CCUS_Projects_Database!$W492&lt;&gt;"",HYPERLINK(CCUS_Projects_Database!$W492,"Link 6"),"")</f>
        <v/>
      </c>
      <c r="AE492" s="43" t="str">
        <f>IF(CCUS_Projects_Database!$X492&lt;&gt;"",HYPERLINK(CCUS_Projects_Database!$X492,"Link 7"),"")</f>
        <v/>
      </c>
    </row>
    <row r="493" ht="15.75" customHeight="1">
      <c r="A493" s="44" t="s">
        <v>1908</v>
      </c>
      <c r="B493" s="45">
        <v>868.0</v>
      </c>
      <c r="C493" s="45" t="s">
        <v>141</v>
      </c>
      <c r="D493" s="46" t="s">
        <v>1909</v>
      </c>
      <c r="E493" s="45" t="s">
        <v>12</v>
      </c>
      <c r="F493" s="45">
        <v>2023.0</v>
      </c>
      <c r="G493" s="45" t="s">
        <v>124</v>
      </c>
      <c r="H493" s="45" t="s">
        <v>124</v>
      </c>
      <c r="I493" s="45" t="s">
        <v>124</v>
      </c>
      <c r="J493" s="45" t="s">
        <v>28</v>
      </c>
      <c r="K493" s="47" t="s">
        <v>124</v>
      </c>
      <c r="L493" s="47"/>
      <c r="M493" s="47" t="s">
        <v>124</v>
      </c>
      <c r="N493" s="45" t="s">
        <v>12</v>
      </c>
      <c r="O493" s="48" t="s">
        <v>77</v>
      </c>
      <c r="P493" s="49" t="s">
        <v>124</v>
      </c>
      <c r="Q493" s="45" t="s">
        <v>143</v>
      </c>
      <c r="R493" s="49" t="s">
        <v>194</v>
      </c>
      <c r="S493" s="49" t="s">
        <v>124</v>
      </c>
      <c r="T493" s="49" t="s">
        <v>124</v>
      </c>
      <c r="U493" s="49" t="s">
        <v>124</v>
      </c>
      <c r="V493" s="49" t="s">
        <v>124</v>
      </c>
      <c r="W493" s="49" t="s">
        <v>124</v>
      </c>
      <c r="X493" s="49" t="s">
        <v>124</v>
      </c>
      <c r="Y493" s="50" t="str">
        <f>IF(CCUS_Projects_Database!$R493&lt;&gt;"",HYPERLINK(CCUS_Projects_Database!$R493,"Link 1"),"")</f>
        <v>Link 1</v>
      </c>
      <c r="Z493" s="50" t="str">
        <f>IF(CCUS_Projects_Database!$S493&lt;&gt;"",HYPERLINK(CCUS_Projects_Database!$S493,"Link 2"),"")</f>
        <v/>
      </c>
      <c r="AA493" s="50" t="str">
        <f>IF(CCUS_Projects_Database!$T493&lt;&gt;"",HYPERLINK(CCUS_Projects_Database!$T493,"Link 3"),"")</f>
        <v/>
      </c>
      <c r="AB493" s="50" t="str">
        <f>IF(CCUS_Projects_Database!$U493&lt;&gt;"",HYPERLINK(CCUS_Projects_Database!$U493,"Link 4"),"")</f>
        <v/>
      </c>
      <c r="AC493" s="50" t="str">
        <f>IF(CCUS_Projects_Database!$V493&lt;&gt;"",HYPERLINK(CCUS_Projects_Database!$V493,"Link 5"),"")</f>
        <v/>
      </c>
      <c r="AD493" s="50" t="str">
        <f>IF(CCUS_Projects_Database!$W493&lt;&gt;"",HYPERLINK(CCUS_Projects_Database!$W493,"Link 6"),"")</f>
        <v/>
      </c>
      <c r="AE493" s="50" t="str">
        <f>IF(CCUS_Projects_Database!$X493&lt;&gt;"",HYPERLINK(CCUS_Projects_Database!$X493,"Link 7"),"")</f>
        <v/>
      </c>
    </row>
    <row r="494" ht="15.75" customHeight="1">
      <c r="A494" s="37" t="s">
        <v>1910</v>
      </c>
      <c r="B494" s="38">
        <v>263.0</v>
      </c>
      <c r="C494" s="38" t="s">
        <v>1911</v>
      </c>
      <c r="D494" s="39" t="s">
        <v>1912</v>
      </c>
      <c r="E494" s="38" t="s">
        <v>16</v>
      </c>
      <c r="F494" s="38">
        <v>2022.0</v>
      </c>
      <c r="G494" s="38" t="s">
        <v>124</v>
      </c>
      <c r="H494" s="38" t="s">
        <v>124</v>
      </c>
      <c r="I494" s="38" t="s">
        <v>124</v>
      </c>
      <c r="J494" s="38" t="s">
        <v>28</v>
      </c>
      <c r="K494" s="40" t="s">
        <v>124</v>
      </c>
      <c r="L494" s="51">
        <v>0.1</v>
      </c>
      <c r="M494" s="40">
        <v>0.1</v>
      </c>
      <c r="N494" s="38" t="s">
        <v>46</v>
      </c>
      <c r="O494" s="41" t="s">
        <v>75</v>
      </c>
      <c r="P494" s="42" t="s">
        <v>124</v>
      </c>
      <c r="Q494" s="38" t="s">
        <v>125</v>
      </c>
      <c r="R494" s="42" t="s">
        <v>1913</v>
      </c>
      <c r="S494" s="42" t="s">
        <v>124</v>
      </c>
      <c r="T494" s="42" t="s">
        <v>124</v>
      </c>
      <c r="U494" s="42" t="s">
        <v>124</v>
      </c>
      <c r="V494" s="42" t="s">
        <v>124</v>
      </c>
      <c r="W494" s="42" t="s">
        <v>124</v>
      </c>
      <c r="X494" s="42" t="s">
        <v>124</v>
      </c>
      <c r="Y494" s="43" t="str">
        <f>IF(CCUS_Projects_Database!$R494&lt;&gt;"",HYPERLINK(CCUS_Projects_Database!$R494,"Link 1"),"")</f>
        <v>Link 1</v>
      </c>
      <c r="Z494" s="43" t="str">
        <f>IF(CCUS_Projects_Database!$S494&lt;&gt;"",HYPERLINK(CCUS_Projects_Database!$S494,"Link 2"),"")</f>
        <v/>
      </c>
      <c r="AA494" s="43" t="str">
        <f>IF(CCUS_Projects_Database!$T494&lt;&gt;"",HYPERLINK(CCUS_Projects_Database!$T494,"Link 3"),"")</f>
        <v/>
      </c>
      <c r="AB494" s="43" t="str">
        <f>IF(CCUS_Projects_Database!$U494&lt;&gt;"",HYPERLINK(CCUS_Projects_Database!$U494,"Link 4"),"")</f>
        <v/>
      </c>
      <c r="AC494" s="43" t="str">
        <f>IF(CCUS_Projects_Database!$V494&lt;&gt;"",HYPERLINK(CCUS_Projects_Database!$V494,"Link 5"),"")</f>
        <v/>
      </c>
      <c r="AD494" s="43" t="str">
        <f>IF(CCUS_Projects_Database!$W494&lt;&gt;"",HYPERLINK(CCUS_Projects_Database!$W494,"Link 6"),"")</f>
        <v/>
      </c>
      <c r="AE494" s="43" t="str">
        <f>IF(CCUS_Projects_Database!$X494&lt;&gt;"",HYPERLINK(CCUS_Projects_Database!$X494,"Link 7"),"")</f>
        <v/>
      </c>
    </row>
    <row r="495" ht="15.75" customHeight="1">
      <c r="A495" s="44" t="s">
        <v>1914</v>
      </c>
      <c r="B495" s="45">
        <v>264.0</v>
      </c>
      <c r="C495" s="45" t="s">
        <v>141</v>
      </c>
      <c r="D495" s="46" t="s">
        <v>1915</v>
      </c>
      <c r="E495" s="45" t="s">
        <v>8</v>
      </c>
      <c r="F495" s="45">
        <v>2021.0</v>
      </c>
      <c r="G495" s="45">
        <v>2024.0</v>
      </c>
      <c r="H495" s="45">
        <v>2025.0</v>
      </c>
      <c r="I495" s="45" t="s">
        <v>124</v>
      </c>
      <c r="J495" s="45" t="s">
        <v>28</v>
      </c>
      <c r="K495" s="47" t="s">
        <v>124</v>
      </c>
      <c r="L495" s="52">
        <v>0.425</v>
      </c>
      <c r="M495" s="47">
        <v>0.458</v>
      </c>
      <c r="N495" s="45" t="s">
        <v>50</v>
      </c>
      <c r="O495" s="48" t="s">
        <v>71</v>
      </c>
      <c r="P495" s="49" t="s">
        <v>567</v>
      </c>
      <c r="Q495" s="45" t="s">
        <v>143</v>
      </c>
      <c r="R495" s="49" t="s">
        <v>945</v>
      </c>
      <c r="S495" s="49" t="s">
        <v>946</v>
      </c>
      <c r="T495" s="49" t="s">
        <v>947</v>
      </c>
      <c r="U495" s="49" t="s">
        <v>124</v>
      </c>
      <c r="V495" s="49" t="s">
        <v>124</v>
      </c>
      <c r="W495" s="49" t="s">
        <v>124</v>
      </c>
      <c r="X495" s="49" t="s">
        <v>124</v>
      </c>
      <c r="Y495" s="50" t="str">
        <f>IF(CCUS_Projects_Database!$R495&lt;&gt;"",HYPERLINK(CCUS_Projects_Database!$R495,"Link 1"),"")</f>
        <v>Link 1</v>
      </c>
      <c r="Z495" s="50" t="str">
        <f>IF(CCUS_Projects_Database!$S495&lt;&gt;"",HYPERLINK(CCUS_Projects_Database!$S495,"Link 2"),"")</f>
        <v>Link 2</v>
      </c>
      <c r="AA495" s="50" t="str">
        <f>IF(CCUS_Projects_Database!$T495&lt;&gt;"",HYPERLINK(CCUS_Projects_Database!$T495,"Link 3"),"")</f>
        <v>Link 3</v>
      </c>
      <c r="AB495" s="50" t="str">
        <f>IF(CCUS_Projects_Database!$U495&lt;&gt;"",HYPERLINK(CCUS_Projects_Database!$U495,"Link 4"),"")</f>
        <v/>
      </c>
      <c r="AC495" s="50" t="str">
        <f>IF(CCUS_Projects_Database!$V495&lt;&gt;"",HYPERLINK(CCUS_Projects_Database!$V495,"Link 5"),"")</f>
        <v/>
      </c>
      <c r="AD495" s="50" t="str">
        <f>IF(CCUS_Projects_Database!$W495&lt;&gt;"",HYPERLINK(CCUS_Projects_Database!$W495,"Link 6"),"")</f>
        <v/>
      </c>
      <c r="AE495" s="50" t="str">
        <f>IF(CCUS_Projects_Database!$X495&lt;&gt;"",HYPERLINK(CCUS_Projects_Database!$X495,"Link 7"),"")</f>
        <v/>
      </c>
    </row>
    <row r="496" ht="15.75" customHeight="1">
      <c r="A496" s="37" t="s">
        <v>1916</v>
      </c>
      <c r="B496" s="38">
        <v>1123.0</v>
      </c>
      <c r="C496" s="38" t="s">
        <v>239</v>
      </c>
      <c r="D496" s="39" t="s">
        <v>1150</v>
      </c>
      <c r="E496" s="38" t="s">
        <v>8</v>
      </c>
      <c r="F496" s="38">
        <v>2023.0</v>
      </c>
      <c r="G496" s="38" t="s">
        <v>124</v>
      </c>
      <c r="H496" s="38" t="s">
        <v>124</v>
      </c>
      <c r="I496" s="38" t="s">
        <v>124</v>
      </c>
      <c r="J496" s="38" t="s">
        <v>28</v>
      </c>
      <c r="K496" s="40" t="s">
        <v>124</v>
      </c>
      <c r="L496" s="40"/>
      <c r="M496" s="40" t="s">
        <v>124</v>
      </c>
      <c r="N496" s="38" t="s">
        <v>54</v>
      </c>
      <c r="O496" s="41" t="s">
        <v>77</v>
      </c>
      <c r="P496" s="42" t="s">
        <v>124</v>
      </c>
      <c r="Q496" s="38" t="s">
        <v>143</v>
      </c>
      <c r="R496" s="42" t="s">
        <v>1151</v>
      </c>
      <c r="S496" s="42" t="s">
        <v>1152</v>
      </c>
      <c r="T496" s="42" t="s">
        <v>124</v>
      </c>
      <c r="U496" s="42" t="s">
        <v>124</v>
      </c>
      <c r="V496" s="42" t="s">
        <v>124</v>
      </c>
      <c r="W496" s="42" t="s">
        <v>124</v>
      </c>
      <c r="X496" s="42" t="s">
        <v>124</v>
      </c>
      <c r="Y496" s="43" t="str">
        <f>IF(CCUS_Projects_Database!$R496&lt;&gt;"",HYPERLINK(CCUS_Projects_Database!$R496,"Link 1"),"")</f>
        <v>Link 1</v>
      </c>
      <c r="Z496" s="43" t="str">
        <f>IF(CCUS_Projects_Database!$S496&lt;&gt;"",HYPERLINK(CCUS_Projects_Database!$S496,"Link 2"),"")</f>
        <v>Link 2</v>
      </c>
      <c r="AA496" s="43" t="str">
        <f>IF(CCUS_Projects_Database!$T496&lt;&gt;"",HYPERLINK(CCUS_Projects_Database!$T496,"Link 3"),"")</f>
        <v/>
      </c>
      <c r="AB496" s="43" t="str">
        <f>IF(CCUS_Projects_Database!$U496&lt;&gt;"",HYPERLINK(CCUS_Projects_Database!$U496,"Link 4"),"")</f>
        <v/>
      </c>
      <c r="AC496" s="43" t="str">
        <f>IF(CCUS_Projects_Database!$V496&lt;&gt;"",HYPERLINK(CCUS_Projects_Database!$V496,"Link 5"),"")</f>
        <v/>
      </c>
      <c r="AD496" s="43" t="str">
        <f>IF(CCUS_Projects_Database!$W496&lt;&gt;"",HYPERLINK(CCUS_Projects_Database!$W496,"Link 6"),"")</f>
        <v/>
      </c>
      <c r="AE496" s="43" t="str">
        <f>IF(CCUS_Projects_Database!$X496&lt;&gt;"",HYPERLINK(CCUS_Projects_Database!$X496,"Link 7"),"")</f>
        <v/>
      </c>
    </row>
    <row r="497" ht="15.75" customHeight="1">
      <c r="A497" s="44" t="s">
        <v>1917</v>
      </c>
      <c r="B497" s="45">
        <v>262.0</v>
      </c>
      <c r="C497" s="45" t="s">
        <v>141</v>
      </c>
      <c r="D497" s="46" t="s">
        <v>1918</v>
      </c>
      <c r="E497" s="45" t="s">
        <v>14</v>
      </c>
      <c r="F497" s="45">
        <v>2022.0</v>
      </c>
      <c r="G497" s="45" t="s">
        <v>124</v>
      </c>
      <c r="H497" s="45">
        <v>2026.0</v>
      </c>
      <c r="I497" s="45" t="s">
        <v>124</v>
      </c>
      <c r="J497" s="45" t="s">
        <v>28</v>
      </c>
      <c r="K497" s="47" t="s">
        <v>124</v>
      </c>
      <c r="L497" s="52">
        <v>15.0</v>
      </c>
      <c r="M497" s="47">
        <v>15.0</v>
      </c>
      <c r="N497" s="45" t="s">
        <v>14</v>
      </c>
      <c r="O497" s="48" t="s">
        <v>71</v>
      </c>
      <c r="P497" s="49" t="s">
        <v>1917</v>
      </c>
      <c r="Q497" s="45" t="s">
        <v>143</v>
      </c>
      <c r="R497" s="49" t="s">
        <v>1919</v>
      </c>
      <c r="S497" s="49" t="s">
        <v>124</v>
      </c>
      <c r="T497" s="49" t="s">
        <v>124</v>
      </c>
      <c r="U497" s="49" t="s">
        <v>124</v>
      </c>
      <c r="V497" s="49" t="s">
        <v>124</v>
      </c>
      <c r="W497" s="49" t="s">
        <v>124</v>
      </c>
      <c r="X497" s="49" t="s">
        <v>124</v>
      </c>
      <c r="Y497" s="50" t="str">
        <f>IF(CCUS_Projects_Database!$R497&lt;&gt;"",HYPERLINK(CCUS_Projects_Database!$R497,"Link 1"),"")</f>
        <v>Link 1</v>
      </c>
      <c r="Z497" s="50" t="str">
        <f>IF(CCUS_Projects_Database!$S497&lt;&gt;"",HYPERLINK(CCUS_Projects_Database!$S497,"Link 2"),"")</f>
        <v/>
      </c>
      <c r="AA497" s="50" t="str">
        <f>IF(CCUS_Projects_Database!$T497&lt;&gt;"",HYPERLINK(CCUS_Projects_Database!$T497,"Link 3"),"")</f>
        <v/>
      </c>
      <c r="AB497" s="50" t="str">
        <f>IF(CCUS_Projects_Database!$U497&lt;&gt;"",HYPERLINK(CCUS_Projects_Database!$U497,"Link 4"),"")</f>
        <v/>
      </c>
      <c r="AC497" s="50" t="str">
        <f>IF(CCUS_Projects_Database!$V497&lt;&gt;"",HYPERLINK(CCUS_Projects_Database!$V497,"Link 5"),"")</f>
        <v/>
      </c>
      <c r="AD497" s="50" t="str">
        <f>IF(CCUS_Projects_Database!$W497&lt;&gt;"",HYPERLINK(CCUS_Projects_Database!$W497,"Link 6"),"")</f>
        <v/>
      </c>
      <c r="AE497" s="50" t="str">
        <f>IF(CCUS_Projects_Database!$X497&lt;&gt;"",HYPERLINK(CCUS_Projects_Database!$X497,"Link 7"),"")</f>
        <v/>
      </c>
    </row>
    <row r="498" ht="15.75" customHeight="1">
      <c r="A498" s="37" t="s">
        <v>1920</v>
      </c>
      <c r="B498" s="38">
        <v>571.0</v>
      </c>
      <c r="C498" s="38" t="s">
        <v>181</v>
      </c>
      <c r="D498" s="39" t="s">
        <v>1251</v>
      </c>
      <c r="E498" s="38" t="s">
        <v>8</v>
      </c>
      <c r="F498" s="38">
        <v>2022.0</v>
      </c>
      <c r="G498" s="38" t="s">
        <v>124</v>
      </c>
      <c r="H498" s="38">
        <v>2025.0</v>
      </c>
      <c r="I498" s="38" t="s">
        <v>124</v>
      </c>
      <c r="J498" s="38" t="s">
        <v>28</v>
      </c>
      <c r="K498" s="40" t="s">
        <v>124</v>
      </c>
      <c r="L498" s="51">
        <v>2.0</v>
      </c>
      <c r="M498" s="40">
        <v>2.0</v>
      </c>
      <c r="N498" s="38" t="s">
        <v>48</v>
      </c>
      <c r="O498" s="41" t="s">
        <v>71</v>
      </c>
      <c r="P498" s="42" t="s">
        <v>1921</v>
      </c>
      <c r="Q498" s="38" t="s">
        <v>184</v>
      </c>
      <c r="R498" s="42" t="s">
        <v>124</v>
      </c>
      <c r="S498" s="42" t="s">
        <v>124</v>
      </c>
      <c r="T498" s="42" t="s">
        <v>124</v>
      </c>
      <c r="U498" s="42" t="s">
        <v>124</v>
      </c>
      <c r="V498" s="42" t="s">
        <v>124</v>
      </c>
      <c r="W498" s="42" t="s">
        <v>124</v>
      </c>
      <c r="X498" s="42" t="s">
        <v>124</v>
      </c>
      <c r="Y498" s="43" t="str">
        <f>IF(CCUS_Projects_Database!$R498&lt;&gt;"",HYPERLINK(CCUS_Projects_Database!$R498,"Link 1"),"")</f>
        <v/>
      </c>
      <c r="Z498" s="43" t="str">
        <f>IF(CCUS_Projects_Database!$S498&lt;&gt;"",HYPERLINK(CCUS_Projects_Database!$S498,"Link 2"),"")</f>
        <v/>
      </c>
      <c r="AA498" s="43" t="str">
        <f>IF(CCUS_Projects_Database!$T498&lt;&gt;"",HYPERLINK(CCUS_Projects_Database!$T498,"Link 3"),"")</f>
        <v/>
      </c>
      <c r="AB498" s="43" t="str">
        <f>IF(CCUS_Projects_Database!$U498&lt;&gt;"",HYPERLINK(CCUS_Projects_Database!$U498,"Link 4"),"")</f>
        <v/>
      </c>
      <c r="AC498" s="43" t="str">
        <f>IF(CCUS_Projects_Database!$V498&lt;&gt;"",HYPERLINK(CCUS_Projects_Database!$V498,"Link 5"),"")</f>
        <v/>
      </c>
      <c r="AD498" s="43" t="str">
        <f>IF(CCUS_Projects_Database!$W498&lt;&gt;"",HYPERLINK(CCUS_Projects_Database!$W498,"Link 6"),"")</f>
        <v/>
      </c>
      <c r="AE498" s="43" t="str">
        <f>IF(CCUS_Projects_Database!$X498&lt;&gt;"",HYPERLINK(CCUS_Projects_Database!$X498,"Link 7"),"")</f>
        <v/>
      </c>
    </row>
    <row r="499" ht="15.75" customHeight="1">
      <c r="A499" s="44" t="s">
        <v>1922</v>
      </c>
      <c r="B499" s="45">
        <v>794.0</v>
      </c>
      <c r="C499" s="45" t="s">
        <v>141</v>
      </c>
      <c r="D499" s="46" t="s">
        <v>1923</v>
      </c>
      <c r="E499" s="45" t="s">
        <v>12</v>
      </c>
      <c r="F499" s="45">
        <v>2023.0</v>
      </c>
      <c r="G499" s="45">
        <v>2025.0</v>
      </c>
      <c r="H499" s="45">
        <v>2026.0</v>
      </c>
      <c r="I499" s="45" t="s">
        <v>124</v>
      </c>
      <c r="J499" s="45" t="s">
        <v>28</v>
      </c>
      <c r="K499" s="47" t="s">
        <v>124</v>
      </c>
      <c r="L499" s="52">
        <v>2.6</v>
      </c>
      <c r="M499" s="47">
        <v>2.6</v>
      </c>
      <c r="N499" s="45" t="s">
        <v>12</v>
      </c>
      <c r="O499" s="48" t="s">
        <v>71</v>
      </c>
      <c r="P499" s="49" t="s">
        <v>1922</v>
      </c>
      <c r="Q499" s="45" t="s">
        <v>143</v>
      </c>
      <c r="R499" s="49" t="s">
        <v>1693</v>
      </c>
      <c r="S499" s="49" t="s">
        <v>1924</v>
      </c>
      <c r="T499" s="49" t="s">
        <v>124</v>
      </c>
      <c r="U499" s="49" t="s">
        <v>124</v>
      </c>
      <c r="V499" s="49" t="s">
        <v>124</v>
      </c>
      <c r="W499" s="49" t="s">
        <v>124</v>
      </c>
      <c r="X499" s="49" t="s">
        <v>124</v>
      </c>
      <c r="Y499" s="50" t="str">
        <f>IF(CCUS_Projects_Database!$R499&lt;&gt;"",HYPERLINK(CCUS_Projects_Database!$R499,"Link 1"),"")</f>
        <v>Link 1</v>
      </c>
      <c r="Z499" s="50" t="str">
        <f>IF(CCUS_Projects_Database!$S499&lt;&gt;"",HYPERLINK(CCUS_Projects_Database!$S499,"Link 2"),"")</f>
        <v>Link 2</v>
      </c>
      <c r="AA499" s="50" t="str">
        <f>IF(CCUS_Projects_Database!$T499&lt;&gt;"",HYPERLINK(CCUS_Projects_Database!$T499,"Link 3"),"")</f>
        <v/>
      </c>
      <c r="AB499" s="50" t="str">
        <f>IF(CCUS_Projects_Database!$U499&lt;&gt;"",HYPERLINK(CCUS_Projects_Database!$U499,"Link 4"),"")</f>
        <v/>
      </c>
      <c r="AC499" s="50" t="str">
        <f>IF(CCUS_Projects_Database!$V499&lt;&gt;"",HYPERLINK(CCUS_Projects_Database!$V499,"Link 5"),"")</f>
        <v/>
      </c>
      <c r="AD499" s="50" t="str">
        <f>IF(CCUS_Projects_Database!$W499&lt;&gt;"",HYPERLINK(CCUS_Projects_Database!$W499,"Link 6"),"")</f>
        <v/>
      </c>
      <c r="AE499" s="50" t="str">
        <f>IF(CCUS_Projects_Database!$X499&lt;&gt;"",HYPERLINK(CCUS_Projects_Database!$X499,"Link 7"),"")</f>
        <v/>
      </c>
    </row>
    <row r="500" ht="15.75" customHeight="1">
      <c r="A500" s="37" t="s">
        <v>1925</v>
      </c>
      <c r="B500" s="38">
        <v>867.0</v>
      </c>
      <c r="C500" s="38" t="s">
        <v>141</v>
      </c>
      <c r="D500" s="39" t="s">
        <v>1926</v>
      </c>
      <c r="E500" s="38" t="s">
        <v>12</v>
      </c>
      <c r="F500" s="38">
        <v>2021.0</v>
      </c>
      <c r="G500" s="38" t="s">
        <v>124</v>
      </c>
      <c r="H500" s="38" t="s">
        <v>124</v>
      </c>
      <c r="I500" s="38" t="s">
        <v>124</v>
      </c>
      <c r="J500" s="38" t="s">
        <v>28</v>
      </c>
      <c r="K500" s="40" t="s">
        <v>124</v>
      </c>
      <c r="L500" s="40"/>
      <c r="M500" s="40" t="s">
        <v>124</v>
      </c>
      <c r="N500" s="38" t="s">
        <v>12</v>
      </c>
      <c r="O500" s="41" t="s">
        <v>71</v>
      </c>
      <c r="P500" s="42" t="s">
        <v>124</v>
      </c>
      <c r="Q500" s="38" t="s">
        <v>143</v>
      </c>
      <c r="R500" s="42" t="s">
        <v>1927</v>
      </c>
      <c r="S500" s="42" t="s">
        <v>124</v>
      </c>
      <c r="T500" s="42" t="s">
        <v>124</v>
      </c>
      <c r="U500" s="42" t="s">
        <v>124</v>
      </c>
      <c r="V500" s="42" t="s">
        <v>124</v>
      </c>
      <c r="W500" s="42" t="s">
        <v>124</v>
      </c>
      <c r="X500" s="42" t="s">
        <v>124</v>
      </c>
      <c r="Y500" s="43" t="str">
        <f>IF(CCUS_Projects_Database!$R500&lt;&gt;"",HYPERLINK(CCUS_Projects_Database!$R500,"Link 1"),"")</f>
        <v>Link 1</v>
      </c>
      <c r="Z500" s="43" t="str">
        <f>IF(CCUS_Projects_Database!$S500&lt;&gt;"",HYPERLINK(CCUS_Projects_Database!$S500,"Link 2"),"")</f>
        <v/>
      </c>
      <c r="AA500" s="43" t="str">
        <f>IF(CCUS_Projects_Database!$T500&lt;&gt;"",HYPERLINK(CCUS_Projects_Database!$T500,"Link 3"),"")</f>
        <v/>
      </c>
      <c r="AB500" s="43" t="str">
        <f>IF(CCUS_Projects_Database!$U500&lt;&gt;"",HYPERLINK(CCUS_Projects_Database!$U500,"Link 4"),"")</f>
        <v/>
      </c>
      <c r="AC500" s="43" t="str">
        <f>IF(CCUS_Projects_Database!$V500&lt;&gt;"",HYPERLINK(CCUS_Projects_Database!$V500,"Link 5"),"")</f>
        <v/>
      </c>
      <c r="AD500" s="43" t="str">
        <f>IF(CCUS_Projects_Database!$W500&lt;&gt;"",HYPERLINK(CCUS_Projects_Database!$W500,"Link 6"),"")</f>
        <v/>
      </c>
      <c r="AE500" s="43" t="str">
        <f>IF(CCUS_Projects_Database!$X500&lt;&gt;"",HYPERLINK(CCUS_Projects_Database!$X500,"Link 7"),"")</f>
        <v/>
      </c>
    </row>
    <row r="501" ht="15.75" customHeight="1">
      <c r="A501" s="44" t="s">
        <v>1928</v>
      </c>
      <c r="B501" s="45">
        <v>267.0</v>
      </c>
      <c r="C501" s="45" t="s">
        <v>141</v>
      </c>
      <c r="D501" s="46" t="s">
        <v>1929</v>
      </c>
      <c r="E501" s="45" t="s">
        <v>6</v>
      </c>
      <c r="F501" s="45">
        <v>2010.0</v>
      </c>
      <c r="G501" s="45">
        <v>2011.0</v>
      </c>
      <c r="H501" s="45">
        <v>2013.0</v>
      </c>
      <c r="I501" s="45" t="s">
        <v>124</v>
      </c>
      <c r="J501" s="45" t="s">
        <v>32</v>
      </c>
      <c r="K501" s="47" t="s">
        <v>124</v>
      </c>
      <c r="L501" s="52">
        <v>0.9</v>
      </c>
      <c r="M501" s="47">
        <v>0.9</v>
      </c>
      <c r="N501" s="45" t="s">
        <v>48</v>
      </c>
      <c r="O501" s="48" t="s">
        <v>73</v>
      </c>
      <c r="P501" s="49" t="s">
        <v>124</v>
      </c>
      <c r="Q501" s="45" t="s">
        <v>143</v>
      </c>
      <c r="R501" s="49" t="s">
        <v>1930</v>
      </c>
      <c r="S501" s="49" t="s">
        <v>1931</v>
      </c>
      <c r="T501" s="49" t="s">
        <v>1932</v>
      </c>
      <c r="U501" s="49" t="s">
        <v>124</v>
      </c>
      <c r="V501" s="49" t="s">
        <v>124</v>
      </c>
      <c r="W501" s="49" t="s">
        <v>124</v>
      </c>
      <c r="X501" s="49" t="s">
        <v>124</v>
      </c>
      <c r="Y501" s="50" t="str">
        <f>IF(CCUS_Projects_Database!$R501&lt;&gt;"",HYPERLINK(CCUS_Projects_Database!$R501,"Link 1"),"")</f>
        <v>Link 1</v>
      </c>
      <c r="Z501" s="50" t="str">
        <f>IF(CCUS_Projects_Database!$S501&lt;&gt;"",HYPERLINK(CCUS_Projects_Database!$S501,"Link 2"),"")</f>
        <v>Link 2</v>
      </c>
      <c r="AA501" s="50" t="str">
        <f>IF(CCUS_Projects_Database!$T501&lt;&gt;"",HYPERLINK(CCUS_Projects_Database!$T501,"Link 3"),"")</f>
        <v>Link 3</v>
      </c>
      <c r="AB501" s="50" t="str">
        <f>IF(CCUS_Projects_Database!$U501&lt;&gt;"",HYPERLINK(CCUS_Projects_Database!$U501,"Link 4"),"")</f>
        <v/>
      </c>
      <c r="AC501" s="50" t="str">
        <f>IF(CCUS_Projects_Database!$V501&lt;&gt;"",HYPERLINK(CCUS_Projects_Database!$V501,"Link 5"),"")</f>
        <v/>
      </c>
      <c r="AD501" s="50" t="str">
        <f>IF(CCUS_Projects_Database!$W501&lt;&gt;"",HYPERLINK(CCUS_Projects_Database!$W501,"Link 6"),"")</f>
        <v/>
      </c>
      <c r="AE501" s="50" t="str">
        <f>IF(CCUS_Projects_Database!$X501&lt;&gt;"",HYPERLINK(CCUS_Projects_Database!$X501,"Link 7"),"")</f>
        <v/>
      </c>
    </row>
    <row r="502" ht="15.75" customHeight="1">
      <c r="A502" s="37" t="s">
        <v>1933</v>
      </c>
      <c r="B502" s="38">
        <v>268.0</v>
      </c>
      <c r="C502" s="38" t="s">
        <v>141</v>
      </c>
      <c r="D502" s="39" t="s">
        <v>1934</v>
      </c>
      <c r="E502" s="38" t="s">
        <v>8</v>
      </c>
      <c r="F502" s="38">
        <v>2021.0</v>
      </c>
      <c r="G502" s="38">
        <v>2024.0</v>
      </c>
      <c r="H502" s="38">
        <v>2024.0</v>
      </c>
      <c r="I502" s="38" t="s">
        <v>124</v>
      </c>
      <c r="J502" s="38" t="s">
        <v>28</v>
      </c>
      <c r="K502" s="40" t="s">
        <v>124</v>
      </c>
      <c r="L502" s="51">
        <v>0.315</v>
      </c>
      <c r="M502" s="40">
        <v>0.343</v>
      </c>
      <c r="N502" s="38" t="s">
        <v>50</v>
      </c>
      <c r="O502" s="41" t="s">
        <v>71</v>
      </c>
      <c r="P502" s="42" t="s">
        <v>567</v>
      </c>
      <c r="Q502" s="38" t="s">
        <v>143</v>
      </c>
      <c r="R502" s="42" t="s">
        <v>945</v>
      </c>
      <c r="S502" s="42" t="s">
        <v>946</v>
      </c>
      <c r="T502" s="42" t="s">
        <v>947</v>
      </c>
      <c r="U502" s="42" t="s">
        <v>124</v>
      </c>
      <c r="V502" s="42" t="s">
        <v>124</v>
      </c>
      <c r="W502" s="42" t="s">
        <v>124</v>
      </c>
      <c r="X502" s="42" t="s">
        <v>124</v>
      </c>
      <c r="Y502" s="43" t="str">
        <f>IF(CCUS_Projects_Database!$R502&lt;&gt;"",HYPERLINK(CCUS_Projects_Database!$R502,"Link 1"),"")</f>
        <v>Link 1</v>
      </c>
      <c r="Z502" s="43" t="str">
        <f>IF(CCUS_Projects_Database!$S502&lt;&gt;"",HYPERLINK(CCUS_Projects_Database!$S502,"Link 2"),"")</f>
        <v>Link 2</v>
      </c>
      <c r="AA502" s="43" t="str">
        <f>IF(CCUS_Projects_Database!$T502&lt;&gt;"",HYPERLINK(CCUS_Projects_Database!$T502,"Link 3"),"")</f>
        <v>Link 3</v>
      </c>
      <c r="AB502" s="43" t="str">
        <f>IF(CCUS_Projects_Database!$U502&lt;&gt;"",HYPERLINK(CCUS_Projects_Database!$U502,"Link 4"),"")</f>
        <v/>
      </c>
      <c r="AC502" s="43" t="str">
        <f>IF(CCUS_Projects_Database!$V502&lt;&gt;"",HYPERLINK(CCUS_Projects_Database!$V502,"Link 5"),"")</f>
        <v/>
      </c>
      <c r="AD502" s="43" t="str">
        <f>IF(CCUS_Projects_Database!$W502&lt;&gt;"",HYPERLINK(CCUS_Projects_Database!$W502,"Link 6"),"")</f>
        <v/>
      </c>
      <c r="AE502" s="43" t="str">
        <f>IF(CCUS_Projects_Database!$X502&lt;&gt;"",HYPERLINK(CCUS_Projects_Database!$X502,"Link 7"),"")</f>
        <v/>
      </c>
    </row>
    <row r="503" ht="15.75" customHeight="1">
      <c r="A503" s="44" t="s">
        <v>1935</v>
      </c>
      <c r="B503" s="45">
        <v>269.0</v>
      </c>
      <c r="C503" s="45" t="s">
        <v>141</v>
      </c>
      <c r="D503" s="46" t="s">
        <v>1936</v>
      </c>
      <c r="E503" s="45" t="s">
        <v>8</v>
      </c>
      <c r="F503" s="45">
        <v>2021.0</v>
      </c>
      <c r="G503" s="45">
        <v>2024.0</v>
      </c>
      <c r="H503" s="45">
        <v>2024.0</v>
      </c>
      <c r="I503" s="45" t="s">
        <v>124</v>
      </c>
      <c r="J503" s="45" t="s">
        <v>28</v>
      </c>
      <c r="K503" s="47" t="s">
        <v>124</v>
      </c>
      <c r="L503" s="52">
        <v>0.14</v>
      </c>
      <c r="M503" s="47">
        <v>0.152</v>
      </c>
      <c r="N503" s="45" t="s">
        <v>50</v>
      </c>
      <c r="O503" s="48" t="s">
        <v>71</v>
      </c>
      <c r="P503" s="49" t="s">
        <v>567</v>
      </c>
      <c r="Q503" s="45" t="s">
        <v>143</v>
      </c>
      <c r="R503" s="49" t="s">
        <v>945</v>
      </c>
      <c r="S503" s="49" t="s">
        <v>946</v>
      </c>
      <c r="T503" s="49" t="s">
        <v>947</v>
      </c>
      <c r="U503" s="49" t="s">
        <v>124</v>
      </c>
      <c r="V503" s="49" t="s">
        <v>124</v>
      </c>
      <c r="W503" s="49" t="s">
        <v>124</v>
      </c>
      <c r="X503" s="49" t="s">
        <v>124</v>
      </c>
      <c r="Y503" s="50" t="str">
        <f>IF(CCUS_Projects_Database!$R503&lt;&gt;"",HYPERLINK(CCUS_Projects_Database!$R503,"Link 1"),"")</f>
        <v>Link 1</v>
      </c>
      <c r="Z503" s="50" t="str">
        <f>IF(CCUS_Projects_Database!$S503&lt;&gt;"",HYPERLINK(CCUS_Projects_Database!$S503,"Link 2"),"")</f>
        <v>Link 2</v>
      </c>
      <c r="AA503" s="50" t="str">
        <f>IF(CCUS_Projects_Database!$T503&lt;&gt;"",HYPERLINK(CCUS_Projects_Database!$T503,"Link 3"),"")</f>
        <v>Link 3</v>
      </c>
      <c r="AB503" s="50" t="str">
        <f>IF(CCUS_Projects_Database!$U503&lt;&gt;"",HYPERLINK(CCUS_Projects_Database!$U503,"Link 4"),"")</f>
        <v/>
      </c>
      <c r="AC503" s="50" t="str">
        <f>IF(CCUS_Projects_Database!$V503&lt;&gt;"",HYPERLINK(CCUS_Projects_Database!$V503,"Link 5"),"")</f>
        <v/>
      </c>
      <c r="AD503" s="50" t="str">
        <f>IF(CCUS_Projects_Database!$W503&lt;&gt;"",HYPERLINK(CCUS_Projects_Database!$W503,"Link 6"),"")</f>
        <v/>
      </c>
      <c r="AE503" s="50" t="str">
        <f>IF(CCUS_Projects_Database!$X503&lt;&gt;"",HYPERLINK(CCUS_Projects_Database!$X503,"Link 7"),"")</f>
        <v/>
      </c>
    </row>
    <row r="504" ht="15.75" customHeight="1">
      <c r="A504" s="37" t="s">
        <v>1937</v>
      </c>
      <c r="B504" s="38">
        <v>270.0</v>
      </c>
      <c r="C504" s="38" t="s">
        <v>141</v>
      </c>
      <c r="D504" s="39" t="s">
        <v>1938</v>
      </c>
      <c r="E504" s="38" t="s">
        <v>6</v>
      </c>
      <c r="F504" s="38">
        <v>2021.0</v>
      </c>
      <c r="G504" s="38">
        <v>2024.0</v>
      </c>
      <c r="H504" s="38">
        <v>2027.0</v>
      </c>
      <c r="I504" s="38" t="s">
        <v>124</v>
      </c>
      <c r="J504" s="38" t="s">
        <v>28</v>
      </c>
      <c r="K504" s="40" t="s">
        <v>124</v>
      </c>
      <c r="L504" s="51">
        <v>1.36</v>
      </c>
      <c r="M504" s="40">
        <v>1.36</v>
      </c>
      <c r="N504" s="38" t="s">
        <v>50</v>
      </c>
      <c r="O504" s="41" t="s">
        <v>71</v>
      </c>
      <c r="P504" s="42" t="s">
        <v>124</v>
      </c>
      <c r="Q504" s="38" t="s">
        <v>143</v>
      </c>
      <c r="R504" s="42" t="s">
        <v>1939</v>
      </c>
      <c r="S504" s="42" t="s">
        <v>1940</v>
      </c>
      <c r="T504" s="42" t="s">
        <v>1941</v>
      </c>
      <c r="U504" s="42" t="s">
        <v>1942</v>
      </c>
      <c r="V504" s="42" t="s">
        <v>1943</v>
      </c>
      <c r="W504" s="42" t="s">
        <v>1944</v>
      </c>
      <c r="X504" s="42" t="s">
        <v>124</v>
      </c>
      <c r="Y504" s="43" t="str">
        <f>IF(CCUS_Projects_Database!$R504&lt;&gt;"",HYPERLINK(CCUS_Projects_Database!$R504,"Link 1"),"")</f>
        <v>Link 1</v>
      </c>
      <c r="Z504" s="43" t="str">
        <f>IF(CCUS_Projects_Database!$S504&lt;&gt;"",HYPERLINK(CCUS_Projects_Database!$S504,"Link 2"),"")</f>
        <v>Link 2</v>
      </c>
      <c r="AA504" s="43" t="str">
        <f>IF(CCUS_Projects_Database!$T504&lt;&gt;"",HYPERLINK(CCUS_Projects_Database!$T504,"Link 3"),"")</f>
        <v>Link 3</v>
      </c>
      <c r="AB504" s="43" t="str">
        <f>IF(CCUS_Projects_Database!$U504&lt;&gt;"",HYPERLINK(CCUS_Projects_Database!$U504,"Link 4"),"")</f>
        <v>Link 4</v>
      </c>
      <c r="AC504" s="43" t="str">
        <f>IF(CCUS_Projects_Database!$V504&lt;&gt;"",HYPERLINK(CCUS_Projects_Database!$V504,"Link 5"),"")</f>
        <v>Link 5</v>
      </c>
      <c r="AD504" s="43" t="str">
        <f>IF(CCUS_Projects_Database!$W504&lt;&gt;"",HYPERLINK(CCUS_Projects_Database!$W504,"Link 6"),"")</f>
        <v>Link 6</v>
      </c>
      <c r="AE504" s="43" t="str">
        <f>IF(CCUS_Projects_Database!$X504&lt;&gt;"",HYPERLINK(CCUS_Projects_Database!$X504,"Link 7"),"")</f>
        <v/>
      </c>
    </row>
    <row r="505" ht="15.75" customHeight="1">
      <c r="A505" s="44" t="s">
        <v>1945</v>
      </c>
      <c r="B505" s="45">
        <v>271.0</v>
      </c>
      <c r="C505" s="45" t="s">
        <v>284</v>
      </c>
      <c r="D505" s="46" t="s">
        <v>1946</v>
      </c>
      <c r="E505" s="45" t="s">
        <v>8</v>
      </c>
      <c r="F505" s="45">
        <v>2021.0</v>
      </c>
      <c r="G505" s="45" t="s">
        <v>124</v>
      </c>
      <c r="H505" s="45">
        <v>2024.0</v>
      </c>
      <c r="I505" s="45" t="s">
        <v>124</v>
      </c>
      <c r="J505" s="45" t="s">
        <v>28</v>
      </c>
      <c r="K505" s="47" t="s">
        <v>124</v>
      </c>
      <c r="L505" s="52">
        <v>0.1</v>
      </c>
      <c r="M505" s="47">
        <v>0.1</v>
      </c>
      <c r="N505" s="45" t="s">
        <v>46</v>
      </c>
      <c r="O505" s="48" t="s">
        <v>71</v>
      </c>
      <c r="P505" s="49" t="s">
        <v>124</v>
      </c>
      <c r="Q505" s="45" t="s">
        <v>125</v>
      </c>
      <c r="R505" s="49" t="s">
        <v>1947</v>
      </c>
      <c r="S505" s="49" t="s">
        <v>1948</v>
      </c>
      <c r="T505" s="49" t="s">
        <v>124</v>
      </c>
      <c r="U505" s="49" t="s">
        <v>124</v>
      </c>
      <c r="V505" s="49" t="s">
        <v>124</v>
      </c>
      <c r="W505" s="49" t="s">
        <v>124</v>
      </c>
      <c r="X505" s="49" t="s">
        <v>124</v>
      </c>
      <c r="Y505" s="50" t="str">
        <f>IF(CCUS_Projects_Database!$R505&lt;&gt;"",HYPERLINK(CCUS_Projects_Database!$R505,"Link 1"),"")</f>
        <v>Link 1</v>
      </c>
      <c r="Z505" s="50" t="str">
        <f>IF(CCUS_Projects_Database!$S505&lt;&gt;"",HYPERLINK(CCUS_Projects_Database!$S505,"Link 2"),"")</f>
        <v>Link 2</v>
      </c>
      <c r="AA505" s="50" t="str">
        <f>IF(CCUS_Projects_Database!$T505&lt;&gt;"",HYPERLINK(CCUS_Projects_Database!$T505,"Link 3"),"")</f>
        <v/>
      </c>
      <c r="AB505" s="50" t="str">
        <f>IF(CCUS_Projects_Database!$U505&lt;&gt;"",HYPERLINK(CCUS_Projects_Database!$U505,"Link 4"),"")</f>
        <v/>
      </c>
      <c r="AC505" s="50" t="str">
        <f>IF(CCUS_Projects_Database!$V505&lt;&gt;"",HYPERLINK(CCUS_Projects_Database!$V505,"Link 5"),"")</f>
        <v/>
      </c>
      <c r="AD505" s="50" t="str">
        <f>IF(CCUS_Projects_Database!$W505&lt;&gt;"",HYPERLINK(CCUS_Projects_Database!$W505,"Link 6"),"")</f>
        <v/>
      </c>
      <c r="AE505" s="50" t="str">
        <f>IF(CCUS_Projects_Database!$X505&lt;&gt;"",HYPERLINK(CCUS_Projects_Database!$X505,"Link 7"),"")</f>
        <v/>
      </c>
    </row>
    <row r="506" ht="15.75" customHeight="1">
      <c r="A506" s="37" t="s">
        <v>1949</v>
      </c>
      <c r="B506" s="38">
        <v>793.0</v>
      </c>
      <c r="C506" s="38" t="s">
        <v>141</v>
      </c>
      <c r="D506" s="39" t="s">
        <v>1950</v>
      </c>
      <c r="E506" s="38" t="s">
        <v>14</v>
      </c>
      <c r="F506" s="38">
        <v>2020.0</v>
      </c>
      <c r="G506" s="38" t="s">
        <v>124</v>
      </c>
      <c r="H506" s="38" t="s">
        <v>124</v>
      </c>
      <c r="I506" s="38" t="s">
        <v>124</v>
      </c>
      <c r="J506" s="38" t="s">
        <v>28</v>
      </c>
      <c r="K506" s="40" t="s">
        <v>124</v>
      </c>
      <c r="L506" s="51">
        <v>4.0</v>
      </c>
      <c r="M506" s="40">
        <v>4.0</v>
      </c>
      <c r="N506" s="38" t="s">
        <v>14</v>
      </c>
      <c r="O506" s="41" t="s">
        <v>71</v>
      </c>
      <c r="P506" s="42" t="s">
        <v>1951</v>
      </c>
      <c r="Q506" s="38" t="s">
        <v>143</v>
      </c>
      <c r="R506" s="42" t="s">
        <v>697</v>
      </c>
      <c r="S506" s="42" t="s">
        <v>1693</v>
      </c>
      <c r="T506" s="42" t="s">
        <v>1952</v>
      </c>
      <c r="U506" s="42" t="s">
        <v>124</v>
      </c>
      <c r="V506" s="42" t="s">
        <v>124</v>
      </c>
      <c r="W506" s="42" t="s">
        <v>124</v>
      </c>
      <c r="X506" s="42" t="s">
        <v>124</v>
      </c>
      <c r="Y506" s="43" t="str">
        <f>IF(CCUS_Projects_Database!$R506&lt;&gt;"",HYPERLINK(CCUS_Projects_Database!$R506,"Link 1"),"")</f>
        <v>Link 1</v>
      </c>
      <c r="Z506" s="43" t="str">
        <f>IF(CCUS_Projects_Database!$S506&lt;&gt;"",HYPERLINK(CCUS_Projects_Database!$S506,"Link 2"),"")</f>
        <v>Link 2</v>
      </c>
      <c r="AA506" s="43" t="str">
        <f>IF(CCUS_Projects_Database!$T506&lt;&gt;"",HYPERLINK(CCUS_Projects_Database!$T506,"Link 3"),"")</f>
        <v>Link 3</v>
      </c>
      <c r="AB506" s="43" t="str">
        <f>IF(CCUS_Projects_Database!$U506&lt;&gt;"",HYPERLINK(CCUS_Projects_Database!$U506,"Link 4"),"")</f>
        <v/>
      </c>
      <c r="AC506" s="43" t="str">
        <f>IF(CCUS_Projects_Database!$V506&lt;&gt;"",HYPERLINK(CCUS_Projects_Database!$V506,"Link 5"),"")</f>
        <v/>
      </c>
      <c r="AD506" s="43" t="str">
        <f>IF(CCUS_Projects_Database!$W506&lt;&gt;"",HYPERLINK(CCUS_Projects_Database!$W506,"Link 6"),"")</f>
        <v/>
      </c>
      <c r="AE506" s="43" t="str">
        <f>IF(CCUS_Projects_Database!$X506&lt;&gt;"",HYPERLINK(CCUS_Projects_Database!$X506,"Link 7"),"")</f>
        <v/>
      </c>
    </row>
    <row r="507" ht="15.75" customHeight="1">
      <c r="A507" s="44" t="s">
        <v>1953</v>
      </c>
      <c r="B507" s="45">
        <v>662.0</v>
      </c>
      <c r="C507" s="45" t="s">
        <v>141</v>
      </c>
      <c r="D507" s="46" t="s">
        <v>1954</v>
      </c>
      <c r="E507" s="45" t="s">
        <v>6</v>
      </c>
      <c r="F507" s="45">
        <v>2022.0</v>
      </c>
      <c r="G507" s="45" t="s">
        <v>124</v>
      </c>
      <c r="H507" s="45" t="s">
        <v>124</v>
      </c>
      <c r="I507" s="45" t="s">
        <v>124</v>
      </c>
      <c r="J507" s="45" t="s">
        <v>28</v>
      </c>
      <c r="K507" s="47" t="s">
        <v>124</v>
      </c>
      <c r="L507" s="52">
        <v>1.2</v>
      </c>
      <c r="M507" s="47">
        <v>1.2</v>
      </c>
      <c r="N507" s="45" t="s">
        <v>50</v>
      </c>
      <c r="O507" s="48" t="s">
        <v>71</v>
      </c>
      <c r="P507" s="49" t="s">
        <v>124</v>
      </c>
      <c r="Q507" s="45" t="s">
        <v>143</v>
      </c>
      <c r="R507" s="49" t="s">
        <v>1955</v>
      </c>
      <c r="S507" s="49" t="s">
        <v>1956</v>
      </c>
      <c r="T507" s="49" t="s">
        <v>124</v>
      </c>
      <c r="U507" s="49" t="s">
        <v>124</v>
      </c>
      <c r="V507" s="49" t="s">
        <v>124</v>
      </c>
      <c r="W507" s="49" t="s">
        <v>124</v>
      </c>
      <c r="X507" s="49" t="s">
        <v>124</v>
      </c>
      <c r="Y507" s="50" t="str">
        <f>IF(CCUS_Projects_Database!$R507&lt;&gt;"",HYPERLINK(CCUS_Projects_Database!$R507,"Link 1"),"")</f>
        <v>Link 1</v>
      </c>
      <c r="Z507" s="50" t="str">
        <f>IF(CCUS_Projects_Database!$S507&lt;&gt;"",HYPERLINK(CCUS_Projects_Database!$S507,"Link 2"),"")</f>
        <v>Link 2</v>
      </c>
      <c r="AA507" s="50" t="str">
        <f>IF(CCUS_Projects_Database!$T507&lt;&gt;"",HYPERLINK(CCUS_Projects_Database!$T507,"Link 3"),"")</f>
        <v/>
      </c>
      <c r="AB507" s="50" t="str">
        <f>IF(CCUS_Projects_Database!$U507&lt;&gt;"",HYPERLINK(CCUS_Projects_Database!$U507,"Link 4"),"")</f>
        <v/>
      </c>
      <c r="AC507" s="50" t="str">
        <f>IF(CCUS_Projects_Database!$V507&lt;&gt;"",HYPERLINK(CCUS_Projects_Database!$V507,"Link 5"),"")</f>
        <v/>
      </c>
      <c r="AD507" s="50" t="str">
        <f>IF(CCUS_Projects_Database!$W507&lt;&gt;"",HYPERLINK(CCUS_Projects_Database!$W507,"Link 6"),"")</f>
        <v/>
      </c>
      <c r="AE507" s="50" t="str">
        <f>IF(CCUS_Projects_Database!$X507&lt;&gt;"",HYPERLINK(CCUS_Projects_Database!$X507,"Link 7"),"")</f>
        <v/>
      </c>
    </row>
    <row r="508" ht="15.75" customHeight="1">
      <c r="A508" s="37" t="s">
        <v>1957</v>
      </c>
      <c r="B508" s="38">
        <v>504.0</v>
      </c>
      <c r="C508" s="38" t="s">
        <v>239</v>
      </c>
      <c r="D508" s="39" t="s">
        <v>1958</v>
      </c>
      <c r="E508" s="38" t="s">
        <v>12</v>
      </c>
      <c r="F508" s="38">
        <v>2022.0</v>
      </c>
      <c r="G508" s="38" t="s">
        <v>124</v>
      </c>
      <c r="H508" s="38" t="s">
        <v>124</v>
      </c>
      <c r="I508" s="38" t="s">
        <v>124</v>
      </c>
      <c r="J508" s="38" t="s">
        <v>28</v>
      </c>
      <c r="K508" s="40" t="s">
        <v>124</v>
      </c>
      <c r="L508" s="40"/>
      <c r="M508" s="40" t="s">
        <v>124</v>
      </c>
      <c r="N508" s="38" t="s">
        <v>12</v>
      </c>
      <c r="O508" s="41" t="s">
        <v>71</v>
      </c>
      <c r="P508" s="42" t="s">
        <v>1957</v>
      </c>
      <c r="Q508" s="38" t="s">
        <v>143</v>
      </c>
      <c r="R508" s="42" t="s">
        <v>464</v>
      </c>
      <c r="S508" s="42" t="s">
        <v>124</v>
      </c>
      <c r="T508" s="42" t="s">
        <v>124</v>
      </c>
      <c r="U508" s="42" t="s">
        <v>124</v>
      </c>
      <c r="V508" s="42" t="s">
        <v>124</v>
      </c>
      <c r="W508" s="42" t="s">
        <v>124</v>
      </c>
      <c r="X508" s="42" t="s">
        <v>124</v>
      </c>
      <c r="Y508" s="43" t="str">
        <f>IF(CCUS_Projects_Database!$R508&lt;&gt;"",HYPERLINK(CCUS_Projects_Database!$R508,"Link 1"),"")</f>
        <v>Link 1</v>
      </c>
      <c r="Z508" s="43" t="str">
        <f>IF(CCUS_Projects_Database!$S508&lt;&gt;"",HYPERLINK(CCUS_Projects_Database!$S508,"Link 2"),"")</f>
        <v/>
      </c>
      <c r="AA508" s="43" t="str">
        <f>IF(CCUS_Projects_Database!$T508&lt;&gt;"",HYPERLINK(CCUS_Projects_Database!$T508,"Link 3"),"")</f>
        <v/>
      </c>
      <c r="AB508" s="43" t="str">
        <f>IF(CCUS_Projects_Database!$U508&lt;&gt;"",HYPERLINK(CCUS_Projects_Database!$U508,"Link 4"),"")</f>
        <v/>
      </c>
      <c r="AC508" s="43" t="str">
        <f>IF(CCUS_Projects_Database!$V508&lt;&gt;"",HYPERLINK(CCUS_Projects_Database!$V508,"Link 5"),"")</f>
        <v/>
      </c>
      <c r="AD508" s="43" t="str">
        <f>IF(CCUS_Projects_Database!$W508&lt;&gt;"",HYPERLINK(CCUS_Projects_Database!$W508,"Link 6"),"")</f>
        <v/>
      </c>
      <c r="AE508" s="43" t="str">
        <f>IF(CCUS_Projects_Database!$X508&lt;&gt;"",HYPERLINK(CCUS_Projects_Database!$X508,"Link 7"),"")</f>
        <v/>
      </c>
    </row>
    <row r="509" ht="15.75" customHeight="1">
      <c r="A509" s="44" t="s">
        <v>1959</v>
      </c>
      <c r="B509" s="45">
        <v>273.0</v>
      </c>
      <c r="C509" s="45" t="s">
        <v>239</v>
      </c>
      <c r="D509" s="46" t="s">
        <v>1960</v>
      </c>
      <c r="E509" s="45" t="s">
        <v>12</v>
      </c>
      <c r="F509" s="45">
        <v>2022.0</v>
      </c>
      <c r="G509" s="45" t="s">
        <v>124</v>
      </c>
      <c r="H509" s="45">
        <v>2024.0</v>
      </c>
      <c r="I509" s="45" t="s">
        <v>124</v>
      </c>
      <c r="J509" s="45" t="s">
        <v>28</v>
      </c>
      <c r="K509" s="47" t="s">
        <v>124</v>
      </c>
      <c r="L509" s="52">
        <v>3.0</v>
      </c>
      <c r="M509" s="47">
        <v>3.0</v>
      </c>
      <c r="N509" s="45" t="s">
        <v>12</v>
      </c>
      <c r="O509" s="48" t="s">
        <v>71</v>
      </c>
      <c r="P509" s="49" t="s">
        <v>1959</v>
      </c>
      <c r="Q509" s="45" t="s">
        <v>143</v>
      </c>
      <c r="R509" s="49" t="s">
        <v>1961</v>
      </c>
      <c r="S509" s="49" t="s">
        <v>1962</v>
      </c>
      <c r="T509" s="49" t="s">
        <v>1963</v>
      </c>
      <c r="U509" s="49" t="s">
        <v>124</v>
      </c>
      <c r="V509" s="49" t="s">
        <v>124</v>
      </c>
      <c r="W509" s="49" t="s">
        <v>124</v>
      </c>
      <c r="X509" s="49" t="s">
        <v>124</v>
      </c>
      <c r="Y509" s="50" t="str">
        <f>IF(CCUS_Projects_Database!$R509&lt;&gt;"",HYPERLINK(CCUS_Projects_Database!$R509,"Link 1"),"")</f>
        <v>Link 1</v>
      </c>
      <c r="Z509" s="50" t="str">
        <f>IF(CCUS_Projects_Database!$S509&lt;&gt;"",HYPERLINK(CCUS_Projects_Database!$S509,"Link 2"),"")</f>
        <v>Link 2</v>
      </c>
      <c r="AA509" s="50" t="str">
        <f>IF(CCUS_Projects_Database!$T509&lt;&gt;"",HYPERLINK(CCUS_Projects_Database!$T509,"Link 3"),"")</f>
        <v>Link 3</v>
      </c>
      <c r="AB509" s="50" t="str">
        <f>IF(CCUS_Projects_Database!$U509&lt;&gt;"",HYPERLINK(CCUS_Projects_Database!$U509,"Link 4"),"")</f>
        <v/>
      </c>
      <c r="AC509" s="50" t="str">
        <f>IF(CCUS_Projects_Database!$V509&lt;&gt;"",HYPERLINK(CCUS_Projects_Database!$V509,"Link 5"),"")</f>
        <v/>
      </c>
      <c r="AD509" s="50" t="str">
        <f>IF(CCUS_Projects_Database!$W509&lt;&gt;"",HYPERLINK(CCUS_Projects_Database!$W509,"Link 6"),"")</f>
        <v/>
      </c>
      <c r="AE509" s="50" t="str">
        <f>IF(CCUS_Projects_Database!$X509&lt;&gt;"",HYPERLINK(CCUS_Projects_Database!$X509,"Link 7"),"")</f>
        <v/>
      </c>
    </row>
    <row r="510" ht="15.75" customHeight="1">
      <c r="A510" s="37" t="s">
        <v>1964</v>
      </c>
      <c r="B510" s="38">
        <v>567.0</v>
      </c>
      <c r="C510" s="38" t="s">
        <v>157</v>
      </c>
      <c r="D510" s="39" t="s">
        <v>1017</v>
      </c>
      <c r="E510" s="38" t="s">
        <v>8</v>
      </c>
      <c r="F510" s="38">
        <v>2022.0</v>
      </c>
      <c r="G510" s="38" t="s">
        <v>124</v>
      </c>
      <c r="H510" s="38" t="s">
        <v>124</v>
      </c>
      <c r="I510" s="38" t="s">
        <v>124</v>
      </c>
      <c r="J510" s="38" t="s">
        <v>28</v>
      </c>
      <c r="K510" s="40" t="s">
        <v>124</v>
      </c>
      <c r="L510" s="40"/>
      <c r="M510" s="40" t="s">
        <v>124</v>
      </c>
      <c r="N510" s="38" t="s">
        <v>46</v>
      </c>
      <c r="O510" s="41" t="s">
        <v>71</v>
      </c>
      <c r="P510" s="42" t="s">
        <v>1018</v>
      </c>
      <c r="Q510" s="38" t="s">
        <v>125</v>
      </c>
      <c r="R510" s="42" t="s">
        <v>1019</v>
      </c>
      <c r="S510" s="42" t="s">
        <v>124</v>
      </c>
      <c r="T510" s="42" t="s">
        <v>124</v>
      </c>
      <c r="U510" s="42" t="s">
        <v>124</v>
      </c>
      <c r="V510" s="42" t="s">
        <v>124</v>
      </c>
      <c r="W510" s="42" t="s">
        <v>124</v>
      </c>
      <c r="X510" s="42" t="s">
        <v>124</v>
      </c>
      <c r="Y510" s="43" t="str">
        <f>IF(CCUS_Projects_Database!$R510&lt;&gt;"",HYPERLINK(CCUS_Projects_Database!$R510,"Link 1"),"")</f>
        <v>Link 1</v>
      </c>
      <c r="Z510" s="43" t="str">
        <f>IF(CCUS_Projects_Database!$S510&lt;&gt;"",HYPERLINK(CCUS_Projects_Database!$S510,"Link 2"),"")</f>
        <v/>
      </c>
      <c r="AA510" s="43" t="str">
        <f>IF(CCUS_Projects_Database!$T510&lt;&gt;"",HYPERLINK(CCUS_Projects_Database!$T510,"Link 3"),"")</f>
        <v/>
      </c>
      <c r="AB510" s="43" t="str">
        <f>IF(CCUS_Projects_Database!$U510&lt;&gt;"",HYPERLINK(CCUS_Projects_Database!$U510,"Link 4"),"")</f>
        <v/>
      </c>
      <c r="AC510" s="43" t="str">
        <f>IF(CCUS_Projects_Database!$V510&lt;&gt;"",HYPERLINK(CCUS_Projects_Database!$V510,"Link 5"),"")</f>
        <v/>
      </c>
      <c r="AD510" s="43" t="str">
        <f>IF(CCUS_Projects_Database!$W510&lt;&gt;"",HYPERLINK(CCUS_Projects_Database!$W510,"Link 6"),"")</f>
        <v/>
      </c>
      <c r="AE510" s="43" t="str">
        <f>IF(CCUS_Projects_Database!$X510&lt;&gt;"",HYPERLINK(CCUS_Projects_Database!$X510,"Link 7"),"")</f>
        <v/>
      </c>
    </row>
    <row r="511" ht="15.75" customHeight="1">
      <c r="A511" s="44" t="s">
        <v>1018</v>
      </c>
      <c r="B511" s="45">
        <v>570.0</v>
      </c>
      <c r="C511" s="45" t="s">
        <v>157</v>
      </c>
      <c r="D511" s="46" t="s">
        <v>1965</v>
      </c>
      <c r="E511" s="45" t="s">
        <v>14</v>
      </c>
      <c r="F511" s="45">
        <v>2022.0</v>
      </c>
      <c r="G511" s="45">
        <v>2028.0</v>
      </c>
      <c r="H511" s="45">
        <v>2032.0</v>
      </c>
      <c r="I511" s="45" t="s">
        <v>124</v>
      </c>
      <c r="J511" s="45" t="s">
        <v>28</v>
      </c>
      <c r="K511" s="47" t="s">
        <v>124</v>
      </c>
      <c r="L511" s="52">
        <v>6.0</v>
      </c>
      <c r="M511" s="47">
        <v>6.0</v>
      </c>
      <c r="N511" s="45" t="s">
        <v>14</v>
      </c>
      <c r="O511" s="48" t="s">
        <v>71</v>
      </c>
      <c r="P511" s="49" t="s">
        <v>1018</v>
      </c>
      <c r="Q511" s="45" t="s">
        <v>125</v>
      </c>
      <c r="R511" s="49" t="s">
        <v>1019</v>
      </c>
      <c r="S511" s="49" t="s">
        <v>1966</v>
      </c>
      <c r="T511" s="49" t="s">
        <v>124</v>
      </c>
      <c r="U511" s="49" t="s">
        <v>124</v>
      </c>
      <c r="V511" s="49" t="s">
        <v>124</v>
      </c>
      <c r="W511" s="49" t="s">
        <v>124</v>
      </c>
      <c r="X511" s="49" t="s">
        <v>124</v>
      </c>
      <c r="Y511" s="50" t="str">
        <f>IF(CCUS_Projects_Database!$R511&lt;&gt;"",HYPERLINK(CCUS_Projects_Database!$R511,"Link 1"),"")</f>
        <v>Link 1</v>
      </c>
      <c r="Z511" s="50" t="str">
        <f>IF(CCUS_Projects_Database!$S511&lt;&gt;"",HYPERLINK(CCUS_Projects_Database!$S511,"Link 2"),"")</f>
        <v>Link 2</v>
      </c>
      <c r="AA511" s="50" t="str">
        <f>IF(CCUS_Projects_Database!$T511&lt;&gt;"",HYPERLINK(CCUS_Projects_Database!$T511,"Link 3"),"")</f>
        <v/>
      </c>
      <c r="AB511" s="50" t="str">
        <f>IF(CCUS_Projects_Database!$U511&lt;&gt;"",HYPERLINK(CCUS_Projects_Database!$U511,"Link 4"),"")</f>
        <v/>
      </c>
      <c r="AC511" s="50" t="str">
        <f>IF(CCUS_Projects_Database!$V511&lt;&gt;"",HYPERLINK(CCUS_Projects_Database!$V511,"Link 5"),"")</f>
        <v/>
      </c>
      <c r="AD511" s="50" t="str">
        <f>IF(CCUS_Projects_Database!$W511&lt;&gt;"",HYPERLINK(CCUS_Projects_Database!$W511,"Link 6"),"")</f>
        <v/>
      </c>
      <c r="AE511" s="50" t="str">
        <f>IF(CCUS_Projects_Database!$X511&lt;&gt;"",HYPERLINK(CCUS_Projects_Database!$X511,"Link 7"),"")</f>
        <v/>
      </c>
    </row>
    <row r="512" ht="15.75" customHeight="1">
      <c r="A512" s="37" t="s">
        <v>1967</v>
      </c>
      <c r="B512" s="38">
        <v>275.0</v>
      </c>
      <c r="C512" s="38" t="s">
        <v>181</v>
      </c>
      <c r="D512" s="39" t="s">
        <v>1968</v>
      </c>
      <c r="E512" s="38" t="s">
        <v>6</v>
      </c>
      <c r="F512" s="38">
        <v>2021.0</v>
      </c>
      <c r="G512" s="38" t="s">
        <v>124</v>
      </c>
      <c r="H512" s="38">
        <v>2028.0</v>
      </c>
      <c r="I512" s="38" t="s">
        <v>124</v>
      </c>
      <c r="J512" s="38" t="s">
        <v>28</v>
      </c>
      <c r="K512" s="40" t="s">
        <v>124</v>
      </c>
      <c r="L512" s="40"/>
      <c r="M512" s="40" t="s">
        <v>124</v>
      </c>
      <c r="N512" s="38" t="s">
        <v>136</v>
      </c>
      <c r="O512" s="41" t="s">
        <v>71</v>
      </c>
      <c r="P512" s="42" t="s">
        <v>1969</v>
      </c>
      <c r="Q512" s="38" t="s">
        <v>184</v>
      </c>
      <c r="R512" s="42" t="s">
        <v>1970</v>
      </c>
      <c r="S512" s="42" t="s">
        <v>1971</v>
      </c>
      <c r="T512" s="42" t="s">
        <v>124</v>
      </c>
      <c r="U512" s="42" t="s">
        <v>124</v>
      </c>
      <c r="V512" s="42" t="s">
        <v>124</v>
      </c>
      <c r="W512" s="42" t="s">
        <v>124</v>
      </c>
      <c r="X512" s="42" t="s">
        <v>124</v>
      </c>
      <c r="Y512" s="43" t="str">
        <f>IF(CCUS_Projects_Database!$R512&lt;&gt;"",HYPERLINK(CCUS_Projects_Database!$R512,"Link 1"),"")</f>
        <v>Link 1</v>
      </c>
      <c r="Z512" s="43" t="str">
        <f>IF(CCUS_Projects_Database!$S512&lt;&gt;"",HYPERLINK(CCUS_Projects_Database!$S512,"Link 2"),"")</f>
        <v>Link 2</v>
      </c>
      <c r="AA512" s="43" t="str">
        <f>IF(CCUS_Projects_Database!$T512&lt;&gt;"",HYPERLINK(CCUS_Projects_Database!$T512,"Link 3"),"")</f>
        <v/>
      </c>
      <c r="AB512" s="43" t="str">
        <f>IF(CCUS_Projects_Database!$U512&lt;&gt;"",HYPERLINK(CCUS_Projects_Database!$U512,"Link 4"),"")</f>
        <v/>
      </c>
      <c r="AC512" s="43" t="str">
        <f>IF(CCUS_Projects_Database!$V512&lt;&gt;"",HYPERLINK(CCUS_Projects_Database!$V512,"Link 5"),"")</f>
        <v/>
      </c>
      <c r="AD512" s="43" t="str">
        <f>IF(CCUS_Projects_Database!$W512&lt;&gt;"",HYPERLINK(CCUS_Projects_Database!$W512,"Link 6"),"")</f>
        <v/>
      </c>
      <c r="AE512" s="43" t="str">
        <f>IF(CCUS_Projects_Database!$X512&lt;&gt;"",HYPERLINK(CCUS_Projects_Database!$X512,"Link 7"),"")</f>
        <v/>
      </c>
    </row>
    <row r="513" ht="15.75" customHeight="1">
      <c r="A513" s="44" t="s">
        <v>1972</v>
      </c>
      <c r="B513" s="45">
        <v>23.0</v>
      </c>
      <c r="C513" s="45" t="s">
        <v>239</v>
      </c>
      <c r="D513" s="46" t="s">
        <v>1973</v>
      </c>
      <c r="E513" s="45" t="s">
        <v>16</v>
      </c>
      <c r="F513" s="45">
        <v>2021.0</v>
      </c>
      <c r="G513" s="45">
        <v>2024.0</v>
      </c>
      <c r="H513" s="45">
        <v>2026.0</v>
      </c>
      <c r="I513" s="45" t="s">
        <v>124</v>
      </c>
      <c r="J513" s="45" t="s">
        <v>28</v>
      </c>
      <c r="K513" s="47" t="s">
        <v>124</v>
      </c>
      <c r="L513" s="52">
        <v>0.25</v>
      </c>
      <c r="M513" s="47">
        <v>0.25</v>
      </c>
      <c r="N513" s="45" t="s">
        <v>64</v>
      </c>
      <c r="O513" s="48" t="s">
        <v>75</v>
      </c>
      <c r="P513" s="49" t="s">
        <v>124</v>
      </c>
      <c r="Q513" s="45" t="s">
        <v>143</v>
      </c>
      <c r="R513" s="49" t="s">
        <v>1974</v>
      </c>
      <c r="S513" s="49" t="s">
        <v>1975</v>
      </c>
      <c r="T513" s="49" t="s">
        <v>124</v>
      </c>
      <c r="U513" s="49" t="s">
        <v>124</v>
      </c>
      <c r="V513" s="49" t="s">
        <v>124</v>
      </c>
      <c r="W513" s="49" t="s">
        <v>124</v>
      </c>
      <c r="X513" s="49" t="s">
        <v>124</v>
      </c>
      <c r="Y513" s="50" t="str">
        <f>IF(CCUS_Projects_Database!$R513&lt;&gt;"",HYPERLINK(CCUS_Projects_Database!$R513,"Link 1"),"")</f>
        <v>Link 1</v>
      </c>
      <c r="Z513" s="50" t="str">
        <f>IF(CCUS_Projects_Database!$S513&lt;&gt;"",HYPERLINK(CCUS_Projects_Database!$S513,"Link 2"),"")</f>
        <v>Link 2</v>
      </c>
      <c r="AA513" s="50" t="str">
        <f>IF(CCUS_Projects_Database!$T513&lt;&gt;"",HYPERLINK(CCUS_Projects_Database!$T513,"Link 3"),"")</f>
        <v/>
      </c>
      <c r="AB513" s="50" t="str">
        <f>IF(CCUS_Projects_Database!$U513&lt;&gt;"",HYPERLINK(CCUS_Projects_Database!$U513,"Link 4"),"")</f>
        <v/>
      </c>
      <c r="AC513" s="50" t="str">
        <f>IF(CCUS_Projects_Database!$V513&lt;&gt;"",HYPERLINK(CCUS_Projects_Database!$V513,"Link 5"),"")</f>
        <v/>
      </c>
      <c r="AD513" s="50" t="str">
        <f>IF(CCUS_Projects_Database!$W513&lt;&gt;"",HYPERLINK(CCUS_Projects_Database!$W513,"Link 6"),"")</f>
        <v/>
      </c>
      <c r="AE513" s="50" t="str">
        <f>IF(CCUS_Projects_Database!$X513&lt;&gt;"",HYPERLINK(CCUS_Projects_Database!$X513,"Link 7"),"")</f>
        <v/>
      </c>
    </row>
    <row r="514" ht="15.75" customHeight="1">
      <c r="A514" s="37" t="s">
        <v>1976</v>
      </c>
      <c r="B514" s="38">
        <v>1135.0</v>
      </c>
      <c r="C514" s="38" t="s">
        <v>1099</v>
      </c>
      <c r="D514" s="39" t="s">
        <v>1977</v>
      </c>
      <c r="E514" s="38" t="s">
        <v>8</v>
      </c>
      <c r="F514" s="38">
        <v>2023.0</v>
      </c>
      <c r="G514" s="38" t="s">
        <v>124</v>
      </c>
      <c r="H514" s="38">
        <v>2030.0</v>
      </c>
      <c r="I514" s="38" t="s">
        <v>124</v>
      </c>
      <c r="J514" s="38" t="s">
        <v>28</v>
      </c>
      <c r="K514" s="40" t="s">
        <v>124</v>
      </c>
      <c r="L514" s="40"/>
      <c r="M514" s="40" t="s">
        <v>124</v>
      </c>
      <c r="N514" s="38" t="s">
        <v>58</v>
      </c>
      <c r="O514" s="41" t="s">
        <v>71</v>
      </c>
      <c r="P514" s="42" t="s">
        <v>1978</v>
      </c>
      <c r="Q514" s="38" t="s">
        <v>148</v>
      </c>
      <c r="R514" s="42" t="s">
        <v>1102</v>
      </c>
      <c r="S514" s="42" t="s">
        <v>124</v>
      </c>
      <c r="T514" s="42" t="s">
        <v>124</v>
      </c>
      <c r="U514" s="42" t="s">
        <v>124</v>
      </c>
      <c r="V514" s="42" t="s">
        <v>124</v>
      </c>
      <c r="W514" s="42" t="s">
        <v>124</v>
      </c>
      <c r="X514" s="42" t="s">
        <v>124</v>
      </c>
      <c r="Y514" s="43" t="str">
        <f>IF(CCUS_Projects_Database!$R514&lt;&gt;"",HYPERLINK(CCUS_Projects_Database!$R514,"Link 1"),"")</f>
        <v>Link 1</v>
      </c>
      <c r="Z514" s="43" t="str">
        <f>IF(CCUS_Projects_Database!$S514&lt;&gt;"",HYPERLINK(CCUS_Projects_Database!$S514,"Link 2"),"")</f>
        <v/>
      </c>
      <c r="AA514" s="43" t="str">
        <f>IF(CCUS_Projects_Database!$T514&lt;&gt;"",HYPERLINK(CCUS_Projects_Database!$T514,"Link 3"),"")</f>
        <v/>
      </c>
      <c r="AB514" s="43" t="str">
        <f>IF(CCUS_Projects_Database!$U514&lt;&gt;"",HYPERLINK(CCUS_Projects_Database!$U514,"Link 4"),"")</f>
        <v/>
      </c>
      <c r="AC514" s="43" t="str">
        <f>IF(CCUS_Projects_Database!$V514&lt;&gt;"",HYPERLINK(CCUS_Projects_Database!$V514,"Link 5"),"")</f>
        <v/>
      </c>
      <c r="AD514" s="43" t="str">
        <f>IF(CCUS_Projects_Database!$W514&lt;&gt;"",HYPERLINK(CCUS_Projects_Database!$W514,"Link 6"),"")</f>
        <v/>
      </c>
      <c r="AE514" s="43" t="str">
        <f>IF(CCUS_Projects_Database!$X514&lt;&gt;"",HYPERLINK(CCUS_Projects_Database!$X514,"Link 7"),"")</f>
        <v/>
      </c>
    </row>
    <row r="515" ht="15.75" customHeight="1">
      <c r="A515" s="44" t="s">
        <v>1979</v>
      </c>
      <c r="B515" s="45">
        <v>810.0</v>
      </c>
      <c r="C515" s="45" t="s">
        <v>1099</v>
      </c>
      <c r="D515" s="46" t="s">
        <v>1977</v>
      </c>
      <c r="E515" s="45" t="s">
        <v>14</v>
      </c>
      <c r="F515" s="45">
        <v>2023.0</v>
      </c>
      <c r="G515" s="45" t="s">
        <v>124</v>
      </c>
      <c r="H515" s="45">
        <v>2030.0</v>
      </c>
      <c r="I515" s="45" t="s">
        <v>124</v>
      </c>
      <c r="J515" s="45" t="s">
        <v>28</v>
      </c>
      <c r="K515" s="47" t="s">
        <v>124</v>
      </c>
      <c r="L515" s="52">
        <v>1.0</v>
      </c>
      <c r="M515" s="47">
        <v>1.0</v>
      </c>
      <c r="N515" s="45" t="s">
        <v>14</v>
      </c>
      <c r="O515" s="48" t="s">
        <v>71</v>
      </c>
      <c r="P515" s="49" t="s">
        <v>1978</v>
      </c>
      <c r="Q515" s="45" t="s">
        <v>148</v>
      </c>
      <c r="R515" s="49" t="s">
        <v>1102</v>
      </c>
      <c r="S515" s="49" t="s">
        <v>1980</v>
      </c>
      <c r="T515" s="49" t="s">
        <v>124</v>
      </c>
      <c r="U515" s="49" t="s">
        <v>124</v>
      </c>
      <c r="V515" s="49" t="s">
        <v>124</v>
      </c>
      <c r="W515" s="49" t="s">
        <v>124</v>
      </c>
      <c r="X515" s="49" t="s">
        <v>124</v>
      </c>
      <c r="Y515" s="50" t="str">
        <f>IF(CCUS_Projects_Database!$R515&lt;&gt;"",HYPERLINK(CCUS_Projects_Database!$R515,"Link 1"),"")</f>
        <v>Link 1</v>
      </c>
      <c r="Z515" s="50" t="str">
        <f>IF(CCUS_Projects_Database!$S515&lt;&gt;"",HYPERLINK(CCUS_Projects_Database!$S515,"Link 2"),"")</f>
        <v>Link 2</v>
      </c>
      <c r="AA515" s="50" t="str">
        <f>IF(CCUS_Projects_Database!$T515&lt;&gt;"",HYPERLINK(CCUS_Projects_Database!$T515,"Link 3"),"")</f>
        <v/>
      </c>
      <c r="AB515" s="50" t="str">
        <f>IF(CCUS_Projects_Database!$U515&lt;&gt;"",HYPERLINK(CCUS_Projects_Database!$U515,"Link 4"),"")</f>
        <v/>
      </c>
      <c r="AC515" s="50" t="str">
        <f>IF(CCUS_Projects_Database!$V515&lt;&gt;"",HYPERLINK(CCUS_Projects_Database!$V515,"Link 5"),"")</f>
        <v/>
      </c>
      <c r="AD515" s="50" t="str">
        <f>IF(CCUS_Projects_Database!$W515&lt;&gt;"",HYPERLINK(CCUS_Projects_Database!$W515,"Link 6"),"")</f>
        <v/>
      </c>
      <c r="AE515" s="50" t="str">
        <f>IF(CCUS_Projects_Database!$X515&lt;&gt;"",HYPERLINK(CCUS_Projects_Database!$X515,"Link 7"),"")</f>
        <v/>
      </c>
    </row>
    <row r="516" ht="15.75" customHeight="1">
      <c r="A516" s="37" t="s">
        <v>1981</v>
      </c>
      <c r="B516" s="38">
        <v>276.0</v>
      </c>
      <c r="C516" s="38" t="s">
        <v>181</v>
      </c>
      <c r="D516" s="39" t="s">
        <v>1982</v>
      </c>
      <c r="E516" s="38" t="s">
        <v>8</v>
      </c>
      <c r="F516" s="38">
        <v>2021.0</v>
      </c>
      <c r="G516" s="38" t="s">
        <v>124</v>
      </c>
      <c r="H516" s="38">
        <v>2025.0</v>
      </c>
      <c r="I516" s="38" t="s">
        <v>124</v>
      </c>
      <c r="J516" s="38" t="s">
        <v>28</v>
      </c>
      <c r="K516" s="40" t="s">
        <v>124</v>
      </c>
      <c r="L516" s="40"/>
      <c r="M516" s="40" t="s">
        <v>124</v>
      </c>
      <c r="N516" s="38" t="s">
        <v>136</v>
      </c>
      <c r="O516" s="41" t="s">
        <v>71</v>
      </c>
      <c r="P516" s="42" t="s">
        <v>818</v>
      </c>
      <c r="Q516" s="38" t="s">
        <v>184</v>
      </c>
      <c r="R516" s="42" t="s">
        <v>1983</v>
      </c>
      <c r="S516" s="42" t="s">
        <v>1984</v>
      </c>
      <c r="T516" s="42" t="s">
        <v>1985</v>
      </c>
      <c r="U516" s="42" t="s">
        <v>1986</v>
      </c>
      <c r="V516" s="42" t="s">
        <v>1987</v>
      </c>
      <c r="W516" s="42" t="s">
        <v>124</v>
      </c>
      <c r="X516" s="42" t="s">
        <v>124</v>
      </c>
      <c r="Y516" s="43" t="str">
        <f>IF(CCUS_Projects_Database!$R516&lt;&gt;"",HYPERLINK(CCUS_Projects_Database!$R516,"Link 1"),"")</f>
        <v>Link 1</v>
      </c>
      <c r="Z516" s="43" t="str">
        <f>IF(CCUS_Projects_Database!$S516&lt;&gt;"",HYPERLINK(CCUS_Projects_Database!$S516,"Link 2"),"")</f>
        <v>Link 2</v>
      </c>
      <c r="AA516" s="43" t="str">
        <f>IF(CCUS_Projects_Database!$T516&lt;&gt;"",HYPERLINK(CCUS_Projects_Database!$T516,"Link 3"),"")</f>
        <v>Link 3</v>
      </c>
      <c r="AB516" s="43" t="str">
        <f>IF(CCUS_Projects_Database!$U516&lt;&gt;"",HYPERLINK(CCUS_Projects_Database!$U516,"Link 4"),"")</f>
        <v>Link 4</v>
      </c>
      <c r="AC516" s="43" t="str">
        <f>IF(CCUS_Projects_Database!$V516&lt;&gt;"",HYPERLINK(CCUS_Projects_Database!$V516,"Link 5"),"")</f>
        <v>Link 5</v>
      </c>
      <c r="AD516" s="43" t="str">
        <f>IF(CCUS_Projects_Database!$W516&lt;&gt;"",HYPERLINK(CCUS_Projects_Database!$W516,"Link 6"),"")</f>
        <v/>
      </c>
      <c r="AE516" s="43" t="str">
        <f>IF(CCUS_Projects_Database!$X516&lt;&gt;"",HYPERLINK(CCUS_Projects_Database!$X516,"Link 7"),"")</f>
        <v/>
      </c>
    </row>
    <row r="517" ht="15.75" customHeight="1">
      <c r="A517" s="44" t="s">
        <v>1988</v>
      </c>
      <c r="B517" s="45">
        <v>835.0</v>
      </c>
      <c r="C517" s="45" t="s">
        <v>141</v>
      </c>
      <c r="D517" s="46" t="s">
        <v>1989</v>
      </c>
      <c r="E517" s="45" t="s">
        <v>12</v>
      </c>
      <c r="F517" s="45">
        <v>2023.0</v>
      </c>
      <c r="G517" s="45" t="s">
        <v>124</v>
      </c>
      <c r="H517" s="45">
        <v>2025.0</v>
      </c>
      <c r="I517" s="45" t="s">
        <v>124</v>
      </c>
      <c r="J517" s="45" t="s">
        <v>28</v>
      </c>
      <c r="K517" s="47" t="s">
        <v>124</v>
      </c>
      <c r="L517" s="47"/>
      <c r="M517" s="47" t="s">
        <v>124</v>
      </c>
      <c r="N517" s="45" t="s">
        <v>12</v>
      </c>
      <c r="O517" s="48" t="s">
        <v>71</v>
      </c>
      <c r="P517" s="49" t="s">
        <v>1990</v>
      </c>
      <c r="Q517" s="45" t="s">
        <v>143</v>
      </c>
      <c r="R517" s="49" t="s">
        <v>1991</v>
      </c>
      <c r="S517" s="49" t="s">
        <v>124</v>
      </c>
      <c r="T517" s="49" t="s">
        <v>124</v>
      </c>
      <c r="U517" s="49" t="s">
        <v>124</v>
      </c>
      <c r="V517" s="49" t="s">
        <v>124</v>
      </c>
      <c r="W517" s="49" t="s">
        <v>124</v>
      </c>
      <c r="X517" s="49" t="s">
        <v>124</v>
      </c>
      <c r="Y517" s="50" t="str">
        <f>IF(CCUS_Projects_Database!$R517&lt;&gt;"",HYPERLINK(CCUS_Projects_Database!$R517,"Link 1"),"")</f>
        <v>Link 1</v>
      </c>
      <c r="Z517" s="50" t="str">
        <f>IF(CCUS_Projects_Database!$S517&lt;&gt;"",HYPERLINK(CCUS_Projects_Database!$S517,"Link 2"),"")</f>
        <v/>
      </c>
      <c r="AA517" s="50" t="str">
        <f>IF(CCUS_Projects_Database!$T517&lt;&gt;"",HYPERLINK(CCUS_Projects_Database!$T517,"Link 3"),"")</f>
        <v/>
      </c>
      <c r="AB517" s="50" t="str">
        <f>IF(CCUS_Projects_Database!$U517&lt;&gt;"",HYPERLINK(CCUS_Projects_Database!$U517,"Link 4"),"")</f>
        <v/>
      </c>
      <c r="AC517" s="50" t="str">
        <f>IF(CCUS_Projects_Database!$V517&lt;&gt;"",HYPERLINK(CCUS_Projects_Database!$V517,"Link 5"),"")</f>
        <v/>
      </c>
      <c r="AD517" s="50" t="str">
        <f>IF(CCUS_Projects_Database!$W517&lt;&gt;"",HYPERLINK(CCUS_Projects_Database!$W517,"Link 6"),"")</f>
        <v/>
      </c>
      <c r="AE517" s="50" t="str">
        <f>IF(CCUS_Projects_Database!$X517&lt;&gt;"",HYPERLINK(CCUS_Projects_Database!$X517,"Link 7"),"")</f>
        <v/>
      </c>
    </row>
    <row r="518" ht="15.75" customHeight="1">
      <c r="A518" s="37" t="s">
        <v>1992</v>
      </c>
      <c r="B518" s="38">
        <v>277.0</v>
      </c>
      <c r="C518" s="38" t="s">
        <v>141</v>
      </c>
      <c r="D518" s="39" t="s">
        <v>1993</v>
      </c>
      <c r="E518" s="38" t="s">
        <v>6</v>
      </c>
      <c r="F518" s="38">
        <v>2020.0</v>
      </c>
      <c r="G518" s="38" t="s">
        <v>124</v>
      </c>
      <c r="H518" s="38">
        <v>2023.0</v>
      </c>
      <c r="I518" s="38" t="s">
        <v>124</v>
      </c>
      <c r="J518" s="38" t="s">
        <v>32</v>
      </c>
      <c r="K518" s="40" t="s">
        <v>124</v>
      </c>
      <c r="L518" s="51">
        <v>0.2</v>
      </c>
      <c r="M518" s="40">
        <v>0.2</v>
      </c>
      <c r="N518" s="38" t="s">
        <v>50</v>
      </c>
      <c r="O518" s="41" t="s">
        <v>71</v>
      </c>
      <c r="P518" s="42" t="s">
        <v>124</v>
      </c>
      <c r="Q518" s="38" t="s">
        <v>143</v>
      </c>
      <c r="R518" s="42" t="s">
        <v>1994</v>
      </c>
      <c r="S518" s="42" t="s">
        <v>1995</v>
      </c>
      <c r="T518" s="42" t="s">
        <v>1996</v>
      </c>
      <c r="U518" s="42" t="s">
        <v>1997</v>
      </c>
      <c r="V518" s="42" t="s">
        <v>124</v>
      </c>
      <c r="W518" s="42" t="s">
        <v>124</v>
      </c>
      <c r="X518" s="42" t="s">
        <v>124</v>
      </c>
      <c r="Y518" s="43" t="str">
        <f>IF(CCUS_Projects_Database!$R518&lt;&gt;"",HYPERLINK(CCUS_Projects_Database!$R518,"Link 1"),"")</f>
        <v>Link 1</v>
      </c>
      <c r="Z518" s="43" t="str">
        <f>IF(CCUS_Projects_Database!$S518&lt;&gt;"",HYPERLINK(CCUS_Projects_Database!$S518,"Link 2"),"")</f>
        <v>Link 2</v>
      </c>
      <c r="AA518" s="43" t="str">
        <f>IF(CCUS_Projects_Database!$T518&lt;&gt;"",HYPERLINK(CCUS_Projects_Database!$T518,"Link 3"),"")</f>
        <v>Link 3</v>
      </c>
      <c r="AB518" s="43" t="str">
        <f>IF(CCUS_Projects_Database!$U518&lt;&gt;"",HYPERLINK(CCUS_Projects_Database!$U518,"Link 4"),"")</f>
        <v>Link 4</v>
      </c>
      <c r="AC518" s="43" t="str">
        <f>IF(CCUS_Projects_Database!$V518&lt;&gt;"",HYPERLINK(CCUS_Projects_Database!$V518,"Link 5"),"")</f>
        <v/>
      </c>
      <c r="AD518" s="43" t="str">
        <f>IF(CCUS_Projects_Database!$W518&lt;&gt;"",HYPERLINK(CCUS_Projects_Database!$W518,"Link 6"),"")</f>
        <v/>
      </c>
      <c r="AE518" s="43" t="str">
        <f>IF(CCUS_Projects_Database!$X518&lt;&gt;"",HYPERLINK(CCUS_Projects_Database!$X518,"Link 7"),"")</f>
        <v/>
      </c>
    </row>
    <row r="519" ht="15.75" customHeight="1">
      <c r="A519" s="44" t="s">
        <v>1998</v>
      </c>
      <c r="B519" s="45">
        <v>278.0</v>
      </c>
      <c r="C519" s="45" t="s">
        <v>141</v>
      </c>
      <c r="D519" s="46" t="s">
        <v>1999</v>
      </c>
      <c r="E519" s="45" t="s">
        <v>14</v>
      </c>
      <c r="F519" s="45">
        <v>2021.0</v>
      </c>
      <c r="G519" s="45">
        <v>2024.0</v>
      </c>
      <c r="H519" s="45">
        <v>2025.0</v>
      </c>
      <c r="I519" s="45" t="s">
        <v>124</v>
      </c>
      <c r="J519" s="45" t="s">
        <v>28</v>
      </c>
      <c r="K519" s="47" t="s">
        <v>124</v>
      </c>
      <c r="L519" s="52">
        <v>12.0</v>
      </c>
      <c r="M519" s="47">
        <v>12.0</v>
      </c>
      <c r="N519" s="45" t="s">
        <v>14</v>
      </c>
      <c r="O519" s="48" t="s">
        <v>71</v>
      </c>
      <c r="P519" s="49" t="s">
        <v>567</v>
      </c>
      <c r="Q519" s="45" t="s">
        <v>143</v>
      </c>
      <c r="R519" s="49" t="s">
        <v>946</v>
      </c>
      <c r="S519" s="49" t="s">
        <v>947</v>
      </c>
      <c r="T519" s="49" t="s">
        <v>2000</v>
      </c>
      <c r="U519" s="49" t="s">
        <v>124</v>
      </c>
      <c r="V519" s="49" t="s">
        <v>124</v>
      </c>
      <c r="W519" s="49" t="s">
        <v>124</v>
      </c>
      <c r="X519" s="49" t="s">
        <v>124</v>
      </c>
      <c r="Y519" s="50" t="str">
        <f>IF(CCUS_Projects_Database!$R519&lt;&gt;"",HYPERLINK(CCUS_Projects_Database!$R519,"Link 1"),"")</f>
        <v>Link 1</v>
      </c>
      <c r="Z519" s="50" t="str">
        <f>IF(CCUS_Projects_Database!$S519&lt;&gt;"",HYPERLINK(CCUS_Projects_Database!$S519,"Link 2"),"")</f>
        <v>Link 2</v>
      </c>
      <c r="AA519" s="50" t="str">
        <f>IF(CCUS_Projects_Database!$T519&lt;&gt;"",HYPERLINK(CCUS_Projects_Database!$T519,"Link 3"),"")</f>
        <v>Link 3</v>
      </c>
      <c r="AB519" s="50" t="str">
        <f>IF(CCUS_Projects_Database!$U519&lt;&gt;"",HYPERLINK(CCUS_Projects_Database!$U519,"Link 4"),"")</f>
        <v/>
      </c>
      <c r="AC519" s="50" t="str">
        <f>IF(CCUS_Projects_Database!$V519&lt;&gt;"",HYPERLINK(CCUS_Projects_Database!$V519,"Link 5"),"")</f>
        <v/>
      </c>
      <c r="AD519" s="50" t="str">
        <f>IF(CCUS_Projects_Database!$W519&lt;&gt;"",HYPERLINK(CCUS_Projects_Database!$W519,"Link 6"),"")</f>
        <v/>
      </c>
      <c r="AE519" s="50" t="str">
        <f>IF(CCUS_Projects_Database!$X519&lt;&gt;"",HYPERLINK(CCUS_Projects_Database!$X519,"Link 7"),"")</f>
        <v/>
      </c>
    </row>
    <row r="520" ht="15.75" customHeight="1">
      <c r="A520" s="37" t="s">
        <v>2001</v>
      </c>
      <c r="B520" s="38">
        <v>279.0</v>
      </c>
      <c r="C520" s="38" t="s">
        <v>1099</v>
      </c>
      <c r="D520" s="39" t="s">
        <v>2002</v>
      </c>
      <c r="E520" s="38" t="s">
        <v>8</v>
      </c>
      <c r="F520" s="38">
        <v>2016.0</v>
      </c>
      <c r="G520" s="38">
        <v>2017.0</v>
      </c>
      <c r="H520" s="38">
        <v>2020.0</v>
      </c>
      <c r="I520" s="38" t="s">
        <v>124</v>
      </c>
      <c r="J520" s="38" t="s">
        <v>32</v>
      </c>
      <c r="K520" s="40" t="s">
        <v>124</v>
      </c>
      <c r="L520" s="51">
        <v>0.18</v>
      </c>
      <c r="M520" s="40">
        <v>0.18</v>
      </c>
      <c r="N520" s="38" t="s">
        <v>46</v>
      </c>
      <c r="O520" s="41" t="s">
        <v>77</v>
      </c>
      <c r="P520" s="42" t="s">
        <v>124</v>
      </c>
      <c r="Q520" s="38" t="s">
        <v>148</v>
      </c>
      <c r="R520" s="42" t="s">
        <v>2003</v>
      </c>
      <c r="S520" s="42" t="s">
        <v>2004</v>
      </c>
      <c r="T520" s="42" t="s">
        <v>2005</v>
      </c>
      <c r="U520" s="42" t="s">
        <v>2006</v>
      </c>
      <c r="V520" s="42" t="s">
        <v>124</v>
      </c>
      <c r="W520" s="42" t="s">
        <v>124</v>
      </c>
      <c r="X520" s="42" t="s">
        <v>124</v>
      </c>
      <c r="Y520" s="43" t="str">
        <f>IF(CCUS_Projects_Database!$R520&lt;&gt;"",HYPERLINK(CCUS_Projects_Database!$R520,"Link 1"),"")</f>
        <v>Link 1</v>
      </c>
      <c r="Z520" s="43" t="str">
        <f>IF(CCUS_Projects_Database!$S520&lt;&gt;"",HYPERLINK(CCUS_Projects_Database!$S520,"Link 2"),"")</f>
        <v>Link 2</v>
      </c>
      <c r="AA520" s="43" t="str">
        <f>IF(CCUS_Projects_Database!$T520&lt;&gt;"",HYPERLINK(CCUS_Projects_Database!$T520,"Link 3"),"")</f>
        <v>Link 3</v>
      </c>
      <c r="AB520" s="43" t="str">
        <f>IF(CCUS_Projects_Database!$U520&lt;&gt;"",HYPERLINK(CCUS_Projects_Database!$U520,"Link 4"),"")</f>
        <v>Link 4</v>
      </c>
      <c r="AC520" s="43" t="str">
        <f>IF(CCUS_Projects_Database!$V520&lt;&gt;"",HYPERLINK(CCUS_Projects_Database!$V520,"Link 5"),"")</f>
        <v/>
      </c>
      <c r="AD520" s="43" t="str">
        <f>IF(CCUS_Projects_Database!$W520&lt;&gt;"",HYPERLINK(CCUS_Projects_Database!$W520,"Link 6"),"")</f>
        <v/>
      </c>
      <c r="AE520" s="43" t="str">
        <f>IF(CCUS_Projects_Database!$X520&lt;&gt;"",HYPERLINK(CCUS_Projects_Database!$X520,"Link 7"),"")</f>
        <v/>
      </c>
    </row>
    <row r="521" ht="15.75" customHeight="1">
      <c r="A521" s="44" t="s">
        <v>2007</v>
      </c>
      <c r="B521" s="45">
        <v>631.0</v>
      </c>
      <c r="C521" s="45" t="s">
        <v>181</v>
      </c>
      <c r="D521" s="46" t="s">
        <v>2008</v>
      </c>
      <c r="E521" s="45" t="s">
        <v>16</v>
      </c>
      <c r="F521" s="45">
        <v>2021.0</v>
      </c>
      <c r="G521" s="45">
        <v>2023.0</v>
      </c>
      <c r="H521" s="45">
        <v>2024.0</v>
      </c>
      <c r="I521" s="45" t="s">
        <v>124</v>
      </c>
      <c r="J521" s="45" t="s">
        <v>30</v>
      </c>
      <c r="K521" s="47" t="s">
        <v>124</v>
      </c>
      <c r="L521" s="52">
        <v>0.3</v>
      </c>
      <c r="M521" s="47">
        <v>0.3</v>
      </c>
      <c r="N521" s="45" t="s">
        <v>60</v>
      </c>
      <c r="O521" s="48" t="s">
        <v>75</v>
      </c>
      <c r="P521" s="49" t="s">
        <v>124</v>
      </c>
      <c r="Q521" s="45" t="s">
        <v>184</v>
      </c>
      <c r="R521" s="49" t="s">
        <v>2009</v>
      </c>
      <c r="S521" s="49" t="s">
        <v>2010</v>
      </c>
      <c r="T521" s="49" t="s">
        <v>124</v>
      </c>
      <c r="U521" s="49" t="s">
        <v>124</v>
      </c>
      <c r="V521" s="49" t="s">
        <v>124</v>
      </c>
      <c r="W521" s="49" t="s">
        <v>124</v>
      </c>
      <c r="X521" s="49" t="s">
        <v>124</v>
      </c>
      <c r="Y521" s="50" t="str">
        <f>IF(CCUS_Projects_Database!$R521&lt;&gt;"",HYPERLINK(CCUS_Projects_Database!$R521,"Link 1"),"")</f>
        <v>Link 1</v>
      </c>
      <c r="Z521" s="50" t="str">
        <f>IF(CCUS_Projects_Database!$S521&lt;&gt;"",HYPERLINK(CCUS_Projects_Database!$S521,"Link 2"),"")</f>
        <v>Link 2</v>
      </c>
      <c r="AA521" s="50" t="str">
        <f>IF(CCUS_Projects_Database!$T521&lt;&gt;"",HYPERLINK(CCUS_Projects_Database!$T521,"Link 3"),"")</f>
        <v/>
      </c>
      <c r="AB521" s="50" t="str">
        <f>IF(CCUS_Projects_Database!$U521&lt;&gt;"",HYPERLINK(CCUS_Projects_Database!$U521,"Link 4"),"")</f>
        <v/>
      </c>
      <c r="AC521" s="50" t="str">
        <f>IF(CCUS_Projects_Database!$V521&lt;&gt;"",HYPERLINK(CCUS_Projects_Database!$V521,"Link 5"),"")</f>
        <v/>
      </c>
      <c r="AD521" s="50" t="str">
        <f>IF(CCUS_Projects_Database!$W521&lt;&gt;"",HYPERLINK(CCUS_Projects_Database!$W521,"Link 6"),"")</f>
        <v/>
      </c>
      <c r="AE521" s="50" t="str">
        <f>IF(CCUS_Projects_Database!$X521&lt;&gt;"",HYPERLINK(CCUS_Projects_Database!$X521,"Link 7"),"")</f>
        <v/>
      </c>
    </row>
    <row r="522" ht="15.75" customHeight="1">
      <c r="A522" s="37" t="s">
        <v>2011</v>
      </c>
      <c r="B522" s="38">
        <v>873.0</v>
      </c>
      <c r="C522" s="38" t="s">
        <v>141</v>
      </c>
      <c r="D522" s="39" t="s">
        <v>1402</v>
      </c>
      <c r="E522" s="38" t="s">
        <v>12</v>
      </c>
      <c r="F522" s="38">
        <v>2022.0</v>
      </c>
      <c r="G522" s="38" t="s">
        <v>124</v>
      </c>
      <c r="H522" s="38" t="s">
        <v>124</v>
      </c>
      <c r="I522" s="38" t="s">
        <v>124</v>
      </c>
      <c r="J522" s="38" t="s">
        <v>28</v>
      </c>
      <c r="K522" s="40" t="s">
        <v>124</v>
      </c>
      <c r="L522" s="40"/>
      <c r="M522" s="40" t="s">
        <v>124</v>
      </c>
      <c r="N522" s="38" t="s">
        <v>12</v>
      </c>
      <c r="O522" s="41" t="s">
        <v>77</v>
      </c>
      <c r="P522" s="42" t="s">
        <v>1403</v>
      </c>
      <c r="Q522" s="38" t="s">
        <v>143</v>
      </c>
      <c r="R522" s="42" t="s">
        <v>194</v>
      </c>
      <c r="S522" s="42" t="s">
        <v>124</v>
      </c>
      <c r="T522" s="42" t="s">
        <v>124</v>
      </c>
      <c r="U522" s="42" t="s">
        <v>124</v>
      </c>
      <c r="V522" s="42" t="s">
        <v>124</v>
      </c>
      <c r="W522" s="42" t="s">
        <v>124</v>
      </c>
      <c r="X522" s="42" t="s">
        <v>124</v>
      </c>
      <c r="Y522" s="43" t="str">
        <f>IF(CCUS_Projects_Database!$R522&lt;&gt;"",HYPERLINK(CCUS_Projects_Database!$R522,"Link 1"),"")</f>
        <v>Link 1</v>
      </c>
      <c r="Z522" s="43" t="str">
        <f>IF(CCUS_Projects_Database!$S522&lt;&gt;"",HYPERLINK(CCUS_Projects_Database!$S522,"Link 2"),"")</f>
        <v/>
      </c>
      <c r="AA522" s="43" t="str">
        <f>IF(CCUS_Projects_Database!$T522&lt;&gt;"",HYPERLINK(CCUS_Projects_Database!$T522,"Link 3"),"")</f>
        <v/>
      </c>
      <c r="AB522" s="43" t="str">
        <f>IF(CCUS_Projects_Database!$U522&lt;&gt;"",HYPERLINK(CCUS_Projects_Database!$U522,"Link 4"),"")</f>
        <v/>
      </c>
      <c r="AC522" s="43" t="str">
        <f>IF(CCUS_Projects_Database!$V522&lt;&gt;"",HYPERLINK(CCUS_Projects_Database!$V522,"Link 5"),"")</f>
        <v/>
      </c>
      <c r="AD522" s="43" t="str">
        <f>IF(CCUS_Projects_Database!$W522&lt;&gt;"",HYPERLINK(CCUS_Projects_Database!$W522,"Link 6"),"")</f>
        <v/>
      </c>
      <c r="AE522" s="43" t="str">
        <f>IF(CCUS_Projects_Database!$X522&lt;&gt;"",HYPERLINK(CCUS_Projects_Database!$X522,"Link 7"),"")</f>
        <v/>
      </c>
    </row>
    <row r="523" ht="15.75" customHeight="1">
      <c r="A523" s="44" t="s">
        <v>2012</v>
      </c>
      <c r="B523" s="45">
        <v>1124.0</v>
      </c>
      <c r="C523" s="45" t="s">
        <v>239</v>
      </c>
      <c r="D523" s="46" t="s">
        <v>1150</v>
      </c>
      <c r="E523" s="45" t="s">
        <v>8</v>
      </c>
      <c r="F523" s="45">
        <v>2022.0</v>
      </c>
      <c r="G523" s="45" t="s">
        <v>124</v>
      </c>
      <c r="H523" s="45" t="s">
        <v>124</v>
      </c>
      <c r="I523" s="45" t="s">
        <v>124</v>
      </c>
      <c r="J523" s="45" t="s">
        <v>28</v>
      </c>
      <c r="K523" s="47" t="s">
        <v>124</v>
      </c>
      <c r="L523" s="47"/>
      <c r="M523" s="47" t="s">
        <v>124</v>
      </c>
      <c r="N523" s="45" t="s">
        <v>50</v>
      </c>
      <c r="O523" s="48" t="s">
        <v>77</v>
      </c>
      <c r="P523" s="49" t="s">
        <v>124</v>
      </c>
      <c r="Q523" s="45" t="s">
        <v>143</v>
      </c>
      <c r="R523" s="49" t="s">
        <v>2013</v>
      </c>
      <c r="S523" s="49" t="s">
        <v>124</v>
      </c>
      <c r="T523" s="49" t="s">
        <v>124</v>
      </c>
      <c r="U523" s="49" t="s">
        <v>124</v>
      </c>
      <c r="V523" s="49" t="s">
        <v>124</v>
      </c>
      <c r="W523" s="49" t="s">
        <v>124</v>
      </c>
      <c r="X523" s="49" t="s">
        <v>124</v>
      </c>
      <c r="Y523" s="50" t="str">
        <f>IF(CCUS_Projects_Database!$R523&lt;&gt;"",HYPERLINK(CCUS_Projects_Database!$R523,"Link 1"),"")</f>
        <v>Link 1</v>
      </c>
      <c r="Z523" s="50" t="str">
        <f>IF(CCUS_Projects_Database!$S523&lt;&gt;"",HYPERLINK(CCUS_Projects_Database!$S523,"Link 2"),"")</f>
        <v/>
      </c>
      <c r="AA523" s="50" t="str">
        <f>IF(CCUS_Projects_Database!$T523&lt;&gt;"",HYPERLINK(CCUS_Projects_Database!$T523,"Link 3"),"")</f>
        <v/>
      </c>
      <c r="AB523" s="50" t="str">
        <f>IF(CCUS_Projects_Database!$U523&lt;&gt;"",HYPERLINK(CCUS_Projects_Database!$U523,"Link 4"),"")</f>
        <v/>
      </c>
      <c r="AC523" s="50" t="str">
        <f>IF(CCUS_Projects_Database!$V523&lt;&gt;"",HYPERLINK(CCUS_Projects_Database!$V523,"Link 5"),"")</f>
        <v/>
      </c>
      <c r="AD523" s="50" t="str">
        <f>IF(CCUS_Projects_Database!$W523&lt;&gt;"",HYPERLINK(CCUS_Projects_Database!$W523,"Link 6"),"")</f>
        <v/>
      </c>
      <c r="AE523" s="50" t="str">
        <f>IF(CCUS_Projects_Database!$X523&lt;&gt;"",HYPERLINK(CCUS_Projects_Database!$X523,"Link 7"),"")</f>
        <v/>
      </c>
    </row>
    <row r="524" ht="15.75" customHeight="1">
      <c r="A524" s="37" t="s">
        <v>2014</v>
      </c>
      <c r="B524" s="38">
        <v>736.0</v>
      </c>
      <c r="C524" s="38" t="s">
        <v>2015</v>
      </c>
      <c r="D524" s="39" t="s">
        <v>2016</v>
      </c>
      <c r="E524" s="38" t="s">
        <v>8</v>
      </c>
      <c r="F524" s="38" t="s">
        <v>124</v>
      </c>
      <c r="G524" s="38" t="s">
        <v>124</v>
      </c>
      <c r="H524" s="38">
        <v>2024.0</v>
      </c>
      <c r="I524" s="38" t="s">
        <v>124</v>
      </c>
      <c r="J524" s="38" t="s">
        <v>28</v>
      </c>
      <c r="K524" s="40" t="s">
        <v>124</v>
      </c>
      <c r="L524" s="51">
        <v>0.0</v>
      </c>
      <c r="M524" s="40">
        <v>0.002</v>
      </c>
      <c r="N524" s="38" t="s">
        <v>64</v>
      </c>
      <c r="O524" s="41" t="s">
        <v>71</v>
      </c>
      <c r="P524" s="42" t="s">
        <v>124</v>
      </c>
      <c r="Q524" s="38" t="s">
        <v>137</v>
      </c>
      <c r="R524" s="42" t="s">
        <v>2017</v>
      </c>
      <c r="S524" s="42" t="s">
        <v>124</v>
      </c>
      <c r="T524" s="42" t="s">
        <v>124</v>
      </c>
      <c r="U524" s="42" t="s">
        <v>124</v>
      </c>
      <c r="V524" s="42" t="s">
        <v>124</v>
      </c>
      <c r="W524" s="42" t="s">
        <v>124</v>
      </c>
      <c r="X524" s="42" t="s">
        <v>124</v>
      </c>
      <c r="Y524" s="43" t="str">
        <f>IF(CCUS_Projects_Database!$R524&lt;&gt;"",HYPERLINK(CCUS_Projects_Database!$R524,"Link 1"),"")</f>
        <v>Link 1</v>
      </c>
      <c r="Z524" s="43" t="str">
        <f>IF(CCUS_Projects_Database!$S524&lt;&gt;"",HYPERLINK(CCUS_Projects_Database!$S524,"Link 2"),"")</f>
        <v/>
      </c>
      <c r="AA524" s="43" t="str">
        <f>IF(CCUS_Projects_Database!$T524&lt;&gt;"",HYPERLINK(CCUS_Projects_Database!$T524,"Link 3"),"")</f>
        <v/>
      </c>
      <c r="AB524" s="43" t="str">
        <f>IF(CCUS_Projects_Database!$U524&lt;&gt;"",HYPERLINK(CCUS_Projects_Database!$U524,"Link 4"),"")</f>
        <v/>
      </c>
      <c r="AC524" s="43" t="str">
        <f>IF(CCUS_Projects_Database!$V524&lt;&gt;"",HYPERLINK(CCUS_Projects_Database!$V524,"Link 5"),"")</f>
        <v/>
      </c>
      <c r="AD524" s="43" t="str">
        <f>IF(CCUS_Projects_Database!$W524&lt;&gt;"",HYPERLINK(CCUS_Projects_Database!$W524,"Link 6"),"")</f>
        <v/>
      </c>
      <c r="AE524" s="43" t="str">
        <f>IF(CCUS_Projects_Database!$X524&lt;&gt;"",HYPERLINK(CCUS_Projects_Database!$X524,"Link 7"),"")</f>
        <v/>
      </c>
    </row>
    <row r="525" ht="15.75" customHeight="1">
      <c r="A525" s="44" t="s">
        <v>2018</v>
      </c>
      <c r="B525" s="45">
        <v>715.0</v>
      </c>
      <c r="C525" s="45" t="s">
        <v>141</v>
      </c>
      <c r="D525" s="46" t="s">
        <v>2019</v>
      </c>
      <c r="E525" s="45" t="s">
        <v>12</v>
      </c>
      <c r="F525" s="45">
        <v>2023.0</v>
      </c>
      <c r="G525" s="45" t="s">
        <v>124</v>
      </c>
      <c r="H525" s="45" t="s">
        <v>124</v>
      </c>
      <c r="I525" s="45" t="s">
        <v>124</v>
      </c>
      <c r="J525" s="45" t="s">
        <v>28</v>
      </c>
      <c r="K525" s="47" t="s">
        <v>124</v>
      </c>
      <c r="L525" s="52">
        <v>1.667</v>
      </c>
      <c r="M525" s="47">
        <v>1.667</v>
      </c>
      <c r="N525" s="45" t="s">
        <v>12</v>
      </c>
      <c r="O525" s="48" t="s">
        <v>71</v>
      </c>
      <c r="P525" s="49" t="s">
        <v>1567</v>
      </c>
      <c r="Q525" s="45" t="s">
        <v>143</v>
      </c>
      <c r="R525" s="49" t="s">
        <v>613</v>
      </c>
      <c r="S525" s="49" t="s">
        <v>124</v>
      </c>
      <c r="T525" s="49" t="s">
        <v>124</v>
      </c>
      <c r="U525" s="49" t="s">
        <v>124</v>
      </c>
      <c r="V525" s="49" t="s">
        <v>124</v>
      </c>
      <c r="W525" s="49" t="s">
        <v>124</v>
      </c>
      <c r="X525" s="49" t="s">
        <v>124</v>
      </c>
      <c r="Y525" s="50" t="str">
        <f>IF(CCUS_Projects_Database!$R525&lt;&gt;"",HYPERLINK(CCUS_Projects_Database!$R525,"Link 1"),"")</f>
        <v>Link 1</v>
      </c>
      <c r="Z525" s="50" t="str">
        <f>IF(CCUS_Projects_Database!$S525&lt;&gt;"",HYPERLINK(CCUS_Projects_Database!$S525,"Link 2"),"")</f>
        <v/>
      </c>
      <c r="AA525" s="50" t="str">
        <f>IF(CCUS_Projects_Database!$T525&lt;&gt;"",HYPERLINK(CCUS_Projects_Database!$T525,"Link 3"),"")</f>
        <v/>
      </c>
      <c r="AB525" s="50" t="str">
        <f>IF(CCUS_Projects_Database!$U525&lt;&gt;"",HYPERLINK(CCUS_Projects_Database!$U525,"Link 4"),"")</f>
        <v/>
      </c>
      <c r="AC525" s="50" t="str">
        <f>IF(CCUS_Projects_Database!$V525&lt;&gt;"",HYPERLINK(CCUS_Projects_Database!$V525,"Link 5"),"")</f>
        <v/>
      </c>
      <c r="AD525" s="50" t="str">
        <f>IF(CCUS_Projects_Database!$W525&lt;&gt;"",HYPERLINK(CCUS_Projects_Database!$W525,"Link 6"),"")</f>
        <v/>
      </c>
      <c r="AE525" s="50" t="str">
        <f>IF(CCUS_Projects_Database!$X525&lt;&gt;"",HYPERLINK(CCUS_Projects_Database!$X525,"Link 7"),"")</f>
        <v/>
      </c>
    </row>
    <row r="526" ht="15.75" customHeight="1">
      <c r="A526" s="37" t="s">
        <v>2020</v>
      </c>
      <c r="B526" s="38">
        <v>669.0</v>
      </c>
      <c r="C526" s="38" t="s">
        <v>481</v>
      </c>
      <c r="D526" s="39" t="s">
        <v>2021</v>
      </c>
      <c r="E526" s="38" t="s">
        <v>6</v>
      </c>
      <c r="F526" s="38"/>
      <c r="G526" s="38" t="s">
        <v>124</v>
      </c>
      <c r="H526" s="38">
        <v>1992.0</v>
      </c>
      <c r="I526" s="38" t="s">
        <v>124</v>
      </c>
      <c r="J526" s="38" t="s">
        <v>32</v>
      </c>
      <c r="K526" s="40" t="s">
        <v>124</v>
      </c>
      <c r="L526" s="51">
        <v>0.16</v>
      </c>
      <c r="M526" s="40">
        <v>0.16</v>
      </c>
      <c r="N526" s="38" t="s">
        <v>48</v>
      </c>
      <c r="O526" s="41" t="s">
        <v>73</v>
      </c>
      <c r="P526" s="42" t="s">
        <v>124</v>
      </c>
      <c r="Q526" s="38" t="s">
        <v>125</v>
      </c>
      <c r="R526" s="42" t="s">
        <v>2022</v>
      </c>
      <c r="S526" s="42" t="s">
        <v>124</v>
      </c>
      <c r="T526" s="42" t="s">
        <v>124</v>
      </c>
      <c r="U526" s="42" t="s">
        <v>124</v>
      </c>
      <c r="V526" s="42" t="s">
        <v>124</v>
      </c>
      <c r="W526" s="42" t="s">
        <v>124</v>
      </c>
      <c r="X526" s="42" t="s">
        <v>124</v>
      </c>
      <c r="Y526" s="43" t="str">
        <f>IF(CCUS_Projects_Database!$R526&lt;&gt;"",HYPERLINK(CCUS_Projects_Database!$R526,"Link 1"),"")</f>
        <v>Link 1</v>
      </c>
      <c r="Z526" s="43" t="str">
        <f>IF(CCUS_Projects_Database!$S526&lt;&gt;"",HYPERLINK(CCUS_Projects_Database!$S526,"Link 2"),"")</f>
        <v/>
      </c>
      <c r="AA526" s="43" t="str">
        <f>IF(CCUS_Projects_Database!$T526&lt;&gt;"",HYPERLINK(CCUS_Projects_Database!$T526,"Link 3"),"")</f>
        <v/>
      </c>
      <c r="AB526" s="43" t="str">
        <f>IF(CCUS_Projects_Database!$U526&lt;&gt;"",HYPERLINK(CCUS_Projects_Database!$U526,"Link 4"),"")</f>
        <v/>
      </c>
      <c r="AC526" s="43" t="str">
        <f>IF(CCUS_Projects_Database!$V526&lt;&gt;"",HYPERLINK(CCUS_Projects_Database!$V526,"Link 5"),"")</f>
        <v/>
      </c>
      <c r="AD526" s="43" t="str">
        <f>IF(CCUS_Projects_Database!$W526&lt;&gt;"",HYPERLINK(CCUS_Projects_Database!$W526,"Link 6"),"")</f>
        <v/>
      </c>
      <c r="AE526" s="43" t="str">
        <f>IF(CCUS_Projects_Database!$X526&lt;&gt;"",HYPERLINK(CCUS_Projects_Database!$X526,"Link 7"),"")</f>
        <v/>
      </c>
    </row>
    <row r="527" ht="15.75" customHeight="1">
      <c r="A527" s="44" t="s">
        <v>2023</v>
      </c>
      <c r="B527" s="45">
        <v>978.0</v>
      </c>
      <c r="C527" s="45" t="s">
        <v>141</v>
      </c>
      <c r="D527" s="46" t="s">
        <v>2024</v>
      </c>
      <c r="E527" s="45" t="s">
        <v>12</v>
      </c>
      <c r="F527" s="45">
        <v>2023.0</v>
      </c>
      <c r="G527" s="45" t="s">
        <v>124</v>
      </c>
      <c r="H527" s="45" t="s">
        <v>124</v>
      </c>
      <c r="I527" s="45" t="s">
        <v>124</v>
      </c>
      <c r="J527" s="45" t="s">
        <v>28</v>
      </c>
      <c r="K527" s="47" t="s">
        <v>124</v>
      </c>
      <c r="L527" s="47"/>
      <c r="M527" s="47" t="s">
        <v>124</v>
      </c>
      <c r="N527" s="45" t="s">
        <v>12</v>
      </c>
      <c r="O527" s="48" t="s">
        <v>71</v>
      </c>
      <c r="P527" s="49" t="s">
        <v>2023</v>
      </c>
      <c r="Q527" s="45" t="s">
        <v>143</v>
      </c>
      <c r="R527" s="49" t="s">
        <v>155</v>
      </c>
      <c r="S527" s="49" t="s">
        <v>124</v>
      </c>
      <c r="T527" s="49" t="s">
        <v>124</v>
      </c>
      <c r="U527" s="49" t="s">
        <v>124</v>
      </c>
      <c r="V527" s="49" t="s">
        <v>124</v>
      </c>
      <c r="W527" s="49" t="s">
        <v>124</v>
      </c>
      <c r="X527" s="49" t="s">
        <v>124</v>
      </c>
      <c r="Y527" s="50" t="str">
        <f>IF(CCUS_Projects_Database!$R527&lt;&gt;"",HYPERLINK(CCUS_Projects_Database!$R527,"Link 1"),"")</f>
        <v>Link 1</v>
      </c>
      <c r="Z527" s="50" t="str">
        <f>IF(CCUS_Projects_Database!$S527&lt;&gt;"",HYPERLINK(CCUS_Projects_Database!$S527,"Link 2"),"")</f>
        <v/>
      </c>
      <c r="AA527" s="50" t="str">
        <f>IF(CCUS_Projects_Database!$T527&lt;&gt;"",HYPERLINK(CCUS_Projects_Database!$T527,"Link 3"),"")</f>
        <v/>
      </c>
      <c r="AB527" s="50" t="str">
        <f>IF(CCUS_Projects_Database!$U527&lt;&gt;"",HYPERLINK(CCUS_Projects_Database!$U527,"Link 4"),"")</f>
        <v/>
      </c>
      <c r="AC527" s="50" t="str">
        <f>IF(CCUS_Projects_Database!$V527&lt;&gt;"",HYPERLINK(CCUS_Projects_Database!$V527,"Link 5"),"")</f>
        <v/>
      </c>
      <c r="AD527" s="50" t="str">
        <f>IF(CCUS_Projects_Database!$W527&lt;&gt;"",HYPERLINK(CCUS_Projects_Database!$W527,"Link 6"),"")</f>
        <v/>
      </c>
      <c r="AE527" s="50" t="str">
        <f>IF(CCUS_Projects_Database!$X527&lt;&gt;"",HYPERLINK(CCUS_Projects_Database!$X527,"Link 7"),"")</f>
        <v/>
      </c>
    </row>
    <row r="528" ht="15.75" customHeight="1">
      <c r="A528" s="37" t="s">
        <v>2025</v>
      </c>
      <c r="B528" s="38">
        <v>1085.0</v>
      </c>
      <c r="C528" s="38" t="s">
        <v>141</v>
      </c>
      <c r="D528" s="39" t="s">
        <v>2026</v>
      </c>
      <c r="E528" s="38" t="s">
        <v>16</v>
      </c>
      <c r="F528" s="38">
        <v>2023.0</v>
      </c>
      <c r="G528" s="38" t="s">
        <v>124</v>
      </c>
      <c r="H528" s="38" t="s">
        <v>124</v>
      </c>
      <c r="I528" s="38" t="s">
        <v>124</v>
      </c>
      <c r="J528" s="38" t="s">
        <v>28</v>
      </c>
      <c r="K528" s="40" t="s">
        <v>124</v>
      </c>
      <c r="L528" s="51">
        <v>0.14</v>
      </c>
      <c r="M528" s="40">
        <v>0.14</v>
      </c>
      <c r="N528" s="38" t="s">
        <v>50</v>
      </c>
      <c r="O528" s="41" t="s">
        <v>75</v>
      </c>
      <c r="P528" s="42" t="s">
        <v>124</v>
      </c>
      <c r="Q528" s="38" t="s">
        <v>143</v>
      </c>
      <c r="R528" s="42" t="s">
        <v>2027</v>
      </c>
      <c r="S528" s="42" t="s">
        <v>2028</v>
      </c>
      <c r="T528" s="42" t="s">
        <v>124</v>
      </c>
      <c r="U528" s="42" t="s">
        <v>124</v>
      </c>
      <c r="V528" s="42" t="s">
        <v>124</v>
      </c>
      <c r="W528" s="42" t="s">
        <v>124</v>
      </c>
      <c r="X528" s="42" t="s">
        <v>124</v>
      </c>
      <c r="Y528" s="43" t="str">
        <f>IF(CCUS_Projects_Database!$R528&lt;&gt;"",HYPERLINK(CCUS_Projects_Database!$R528,"Link 1"),"")</f>
        <v>Link 1</v>
      </c>
      <c r="Z528" s="43" t="str">
        <f>IF(CCUS_Projects_Database!$S528&lt;&gt;"",HYPERLINK(CCUS_Projects_Database!$S528,"Link 2"),"")</f>
        <v>Link 2</v>
      </c>
      <c r="AA528" s="43" t="str">
        <f>IF(CCUS_Projects_Database!$T528&lt;&gt;"",HYPERLINK(CCUS_Projects_Database!$T528,"Link 3"),"")</f>
        <v/>
      </c>
      <c r="AB528" s="43" t="str">
        <f>IF(CCUS_Projects_Database!$U528&lt;&gt;"",HYPERLINK(CCUS_Projects_Database!$U528,"Link 4"),"")</f>
        <v/>
      </c>
      <c r="AC528" s="43" t="str">
        <f>IF(CCUS_Projects_Database!$V528&lt;&gt;"",HYPERLINK(CCUS_Projects_Database!$V528,"Link 5"),"")</f>
        <v/>
      </c>
      <c r="AD528" s="43" t="str">
        <f>IF(CCUS_Projects_Database!$W528&lt;&gt;"",HYPERLINK(CCUS_Projects_Database!$W528,"Link 6"),"")</f>
        <v/>
      </c>
      <c r="AE528" s="43" t="str">
        <f>IF(CCUS_Projects_Database!$X528&lt;&gt;"",HYPERLINK(CCUS_Projects_Database!$X528,"Link 7"),"")</f>
        <v/>
      </c>
    </row>
    <row r="529" ht="15.75" customHeight="1">
      <c r="A529" s="44" t="s">
        <v>2029</v>
      </c>
      <c r="B529" s="45">
        <v>901.0</v>
      </c>
      <c r="C529" s="45" t="s">
        <v>141</v>
      </c>
      <c r="D529" s="46" t="s">
        <v>2030</v>
      </c>
      <c r="E529" s="45" t="s">
        <v>14</v>
      </c>
      <c r="F529" s="45">
        <v>2023.0</v>
      </c>
      <c r="G529" s="45" t="s">
        <v>124</v>
      </c>
      <c r="H529" s="45" t="s">
        <v>124</v>
      </c>
      <c r="I529" s="45" t="s">
        <v>124</v>
      </c>
      <c r="J529" s="45" t="s">
        <v>28</v>
      </c>
      <c r="K529" s="47" t="s">
        <v>124</v>
      </c>
      <c r="L529" s="52">
        <v>1.0</v>
      </c>
      <c r="M529" s="47">
        <v>1.0</v>
      </c>
      <c r="N529" s="45" t="s">
        <v>14</v>
      </c>
      <c r="O529" s="48" t="s">
        <v>71</v>
      </c>
      <c r="P529" s="49" t="s">
        <v>124</v>
      </c>
      <c r="Q529" s="45" t="s">
        <v>143</v>
      </c>
      <c r="R529" s="49" t="s">
        <v>2031</v>
      </c>
      <c r="S529" s="49" t="s">
        <v>124</v>
      </c>
      <c r="T529" s="49" t="s">
        <v>124</v>
      </c>
      <c r="U529" s="49" t="s">
        <v>124</v>
      </c>
      <c r="V529" s="49" t="s">
        <v>124</v>
      </c>
      <c r="W529" s="49" t="s">
        <v>124</v>
      </c>
      <c r="X529" s="49" t="s">
        <v>124</v>
      </c>
      <c r="Y529" s="50" t="str">
        <f>IF(CCUS_Projects_Database!$R529&lt;&gt;"",HYPERLINK(CCUS_Projects_Database!$R529,"Link 1"),"")</f>
        <v>Link 1</v>
      </c>
      <c r="Z529" s="50" t="str">
        <f>IF(CCUS_Projects_Database!$S529&lt;&gt;"",HYPERLINK(CCUS_Projects_Database!$S529,"Link 2"),"")</f>
        <v/>
      </c>
      <c r="AA529" s="50" t="str">
        <f>IF(CCUS_Projects_Database!$T529&lt;&gt;"",HYPERLINK(CCUS_Projects_Database!$T529,"Link 3"),"")</f>
        <v/>
      </c>
      <c r="AB529" s="50" t="str">
        <f>IF(CCUS_Projects_Database!$U529&lt;&gt;"",HYPERLINK(CCUS_Projects_Database!$U529,"Link 4"),"")</f>
        <v/>
      </c>
      <c r="AC529" s="50" t="str">
        <f>IF(CCUS_Projects_Database!$V529&lt;&gt;"",HYPERLINK(CCUS_Projects_Database!$V529,"Link 5"),"")</f>
        <v/>
      </c>
      <c r="AD529" s="50" t="str">
        <f>IF(CCUS_Projects_Database!$W529&lt;&gt;"",HYPERLINK(CCUS_Projects_Database!$W529,"Link 6"),"")</f>
        <v/>
      </c>
      <c r="AE529" s="50" t="str">
        <f>IF(CCUS_Projects_Database!$X529&lt;&gt;"",HYPERLINK(CCUS_Projects_Database!$X529,"Link 7"),"")</f>
        <v/>
      </c>
    </row>
    <row r="530" ht="15.75" customHeight="1">
      <c r="A530" s="37" t="s">
        <v>2032</v>
      </c>
      <c r="B530" s="38">
        <v>358.0</v>
      </c>
      <c r="C530" s="38" t="s">
        <v>181</v>
      </c>
      <c r="D530" s="39" t="s">
        <v>2033</v>
      </c>
      <c r="E530" s="38" t="s">
        <v>6</v>
      </c>
      <c r="F530" s="38">
        <v>2019.0</v>
      </c>
      <c r="G530" s="38">
        <v>2021.0</v>
      </c>
      <c r="H530" s="38">
        <v>2024.0</v>
      </c>
      <c r="I530" s="38" t="s">
        <v>124</v>
      </c>
      <c r="J530" s="38" t="s">
        <v>30</v>
      </c>
      <c r="K530" s="40">
        <v>1.0</v>
      </c>
      <c r="L530" s="51">
        <v>1.7</v>
      </c>
      <c r="M530" s="40">
        <v>1.7</v>
      </c>
      <c r="N530" s="38" t="s">
        <v>48</v>
      </c>
      <c r="O530" s="41" t="s">
        <v>71</v>
      </c>
      <c r="P530" s="42" t="s">
        <v>2034</v>
      </c>
      <c r="Q530" s="38" t="s">
        <v>184</v>
      </c>
      <c r="R530" s="42" t="s">
        <v>2035</v>
      </c>
      <c r="S530" s="42" t="s">
        <v>2036</v>
      </c>
      <c r="T530" s="42" t="s">
        <v>456</v>
      </c>
      <c r="U530" s="42" t="s">
        <v>2037</v>
      </c>
      <c r="V530" s="42" t="s">
        <v>2038</v>
      </c>
      <c r="W530" s="42" t="s">
        <v>2039</v>
      </c>
      <c r="X530" s="42" t="s">
        <v>124</v>
      </c>
      <c r="Y530" s="43" t="str">
        <f>IF(CCUS_Projects_Database!$R530&lt;&gt;"",HYPERLINK(CCUS_Projects_Database!$R530,"Link 1"),"")</f>
        <v>Link 1</v>
      </c>
      <c r="Z530" s="43" t="str">
        <f>IF(CCUS_Projects_Database!$S530&lt;&gt;"",HYPERLINK(CCUS_Projects_Database!$S530,"Link 2"),"")</f>
        <v>Link 2</v>
      </c>
      <c r="AA530" s="43" t="str">
        <f>IF(CCUS_Projects_Database!$T530&lt;&gt;"",HYPERLINK(CCUS_Projects_Database!$T530,"Link 3"),"")</f>
        <v>Link 3</v>
      </c>
      <c r="AB530" s="43" t="str">
        <f>IF(CCUS_Projects_Database!$U530&lt;&gt;"",HYPERLINK(CCUS_Projects_Database!$U530,"Link 4"),"")</f>
        <v>Link 4</v>
      </c>
      <c r="AC530" s="43" t="str">
        <f>IF(CCUS_Projects_Database!$V530&lt;&gt;"",HYPERLINK(CCUS_Projects_Database!$V530,"Link 5"),"")</f>
        <v>Link 5</v>
      </c>
      <c r="AD530" s="43" t="str">
        <f>IF(CCUS_Projects_Database!$W530&lt;&gt;"",HYPERLINK(CCUS_Projects_Database!$W530,"Link 6"),"")</f>
        <v>Link 6</v>
      </c>
      <c r="AE530" s="43" t="str">
        <f>IF(CCUS_Projects_Database!$X530&lt;&gt;"",HYPERLINK(CCUS_Projects_Database!$X530,"Link 7"),"")</f>
        <v/>
      </c>
    </row>
    <row r="531" ht="15.75" customHeight="1">
      <c r="A531" s="44" t="s">
        <v>2040</v>
      </c>
      <c r="B531" s="45">
        <v>359.0</v>
      </c>
      <c r="C531" s="45" t="s">
        <v>2041</v>
      </c>
      <c r="D531" s="46" t="s">
        <v>2042</v>
      </c>
      <c r="E531" s="45" t="s">
        <v>14</v>
      </c>
      <c r="F531" s="45">
        <v>2023.0</v>
      </c>
      <c r="G531" s="45" t="s">
        <v>124</v>
      </c>
      <c r="H531" s="45">
        <v>2030.0</v>
      </c>
      <c r="I531" s="45" t="s">
        <v>124</v>
      </c>
      <c r="J531" s="45" t="s">
        <v>28</v>
      </c>
      <c r="K531" s="47">
        <v>1.0</v>
      </c>
      <c r="L531" s="52">
        <v>3.3</v>
      </c>
      <c r="M531" s="47">
        <v>3.3</v>
      </c>
      <c r="N531" s="45" t="s">
        <v>14</v>
      </c>
      <c r="O531" s="48" t="s">
        <v>71</v>
      </c>
      <c r="P531" s="49" t="s">
        <v>2034</v>
      </c>
      <c r="Q531" s="45" t="s">
        <v>184</v>
      </c>
      <c r="R531" s="49" t="s">
        <v>2037</v>
      </c>
      <c r="S531" s="49" t="s">
        <v>2043</v>
      </c>
      <c r="T531" s="49" t="s">
        <v>2044</v>
      </c>
      <c r="U531" s="49" t="s">
        <v>124</v>
      </c>
      <c r="V531" s="49" t="s">
        <v>124</v>
      </c>
      <c r="W531" s="49" t="s">
        <v>124</v>
      </c>
      <c r="X531" s="49" t="s">
        <v>124</v>
      </c>
      <c r="Y531" s="50" t="str">
        <f>IF(CCUS_Projects_Database!$R531&lt;&gt;"",HYPERLINK(CCUS_Projects_Database!$R531,"Link 1"),"")</f>
        <v>Link 1</v>
      </c>
      <c r="Z531" s="50" t="str">
        <f>IF(CCUS_Projects_Database!$S531&lt;&gt;"",HYPERLINK(CCUS_Projects_Database!$S531,"Link 2"),"")</f>
        <v>Link 2</v>
      </c>
      <c r="AA531" s="50" t="str">
        <f>IF(CCUS_Projects_Database!$T531&lt;&gt;"",HYPERLINK(CCUS_Projects_Database!$T531,"Link 3"),"")</f>
        <v>Link 3</v>
      </c>
      <c r="AB531" s="50" t="str">
        <f>IF(CCUS_Projects_Database!$U531&lt;&gt;"",HYPERLINK(CCUS_Projects_Database!$U531,"Link 4"),"")</f>
        <v/>
      </c>
      <c r="AC531" s="50" t="str">
        <f>IF(CCUS_Projects_Database!$V531&lt;&gt;"",HYPERLINK(CCUS_Projects_Database!$V531,"Link 5"),"")</f>
        <v/>
      </c>
      <c r="AD531" s="50" t="str">
        <f>IF(CCUS_Projects_Database!$W531&lt;&gt;"",HYPERLINK(CCUS_Projects_Database!$W531,"Link 6"),"")</f>
        <v/>
      </c>
      <c r="AE531" s="50" t="str">
        <f>IF(CCUS_Projects_Database!$X531&lt;&gt;"",HYPERLINK(CCUS_Projects_Database!$X531,"Link 7"),"")</f>
        <v/>
      </c>
    </row>
    <row r="532" ht="15.75" customHeight="1">
      <c r="A532" s="37" t="s">
        <v>2045</v>
      </c>
      <c r="B532" s="38">
        <v>966.0</v>
      </c>
      <c r="C532" s="38" t="s">
        <v>2041</v>
      </c>
      <c r="D532" s="39" t="s">
        <v>2046</v>
      </c>
      <c r="E532" s="38" t="s">
        <v>14</v>
      </c>
      <c r="F532" s="38">
        <v>2023.0</v>
      </c>
      <c r="G532" s="38" t="s">
        <v>124</v>
      </c>
      <c r="H532" s="38">
        <v>2035.0</v>
      </c>
      <c r="I532" s="38" t="s">
        <v>124</v>
      </c>
      <c r="J532" s="38" t="s">
        <v>28</v>
      </c>
      <c r="K532" s="40">
        <v>2.0</v>
      </c>
      <c r="L532" s="51">
        <v>5.0</v>
      </c>
      <c r="M532" s="40">
        <v>5.0</v>
      </c>
      <c r="N532" s="38" t="s">
        <v>14</v>
      </c>
      <c r="O532" s="41" t="s">
        <v>71</v>
      </c>
      <c r="P532" s="42" t="s">
        <v>2034</v>
      </c>
      <c r="Q532" s="38" t="s">
        <v>184</v>
      </c>
      <c r="R532" s="42" t="s">
        <v>2044</v>
      </c>
      <c r="S532" s="42" t="s">
        <v>124</v>
      </c>
      <c r="T532" s="42" t="s">
        <v>124</v>
      </c>
      <c r="U532" s="42" t="s">
        <v>124</v>
      </c>
      <c r="V532" s="42" t="s">
        <v>124</v>
      </c>
      <c r="W532" s="42" t="s">
        <v>124</v>
      </c>
      <c r="X532" s="42" t="s">
        <v>124</v>
      </c>
      <c r="Y532" s="43" t="str">
        <f>IF(CCUS_Projects_Database!$R532&lt;&gt;"",HYPERLINK(CCUS_Projects_Database!$R532,"Link 1"),"")</f>
        <v>Link 1</v>
      </c>
      <c r="Z532" s="43" t="str">
        <f>IF(CCUS_Projects_Database!$S532&lt;&gt;"",HYPERLINK(CCUS_Projects_Database!$S532,"Link 2"),"")</f>
        <v/>
      </c>
      <c r="AA532" s="43" t="str">
        <f>IF(CCUS_Projects_Database!$T532&lt;&gt;"",HYPERLINK(CCUS_Projects_Database!$T532,"Link 3"),"")</f>
        <v/>
      </c>
      <c r="AB532" s="43" t="str">
        <f>IF(CCUS_Projects_Database!$U532&lt;&gt;"",HYPERLINK(CCUS_Projects_Database!$U532,"Link 4"),"")</f>
        <v/>
      </c>
      <c r="AC532" s="43" t="str">
        <f>IF(CCUS_Projects_Database!$V532&lt;&gt;"",HYPERLINK(CCUS_Projects_Database!$V532,"Link 5"),"")</f>
        <v/>
      </c>
      <c r="AD532" s="43" t="str">
        <f>IF(CCUS_Projects_Database!$W532&lt;&gt;"",HYPERLINK(CCUS_Projects_Database!$W532,"Link 6"),"")</f>
        <v/>
      </c>
      <c r="AE532" s="43" t="str">
        <f>IF(CCUS_Projects_Database!$X532&lt;&gt;"",HYPERLINK(CCUS_Projects_Database!$X532,"Link 7"),"")</f>
        <v/>
      </c>
    </row>
    <row r="533" ht="15.75" customHeight="1">
      <c r="A533" s="44" t="s">
        <v>2047</v>
      </c>
      <c r="B533" s="45">
        <v>967.0</v>
      </c>
      <c r="C533" s="45" t="s">
        <v>2041</v>
      </c>
      <c r="D533" s="46" t="s">
        <v>2046</v>
      </c>
      <c r="E533" s="45" t="s">
        <v>14</v>
      </c>
      <c r="F533" s="45">
        <v>2023.0</v>
      </c>
      <c r="G533" s="45" t="s">
        <v>124</v>
      </c>
      <c r="H533" s="45">
        <v>2040.0</v>
      </c>
      <c r="I533" s="45" t="s">
        <v>124</v>
      </c>
      <c r="J533" s="45" t="s">
        <v>28</v>
      </c>
      <c r="K533" s="47">
        <v>3.0</v>
      </c>
      <c r="L533" s="52">
        <v>10.0</v>
      </c>
      <c r="M533" s="47">
        <v>10.0</v>
      </c>
      <c r="N533" s="45" t="s">
        <v>14</v>
      </c>
      <c r="O533" s="48" t="s">
        <v>71</v>
      </c>
      <c r="P533" s="49" t="s">
        <v>2034</v>
      </c>
      <c r="Q533" s="45" t="s">
        <v>184</v>
      </c>
      <c r="R533" s="49" t="s">
        <v>2044</v>
      </c>
      <c r="S533" s="49" t="s">
        <v>124</v>
      </c>
      <c r="T533" s="49" t="s">
        <v>124</v>
      </c>
      <c r="U533" s="49" t="s">
        <v>124</v>
      </c>
      <c r="V533" s="49" t="s">
        <v>124</v>
      </c>
      <c r="W533" s="49" t="s">
        <v>124</v>
      </c>
      <c r="X533" s="49" t="s">
        <v>124</v>
      </c>
      <c r="Y533" s="50" t="str">
        <f>IF(CCUS_Projects_Database!$R533&lt;&gt;"",HYPERLINK(CCUS_Projects_Database!$R533,"Link 1"),"")</f>
        <v>Link 1</v>
      </c>
      <c r="Z533" s="50" t="str">
        <f>IF(CCUS_Projects_Database!$S533&lt;&gt;"",HYPERLINK(CCUS_Projects_Database!$S533,"Link 2"),"")</f>
        <v/>
      </c>
      <c r="AA533" s="50" t="str">
        <f>IF(CCUS_Projects_Database!$T533&lt;&gt;"",HYPERLINK(CCUS_Projects_Database!$T533,"Link 3"),"")</f>
        <v/>
      </c>
      <c r="AB533" s="50" t="str">
        <f>IF(CCUS_Projects_Database!$U533&lt;&gt;"",HYPERLINK(CCUS_Projects_Database!$U533,"Link 4"),"")</f>
        <v/>
      </c>
      <c r="AC533" s="50" t="str">
        <f>IF(CCUS_Projects_Database!$V533&lt;&gt;"",HYPERLINK(CCUS_Projects_Database!$V533,"Link 5"),"")</f>
        <v/>
      </c>
      <c r="AD533" s="50" t="str">
        <f>IF(CCUS_Projects_Database!$W533&lt;&gt;"",HYPERLINK(CCUS_Projects_Database!$W533,"Link 6"),"")</f>
        <v/>
      </c>
      <c r="AE533" s="50" t="str">
        <f>IF(CCUS_Projects_Database!$X533&lt;&gt;"",HYPERLINK(CCUS_Projects_Database!$X533,"Link 7"),"")</f>
        <v/>
      </c>
    </row>
    <row r="534" ht="15.75" customHeight="1">
      <c r="A534" s="37" t="s">
        <v>2048</v>
      </c>
      <c r="B534" s="38">
        <v>1125.0</v>
      </c>
      <c r="C534" s="38" t="s">
        <v>239</v>
      </c>
      <c r="D534" s="39" t="s">
        <v>2049</v>
      </c>
      <c r="E534" s="38" t="s">
        <v>8</v>
      </c>
      <c r="F534" s="38">
        <v>2022.0</v>
      </c>
      <c r="G534" s="38">
        <v>2024.0</v>
      </c>
      <c r="H534" s="38">
        <v>2027.0</v>
      </c>
      <c r="I534" s="38" t="s">
        <v>124</v>
      </c>
      <c r="J534" s="38" t="s">
        <v>28</v>
      </c>
      <c r="K534" s="40" t="s">
        <v>124</v>
      </c>
      <c r="L534" s="40"/>
      <c r="M534" s="40" t="s">
        <v>124</v>
      </c>
      <c r="N534" s="38" t="s">
        <v>46</v>
      </c>
      <c r="O534" s="41" t="s">
        <v>71</v>
      </c>
      <c r="P534" s="42" t="s">
        <v>380</v>
      </c>
      <c r="Q534" s="38" t="s">
        <v>143</v>
      </c>
      <c r="R534" s="42" t="s">
        <v>2050</v>
      </c>
      <c r="S534" s="42" t="s">
        <v>2051</v>
      </c>
      <c r="T534" s="42" t="s">
        <v>124</v>
      </c>
      <c r="U534" s="42" t="s">
        <v>124</v>
      </c>
      <c r="V534" s="42" t="s">
        <v>124</v>
      </c>
      <c r="W534" s="42" t="s">
        <v>124</v>
      </c>
      <c r="X534" s="42" t="s">
        <v>124</v>
      </c>
      <c r="Y534" s="43" t="str">
        <f>IF(CCUS_Projects_Database!$R534&lt;&gt;"",HYPERLINK(CCUS_Projects_Database!$R534,"Link 1"),"")</f>
        <v>Link 1</v>
      </c>
      <c r="Z534" s="43" t="str">
        <f>IF(CCUS_Projects_Database!$S534&lt;&gt;"",HYPERLINK(CCUS_Projects_Database!$S534,"Link 2"),"")</f>
        <v>Link 2</v>
      </c>
      <c r="AA534" s="43" t="str">
        <f>IF(CCUS_Projects_Database!$T534&lt;&gt;"",HYPERLINK(CCUS_Projects_Database!$T534,"Link 3"),"")</f>
        <v/>
      </c>
      <c r="AB534" s="43" t="str">
        <f>IF(CCUS_Projects_Database!$U534&lt;&gt;"",HYPERLINK(CCUS_Projects_Database!$U534,"Link 4"),"")</f>
        <v/>
      </c>
      <c r="AC534" s="43" t="str">
        <f>IF(CCUS_Projects_Database!$V534&lt;&gt;"",HYPERLINK(CCUS_Projects_Database!$V534,"Link 5"),"")</f>
        <v/>
      </c>
      <c r="AD534" s="43" t="str">
        <f>IF(CCUS_Projects_Database!$W534&lt;&gt;"",HYPERLINK(CCUS_Projects_Database!$W534,"Link 6"),"")</f>
        <v/>
      </c>
      <c r="AE534" s="43" t="str">
        <f>IF(CCUS_Projects_Database!$X534&lt;&gt;"",HYPERLINK(CCUS_Projects_Database!$X534,"Link 7"),"")</f>
        <v/>
      </c>
    </row>
    <row r="535" ht="15.75" customHeight="1">
      <c r="A535" s="44" t="s">
        <v>2052</v>
      </c>
      <c r="B535" s="45">
        <v>615.0</v>
      </c>
      <c r="C535" s="45" t="s">
        <v>157</v>
      </c>
      <c r="D535" s="46" t="s">
        <v>2053</v>
      </c>
      <c r="E535" s="45" t="s">
        <v>14</v>
      </c>
      <c r="F535" s="45">
        <v>2023.0</v>
      </c>
      <c r="G535" s="45" t="s">
        <v>124</v>
      </c>
      <c r="H535" s="45">
        <v>2030.0</v>
      </c>
      <c r="I535" s="45" t="s">
        <v>124</v>
      </c>
      <c r="J535" s="45" t="s">
        <v>28</v>
      </c>
      <c r="K535" s="47" t="s">
        <v>124</v>
      </c>
      <c r="L535" s="52">
        <v>5.0</v>
      </c>
      <c r="M535" s="47">
        <v>5.0</v>
      </c>
      <c r="N535" s="45" t="s">
        <v>14</v>
      </c>
      <c r="O535" s="48" t="s">
        <v>71</v>
      </c>
      <c r="P535" s="49" t="s">
        <v>2052</v>
      </c>
      <c r="Q535" s="45" t="s">
        <v>125</v>
      </c>
      <c r="R535" s="49" t="s">
        <v>2054</v>
      </c>
      <c r="S535" s="49" t="s">
        <v>2055</v>
      </c>
      <c r="T535" s="49" t="s">
        <v>2056</v>
      </c>
      <c r="U535" s="49" t="s">
        <v>124</v>
      </c>
      <c r="V535" s="49" t="s">
        <v>124</v>
      </c>
      <c r="W535" s="49" t="s">
        <v>124</v>
      </c>
      <c r="X535" s="49" t="s">
        <v>124</v>
      </c>
      <c r="Y535" s="50" t="str">
        <f>IF(CCUS_Projects_Database!$R535&lt;&gt;"",HYPERLINK(CCUS_Projects_Database!$R535,"Link 1"),"")</f>
        <v>Link 1</v>
      </c>
      <c r="Z535" s="50" t="str">
        <f>IF(CCUS_Projects_Database!$S535&lt;&gt;"",HYPERLINK(CCUS_Projects_Database!$S535,"Link 2"),"")</f>
        <v>Link 2</v>
      </c>
      <c r="AA535" s="50" t="str">
        <f>IF(CCUS_Projects_Database!$T535&lt;&gt;"",HYPERLINK(CCUS_Projects_Database!$T535,"Link 3"),"")</f>
        <v>Link 3</v>
      </c>
      <c r="AB535" s="50" t="str">
        <f>IF(CCUS_Projects_Database!$U535&lt;&gt;"",HYPERLINK(CCUS_Projects_Database!$U535,"Link 4"),"")</f>
        <v/>
      </c>
      <c r="AC535" s="50" t="str">
        <f>IF(CCUS_Projects_Database!$V535&lt;&gt;"",HYPERLINK(CCUS_Projects_Database!$V535,"Link 5"),"")</f>
        <v/>
      </c>
      <c r="AD535" s="50" t="str">
        <f>IF(CCUS_Projects_Database!$W535&lt;&gt;"",HYPERLINK(CCUS_Projects_Database!$W535,"Link 6"),"")</f>
        <v/>
      </c>
      <c r="AE535" s="50" t="str">
        <f>IF(CCUS_Projects_Database!$X535&lt;&gt;"",HYPERLINK(CCUS_Projects_Database!$X535,"Link 7"),"")</f>
        <v/>
      </c>
    </row>
    <row r="536" ht="15.75" customHeight="1">
      <c r="A536" s="37" t="s">
        <v>2057</v>
      </c>
      <c r="B536" s="38">
        <v>280.0</v>
      </c>
      <c r="C536" s="38" t="s">
        <v>141</v>
      </c>
      <c r="D536" s="39" t="s">
        <v>2058</v>
      </c>
      <c r="E536" s="38" t="s">
        <v>8</v>
      </c>
      <c r="F536" s="38">
        <v>2021.0</v>
      </c>
      <c r="G536" s="38" t="s">
        <v>124</v>
      </c>
      <c r="H536" s="38">
        <v>2025.0</v>
      </c>
      <c r="I536" s="38" t="s">
        <v>124</v>
      </c>
      <c r="J536" s="38" t="s">
        <v>28</v>
      </c>
      <c r="K536" s="40" t="s">
        <v>124</v>
      </c>
      <c r="L536" s="51">
        <v>0.14</v>
      </c>
      <c r="M536" s="40">
        <v>0.14</v>
      </c>
      <c r="N536" s="38" t="s">
        <v>136</v>
      </c>
      <c r="O536" s="41" t="s">
        <v>432</v>
      </c>
      <c r="P536" s="42" t="s">
        <v>124</v>
      </c>
      <c r="Q536" s="38" t="s">
        <v>143</v>
      </c>
      <c r="R536" s="42" t="s">
        <v>2059</v>
      </c>
      <c r="S536" s="42" t="s">
        <v>2060</v>
      </c>
      <c r="T536" s="42" t="s">
        <v>124</v>
      </c>
      <c r="U536" s="42" t="s">
        <v>124</v>
      </c>
      <c r="V536" s="42" t="s">
        <v>124</v>
      </c>
      <c r="W536" s="42" t="s">
        <v>124</v>
      </c>
      <c r="X536" s="42" t="s">
        <v>124</v>
      </c>
      <c r="Y536" s="43" t="str">
        <f>IF(CCUS_Projects_Database!$R536&lt;&gt;"",HYPERLINK(CCUS_Projects_Database!$R536,"Link 1"),"")</f>
        <v>Link 1</v>
      </c>
      <c r="Z536" s="43" t="str">
        <f>IF(CCUS_Projects_Database!$S536&lt;&gt;"",HYPERLINK(CCUS_Projects_Database!$S536,"Link 2"),"")</f>
        <v>Link 2</v>
      </c>
      <c r="AA536" s="43" t="str">
        <f>IF(CCUS_Projects_Database!$T536&lt;&gt;"",HYPERLINK(CCUS_Projects_Database!$T536,"Link 3"),"")</f>
        <v/>
      </c>
      <c r="AB536" s="43" t="str">
        <f>IF(CCUS_Projects_Database!$U536&lt;&gt;"",HYPERLINK(CCUS_Projects_Database!$U536,"Link 4"),"")</f>
        <v/>
      </c>
      <c r="AC536" s="43" t="str">
        <f>IF(CCUS_Projects_Database!$V536&lt;&gt;"",HYPERLINK(CCUS_Projects_Database!$V536,"Link 5"),"")</f>
        <v/>
      </c>
      <c r="AD536" s="43" t="str">
        <f>IF(CCUS_Projects_Database!$W536&lt;&gt;"",HYPERLINK(CCUS_Projects_Database!$W536,"Link 6"),"")</f>
        <v/>
      </c>
      <c r="AE536" s="43" t="str">
        <f>IF(CCUS_Projects_Database!$X536&lt;&gt;"",HYPERLINK(CCUS_Projects_Database!$X536,"Link 7"),"")</f>
        <v/>
      </c>
    </row>
    <row r="537" ht="15.75" customHeight="1">
      <c r="A537" s="44" t="s">
        <v>2061</v>
      </c>
      <c r="B537" s="45">
        <v>829.0</v>
      </c>
      <c r="C537" s="45" t="s">
        <v>141</v>
      </c>
      <c r="D537" s="46" t="s">
        <v>2062</v>
      </c>
      <c r="E537" s="45" t="s">
        <v>8</v>
      </c>
      <c r="F537" s="45">
        <v>2023.0</v>
      </c>
      <c r="G537" s="45" t="s">
        <v>124</v>
      </c>
      <c r="H537" s="45" t="s">
        <v>124</v>
      </c>
      <c r="I537" s="45" t="s">
        <v>124</v>
      </c>
      <c r="J537" s="45" t="s">
        <v>28</v>
      </c>
      <c r="K537" s="47" t="s">
        <v>124</v>
      </c>
      <c r="L537" s="52">
        <v>0.45</v>
      </c>
      <c r="M537" s="47">
        <v>0.45</v>
      </c>
      <c r="N537" s="45" t="s">
        <v>136</v>
      </c>
      <c r="O537" s="48" t="s">
        <v>71</v>
      </c>
      <c r="P537" s="49" t="s">
        <v>124</v>
      </c>
      <c r="Q537" s="45" t="s">
        <v>143</v>
      </c>
      <c r="R537" s="49" t="s">
        <v>2063</v>
      </c>
      <c r="S537" s="49" t="s">
        <v>124</v>
      </c>
      <c r="T537" s="49" t="s">
        <v>124</v>
      </c>
      <c r="U537" s="49" t="s">
        <v>124</v>
      </c>
      <c r="V537" s="49" t="s">
        <v>124</v>
      </c>
      <c r="W537" s="49" t="s">
        <v>124</v>
      </c>
      <c r="X537" s="49" t="s">
        <v>124</v>
      </c>
      <c r="Y537" s="50" t="str">
        <f>IF(CCUS_Projects_Database!$R537&lt;&gt;"",HYPERLINK(CCUS_Projects_Database!$R537,"Link 1"),"")</f>
        <v>Link 1</v>
      </c>
      <c r="Z537" s="50" t="str">
        <f>IF(CCUS_Projects_Database!$S537&lt;&gt;"",HYPERLINK(CCUS_Projects_Database!$S537,"Link 2"),"")</f>
        <v/>
      </c>
      <c r="AA537" s="50" t="str">
        <f>IF(CCUS_Projects_Database!$T537&lt;&gt;"",HYPERLINK(CCUS_Projects_Database!$T537,"Link 3"),"")</f>
        <v/>
      </c>
      <c r="AB537" s="50" t="str">
        <f>IF(CCUS_Projects_Database!$U537&lt;&gt;"",HYPERLINK(CCUS_Projects_Database!$U537,"Link 4"),"")</f>
        <v/>
      </c>
      <c r="AC537" s="50" t="str">
        <f>IF(CCUS_Projects_Database!$V537&lt;&gt;"",HYPERLINK(CCUS_Projects_Database!$V537,"Link 5"),"")</f>
        <v/>
      </c>
      <c r="AD537" s="50" t="str">
        <f>IF(CCUS_Projects_Database!$W537&lt;&gt;"",HYPERLINK(CCUS_Projects_Database!$W537,"Link 6"),"")</f>
        <v/>
      </c>
      <c r="AE537" s="50" t="str">
        <f>IF(CCUS_Projects_Database!$X537&lt;&gt;"",HYPERLINK(CCUS_Projects_Database!$X537,"Link 7"),"")</f>
        <v/>
      </c>
    </row>
    <row r="538" ht="15.75" customHeight="1">
      <c r="A538" s="37" t="s">
        <v>2064</v>
      </c>
      <c r="B538" s="38">
        <v>1140.0</v>
      </c>
      <c r="C538" s="38" t="s">
        <v>1174</v>
      </c>
      <c r="D538" s="39" t="s">
        <v>2065</v>
      </c>
      <c r="E538" s="38" t="s">
        <v>8</v>
      </c>
      <c r="F538" s="38">
        <v>2023.0</v>
      </c>
      <c r="G538" s="38" t="s">
        <v>124</v>
      </c>
      <c r="H538" s="38">
        <v>2029.0</v>
      </c>
      <c r="I538" s="38" t="s">
        <v>124</v>
      </c>
      <c r="J538" s="38" t="s">
        <v>28</v>
      </c>
      <c r="K538" s="40" t="s">
        <v>124</v>
      </c>
      <c r="L538" s="51">
        <v>0.495</v>
      </c>
      <c r="M538" s="40">
        <v>0.495</v>
      </c>
      <c r="N538" s="38" t="s">
        <v>54</v>
      </c>
      <c r="O538" s="41" t="s">
        <v>71</v>
      </c>
      <c r="P538" s="42" t="s">
        <v>124</v>
      </c>
      <c r="Q538" s="38" t="s">
        <v>125</v>
      </c>
      <c r="R538" s="42" t="s">
        <v>2066</v>
      </c>
      <c r="S538" s="42" t="s">
        <v>2067</v>
      </c>
      <c r="T538" s="42" t="s">
        <v>124</v>
      </c>
      <c r="U538" s="42" t="s">
        <v>124</v>
      </c>
      <c r="V538" s="42" t="s">
        <v>124</v>
      </c>
      <c r="W538" s="42" t="s">
        <v>124</v>
      </c>
      <c r="X538" s="42" t="s">
        <v>124</v>
      </c>
      <c r="Y538" s="43" t="str">
        <f>IF(CCUS_Projects_Database!$R538&lt;&gt;"",HYPERLINK(CCUS_Projects_Database!$R538,"Link 1"),"")</f>
        <v>Link 1</v>
      </c>
      <c r="Z538" s="43" t="str">
        <f>IF(CCUS_Projects_Database!$S538&lt;&gt;"",HYPERLINK(CCUS_Projects_Database!$S538,"Link 2"),"")</f>
        <v>Link 2</v>
      </c>
      <c r="AA538" s="43" t="str">
        <f>IF(CCUS_Projects_Database!$T538&lt;&gt;"",HYPERLINK(CCUS_Projects_Database!$T538,"Link 3"),"")</f>
        <v/>
      </c>
      <c r="AB538" s="43" t="str">
        <f>IF(CCUS_Projects_Database!$U538&lt;&gt;"",HYPERLINK(CCUS_Projects_Database!$U538,"Link 4"),"")</f>
        <v/>
      </c>
      <c r="AC538" s="43" t="str">
        <f>IF(CCUS_Projects_Database!$V538&lt;&gt;"",HYPERLINK(CCUS_Projects_Database!$V538,"Link 5"),"")</f>
        <v/>
      </c>
      <c r="AD538" s="43" t="str">
        <f>IF(CCUS_Projects_Database!$W538&lt;&gt;"",HYPERLINK(CCUS_Projects_Database!$W538,"Link 6"),"")</f>
        <v/>
      </c>
      <c r="AE538" s="43" t="str">
        <f>IF(CCUS_Projects_Database!$X538&lt;&gt;"",HYPERLINK(CCUS_Projects_Database!$X538,"Link 7"),"")</f>
        <v/>
      </c>
    </row>
    <row r="539" ht="15.75" customHeight="1">
      <c r="A539" s="44" t="s">
        <v>2068</v>
      </c>
      <c r="B539" s="45">
        <v>463.0</v>
      </c>
      <c r="C539" s="45" t="s">
        <v>196</v>
      </c>
      <c r="D539" s="46" t="s">
        <v>2069</v>
      </c>
      <c r="E539" s="45" t="s">
        <v>8</v>
      </c>
      <c r="F539" s="45">
        <v>2022.0</v>
      </c>
      <c r="G539" s="45" t="s">
        <v>124</v>
      </c>
      <c r="H539" s="45" t="s">
        <v>124</v>
      </c>
      <c r="I539" s="45" t="s">
        <v>124</v>
      </c>
      <c r="J539" s="45" t="s">
        <v>28</v>
      </c>
      <c r="K539" s="47" t="s">
        <v>124</v>
      </c>
      <c r="L539" s="52">
        <v>0.46</v>
      </c>
      <c r="M539" s="47">
        <v>0.46</v>
      </c>
      <c r="N539" s="45" t="s">
        <v>60</v>
      </c>
      <c r="O539" s="48" t="s">
        <v>77</v>
      </c>
      <c r="P539" s="49" t="s">
        <v>124</v>
      </c>
      <c r="Q539" s="45" t="s">
        <v>137</v>
      </c>
      <c r="R539" s="49" t="s">
        <v>2070</v>
      </c>
      <c r="S539" s="49" t="s">
        <v>124</v>
      </c>
      <c r="T539" s="49" t="s">
        <v>124</v>
      </c>
      <c r="U539" s="49" t="s">
        <v>124</v>
      </c>
      <c r="V539" s="49" t="s">
        <v>124</v>
      </c>
      <c r="W539" s="49" t="s">
        <v>124</v>
      </c>
      <c r="X539" s="49" t="s">
        <v>124</v>
      </c>
      <c r="Y539" s="50" t="str">
        <f>IF(CCUS_Projects_Database!$R539&lt;&gt;"",HYPERLINK(CCUS_Projects_Database!$R539,"Link 1"),"")</f>
        <v>Link 1</v>
      </c>
      <c r="Z539" s="50" t="str">
        <f>IF(CCUS_Projects_Database!$S539&lt;&gt;"",HYPERLINK(CCUS_Projects_Database!$S539,"Link 2"),"")</f>
        <v/>
      </c>
      <c r="AA539" s="50" t="str">
        <f>IF(CCUS_Projects_Database!$T539&lt;&gt;"",HYPERLINK(CCUS_Projects_Database!$T539,"Link 3"),"")</f>
        <v/>
      </c>
      <c r="AB539" s="50" t="str">
        <f>IF(CCUS_Projects_Database!$U539&lt;&gt;"",HYPERLINK(CCUS_Projects_Database!$U539,"Link 4"),"")</f>
        <v/>
      </c>
      <c r="AC539" s="50" t="str">
        <f>IF(CCUS_Projects_Database!$V539&lt;&gt;"",HYPERLINK(CCUS_Projects_Database!$V539,"Link 5"),"")</f>
        <v/>
      </c>
      <c r="AD539" s="50" t="str">
        <f>IF(CCUS_Projects_Database!$W539&lt;&gt;"",HYPERLINK(CCUS_Projects_Database!$W539,"Link 6"),"")</f>
        <v/>
      </c>
      <c r="AE539" s="50" t="str">
        <f>IF(CCUS_Projects_Database!$X539&lt;&gt;"",HYPERLINK(CCUS_Projects_Database!$X539,"Link 7"),"")</f>
        <v/>
      </c>
    </row>
    <row r="540" ht="15.75" customHeight="1">
      <c r="A540" s="37" t="s">
        <v>2071</v>
      </c>
      <c r="B540" s="38">
        <v>840.0</v>
      </c>
      <c r="C540" s="38" t="s">
        <v>141</v>
      </c>
      <c r="D540" s="39" t="s">
        <v>2072</v>
      </c>
      <c r="E540" s="38" t="s">
        <v>8</v>
      </c>
      <c r="F540" s="38">
        <v>2023.0</v>
      </c>
      <c r="G540" s="38" t="s">
        <v>124</v>
      </c>
      <c r="H540" s="38">
        <v>2028.0</v>
      </c>
      <c r="I540" s="38" t="s">
        <v>124</v>
      </c>
      <c r="J540" s="38" t="s">
        <v>28</v>
      </c>
      <c r="K540" s="40">
        <v>1.0</v>
      </c>
      <c r="L540" s="40"/>
      <c r="M540" s="40">
        <v>1.7</v>
      </c>
      <c r="N540" s="38" t="s">
        <v>136</v>
      </c>
      <c r="O540" s="41" t="s">
        <v>71</v>
      </c>
      <c r="P540" s="42" t="s">
        <v>321</v>
      </c>
      <c r="Q540" s="38" t="s">
        <v>143</v>
      </c>
      <c r="R540" s="42" t="s">
        <v>2073</v>
      </c>
      <c r="S540" s="42" t="s">
        <v>2074</v>
      </c>
      <c r="T540" s="42" t="s">
        <v>124</v>
      </c>
      <c r="U540" s="42" t="s">
        <v>124</v>
      </c>
      <c r="V540" s="42" t="s">
        <v>124</v>
      </c>
      <c r="W540" s="42" t="s">
        <v>124</v>
      </c>
      <c r="X540" s="42" t="s">
        <v>124</v>
      </c>
      <c r="Y540" s="43" t="str">
        <f>IF(CCUS_Projects_Database!$R540&lt;&gt;"",HYPERLINK(CCUS_Projects_Database!$R540,"Link 1"),"")</f>
        <v>Link 1</v>
      </c>
      <c r="Z540" s="43" t="str">
        <f>IF(CCUS_Projects_Database!$S540&lt;&gt;"",HYPERLINK(CCUS_Projects_Database!$S540,"Link 2"),"")</f>
        <v>Link 2</v>
      </c>
      <c r="AA540" s="43" t="str">
        <f>IF(CCUS_Projects_Database!$T540&lt;&gt;"",HYPERLINK(CCUS_Projects_Database!$T540,"Link 3"),"")</f>
        <v/>
      </c>
      <c r="AB540" s="43" t="str">
        <f>IF(CCUS_Projects_Database!$U540&lt;&gt;"",HYPERLINK(CCUS_Projects_Database!$U540,"Link 4"),"")</f>
        <v/>
      </c>
      <c r="AC540" s="43" t="str">
        <f>IF(CCUS_Projects_Database!$V540&lt;&gt;"",HYPERLINK(CCUS_Projects_Database!$V540,"Link 5"),"")</f>
        <v/>
      </c>
      <c r="AD540" s="43" t="str">
        <f>IF(CCUS_Projects_Database!$W540&lt;&gt;"",HYPERLINK(CCUS_Projects_Database!$W540,"Link 6"),"")</f>
        <v/>
      </c>
      <c r="AE540" s="43" t="str">
        <f>IF(CCUS_Projects_Database!$X540&lt;&gt;"",HYPERLINK(CCUS_Projects_Database!$X540,"Link 7"),"")</f>
        <v/>
      </c>
    </row>
    <row r="541" ht="15.75" customHeight="1">
      <c r="A541" s="44" t="s">
        <v>2075</v>
      </c>
      <c r="B541" s="45">
        <v>933.0</v>
      </c>
      <c r="C541" s="45" t="s">
        <v>141</v>
      </c>
      <c r="D541" s="46" t="s">
        <v>2072</v>
      </c>
      <c r="E541" s="45" t="s">
        <v>8</v>
      </c>
      <c r="F541" s="45">
        <v>2023.0</v>
      </c>
      <c r="G541" s="45" t="s">
        <v>124</v>
      </c>
      <c r="H541" s="45" t="s">
        <v>124</v>
      </c>
      <c r="I541" s="45" t="s">
        <v>124</v>
      </c>
      <c r="J541" s="45" t="s">
        <v>28</v>
      </c>
      <c r="K541" s="47">
        <v>2.0</v>
      </c>
      <c r="L541" s="47"/>
      <c r="M541" s="47">
        <v>1.7</v>
      </c>
      <c r="N541" s="45" t="s">
        <v>136</v>
      </c>
      <c r="O541" s="48" t="s">
        <v>71</v>
      </c>
      <c r="P541" s="49" t="s">
        <v>321</v>
      </c>
      <c r="Q541" s="45" t="s">
        <v>143</v>
      </c>
      <c r="R541" s="49" t="s">
        <v>2074</v>
      </c>
      <c r="S541" s="49" t="s">
        <v>124</v>
      </c>
      <c r="T541" s="49" t="s">
        <v>124</v>
      </c>
      <c r="U541" s="49" t="s">
        <v>124</v>
      </c>
      <c r="V541" s="49" t="s">
        <v>124</v>
      </c>
      <c r="W541" s="49" t="s">
        <v>124</v>
      </c>
      <c r="X541" s="49" t="s">
        <v>124</v>
      </c>
      <c r="Y541" s="50" t="str">
        <f>IF(CCUS_Projects_Database!$R541&lt;&gt;"",HYPERLINK(CCUS_Projects_Database!$R541,"Link 1"),"")</f>
        <v>Link 1</v>
      </c>
      <c r="Z541" s="50" t="str">
        <f>IF(CCUS_Projects_Database!$S541&lt;&gt;"",HYPERLINK(CCUS_Projects_Database!$S541,"Link 2"),"")</f>
        <v/>
      </c>
      <c r="AA541" s="50" t="str">
        <f>IF(CCUS_Projects_Database!$T541&lt;&gt;"",HYPERLINK(CCUS_Projects_Database!$T541,"Link 3"),"")</f>
        <v/>
      </c>
      <c r="AB541" s="50" t="str">
        <f>IF(CCUS_Projects_Database!$U541&lt;&gt;"",HYPERLINK(CCUS_Projects_Database!$U541,"Link 4"),"")</f>
        <v/>
      </c>
      <c r="AC541" s="50" t="str">
        <f>IF(CCUS_Projects_Database!$V541&lt;&gt;"",HYPERLINK(CCUS_Projects_Database!$V541,"Link 5"),"")</f>
        <v/>
      </c>
      <c r="AD541" s="50" t="str">
        <f>IF(CCUS_Projects_Database!$W541&lt;&gt;"",HYPERLINK(CCUS_Projects_Database!$W541,"Link 6"),"")</f>
        <v/>
      </c>
      <c r="AE541" s="50" t="str">
        <f>IF(CCUS_Projects_Database!$X541&lt;&gt;"",HYPERLINK(CCUS_Projects_Database!$X541,"Link 7"),"")</f>
        <v/>
      </c>
    </row>
    <row r="542" ht="15.75" customHeight="1">
      <c r="A542" s="37" t="s">
        <v>2076</v>
      </c>
      <c r="B542" s="38">
        <v>934.0</v>
      </c>
      <c r="C542" s="38" t="s">
        <v>141</v>
      </c>
      <c r="D542" s="39" t="s">
        <v>2072</v>
      </c>
      <c r="E542" s="38" t="s">
        <v>8</v>
      </c>
      <c r="F542" s="38">
        <v>2023.0</v>
      </c>
      <c r="G542" s="38" t="s">
        <v>124</v>
      </c>
      <c r="H542" s="38" t="s">
        <v>124</v>
      </c>
      <c r="I542" s="38" t="s">
        <v>124</v>
      </c>
      <c r="J542" s="38" t="s">
        <v>28</v>
      </c>
      <c r="K542" s="40">
        <v>3.0</v>
      </c>
      <c r="L542" s="40"/>
      <c r="M542" s="40">
        <v>1.7</v>
      </c>
      <c r="N542" s="38" t="s">
        <v>136</v>
      </c>
      <c r="O542" s="41" t="s">
        <v>71</v>
      </c>
      <c r="P542" s="42" t="s">
        <v>321</v>
      </c>
      <c r="Q542" s="38" t="s">
        <v>143</v>
      </c>
      <c r="R542" s="42" t="s">
        <v>2074</v>
      </c>
      <c r="S542" s="42" t="s">
        <v>124</v>
      </c>
      <c r="T542" s="42" t="s">
        <v>124</v>
      </c>
      <c r="U542" s="42" t="s">
        <v>124</v>
      </c>
      <c r="V542" s="42" t="s">
        <v>124</v>
      </c>
      <c r="W542" s="42" t="s">
        <v>124</v>
      </c>
      <c r="X542" s="42" t="s">
        <v>124</v>
      </c>
      <c r="Y542" s="43" t="str">
        <f>IF(CCUS_Projects_Database!$R542&lt;&gt;"",HYPERLINK(CCUS_Projects_Database!$R542,"Link 1"),"")</f>
        <v>Link 1</v>
      </c>
      <c r="Z542" s="43" t="str">
        <f>IF(CCUS_Projects_Database!$S542&lt;&gt;"",HYPERLINK(CCUS_Projects_Database!$S542,"Link 2"),"")</f>
        <v/>
      </c>
      <c r="AA542" s="43" t="str">
        <f>IF(CCUS_Projects_Database!$T542&lt;&gt;"",HYPERLINK(CCUS_Projects_Database!$T542,"Link 3"),"")</f>
        <v/>
      </c>
      <c r="AB542" s="43" t="str">
        <f>IF(CCUS_Projects_Database!$U542&lt;&gt;"",HYPERLINK(CCUS_Projects_Database!$U542,"Link 4"),"")</f>
        <v/>
      </c>
      <c r="AC542" s="43" t="str">
        <f>IF(CCUS_Projects_Database!$V542&lt;&gt;"",HYPERLINK(CCUS_Projects_Database!$V542,"Link 5"),"")</f>
        <v/>
      </c>
      <c r="AD542" s="43" t="str">
        <f>IF(CCUS_Projects_Database!$W542&lt;&gt;"",HYPERLINK(CCUS_Projects_Database!$W542,"Link 6"),"")</f>
        <v/>
      </c>
      <c r="AE542" s="43" t="str">
        <f>IF(CCUS_Projects_Database!$X542&lt;&gt;"",HYPERLINK(CCUS_Projects_Database!$X542,"Link 7"),"")</f>
        <v/>
      </c>
    </row>
    <row r="543" ht="15.75" customHeight="1">
      <c r="A543" s="44" t="s">
        <v>2077</v>
      </c>
      <c r="B543" s="45">
        <v>935.0</v>
      </c>
      <c r="C543" s="45" t="s">
        <v>141</v>
      </c>
      <c r="D543" s="46" t="s">
        <v>2072</v>
      </c>
      <c r="E543" s="45" t="s">
        <v>8</v>
      </c>
      <c r="F543" s="45">
        <v>2023.0</v>
      </c>
      <c r="G543" s="45" t="s">
        <v>124</v>
      </c>
      <c r="H543" s="45" t="s">
        <v>124</v>
      </c>
      <c r="I543" s="45" t="s">
        <v>124</v>
      </c>
      <c r="J543" s="45" t="s">
        <v>28</v>
      </c>
      <c r="K543" s="47">
        <v>4.0</v>
      </c>
      <c r="L543" s="47"/>
      <c r="M543" s="47">
        <v>1.7</v>
      </c>
      <c r="N543" s="45" t="s">
        <v>136</v>
      </c>
      <c r="O543" s="48" t="s">
        <v>71</v>
      </c>
      <c r="P543" s="49" t="s">
        <v>321</v>
      </c>
      <c r="Q543" s="45" t="s">
        <v>143</v>
      </c>
      <c r="R543" s="49" t="s">
        <v>2074</v>
      </c>
      <c r="S543" s="49" t="s">
        <v>124</v>
      </c>
      <c r="T543" s="49" t="s">
        <v>124</v>
      </c>
      <c r="U543" s="49" t="s">
        <v>124</v>
      </c>
      <c r="V543" s="49" t="s">
        <v>124</v>
      </c>
      <c r="W543" s="49" t="s">
        <v>124</v>
      </c>
      <c r="X543" s="49" t="s">
        <v>124</v>
      </c>
      <c r="Y543" s="50" t="str">
        <f>IF(CCUS_Projects_Database!$R543&lt;&gt;"",HYPERLINK(CCUS_Projects_Database!$R543,"Link 1"),"")</f>
        <v>Link 1</v>
      </c>
      <c r="Z543" s="50" t="str">
        <f>IF(CCUS_Projects_Database!$S543&lt;&gt;"",HYPERLINK(CCUS_Projects_Database!$S543,"Link 2"),"")</f>
        <v/>
      </c>
      <c r="AA543" s="50" t="str">
        <f>IF(CCUS_Projects_Database!$T543&lt;&gt;"",HYPERLINK(CCUS_Projects_Database!$T543,"Link 3"),"")</f>
        <v/>
      </c>
      <c r="AB543" s="50" t="str">
        <f>IF(CCUS_Projects_Database!$U543&lt;&gt;"",HYPERLINK(CCUS_Projects_Database!$U543,"Link 4"),"")</f>
        <v/>
      </c>
      <c r="AC543" s="50" t="str">
        <f>IF(CCUS_Projects_Database!$V543&lt;&gt;"",HYPERLINK(CCUS_Projects_Database!$V543,"Link 5"),"")</f>
        <v/>
      </c>
      <c r="AD543" s="50" t="str">
        <f>IF(CCUS_Projects_Database!$W543&lt;&gt;"",HYPERLINK(CCUS_Projects_Database!$W543,"Link 6"),"")</f>
        <v/>
      </c>
      <c r="AE543" s="50" t="str">
        <f>IF(CCUS_Projects_Database!$X543&lt;&gt;"",HYPERLINK(CCUS_Projects_Database!$X543,"Link 7"),"")</f>
        <v/>
      </c>
    </row>
    <row r="544" ht="15.75" customHeight="1">
      <c r="A544" s="37" t="s">
        <v>188</v>
      </c>
      <c r="B544" s="38">
        <v>12.0</v>
      </c>
      <c r="C544" s="38" t="s">
        <v>141</v>
      </c>
      <c r="D544" s="39" t="s">
        <v>2078</v>
      </c>
      <c r="E544" s="38" t="s">
        <v>10</v>
      </c>
      <c r="F544" s="38">
        <v>2022.0</v>
      </c>
      <c r="G544" s="38">
        <v>2024.0</v>
      </c>
      <c r="H544" s="38"/>
      <c r="I544" s="38" t="s">
        <v>124</v>
      </c>
      <c r="J544" s="38" t="s">
        <v>28</v>
      </c>
      <c r="K544" s="40" t="s">
        <v>124</v>
      </c>
      <c r="L544" s="51">
        <v>12.0</v>
      </c>
      <c r="M544" s="40">
        <v>12.0</v>
      </c>
      <c r="N544" s="38" t="s">
        <v>10</v>
      </c>
      <c r="O544" s="41" t="s">
        <v>71</v>
      </c>
      <c r="P544" s="42" t="s">
        <v>188</v>
      </c>
      <c r="Q544" s="38" t="s">
        <v>143</v>
      </c>
      <c r="R544" s="42" t="s">
        <v>189</v>
      </c>
      <c r="S544" s="42" t="s">
        <v>2079</v>
      </c>
      <c r="T544" s="42" t="s">
        <v>2080</v>
      </c>
      <c r="U544" s="42" t="s">
        <v>2081</v>
      </c>
      <c r="V544" s="42" t="s">
        <v>124</v>
      </c>
      <c r="W544" s="42" t="s">
        <v>124</v>
      </c>
      <c r="X544" s="42" t="s">
        <v>124</v>
      </c>
      <c r="Y544" s="43" t="str">
        <f>IF(CCUS_Projects_Database!$R544&lt;&gt;"",HYPERLINK(CCUS_Projects_Database!$R544,"Link 1"),"")</f>
        <v>Link 1</v>
      </c>
      <c r="Z544" s="43" t="str">
        <f>IF(CCUS_Projects_Database!$S544&lt;&gt;"",HYPERLINK(CCUS_Projects_Database!$S544,"Link 2"),"")</f>
        <v>Link 2</v>
      </c>
      <c r="AA544" s="43" t="str">
        <f>IF(CCUS_Projects_Database!$T544&lt;&gt;"",HYPERLINK(CCUS_Projects_Database!$T544,"Link 3"),"")</f>
        <v>Link 3</v>
      </c>
      <c r="AB544" s="43" t="str">
        <f>IF(CCUS_Projects_Database!$U544&lt;&gt;"",HYPERLINK(CCUS_Projects_Database!$U544,"Link 4"),"")</f>
        <v>Link 4</v>
      </c>
      <c r="AC544" s="43" t="str">
        <f>IF(CCUS_Projects_Database!$V544&lt;&gt;"",HYPERLINK(CCUS_Projects_Database!$V544,"Link 5"),"")</f>
        <v/>
      </c>
      <c r="AD544" s="43" t="str">
        <f>IF(CCUS_Projects_Database!$W544&lt;&gt;"",HYPERLINK(CCUS_Projects_Database!$W544,"Link 6"),"")</f>
        <v/>
      </c>
      <c r="AE544" s="43" t="str">
        <f>IF(CCUS_Projects_Database!$X544&lt;&gt;"",HYPERLINK(CCUS_Projects_Database!$X544,"Link 7"),"")</f>
        <v/>
      </c>
    </row>
    <row r="545" ht="15.75" customHeight="1">
      <c r="A545" s="44" t="s">
        <v>2082</v>
      </c>
      <c r="B545" s="45">
        <v>282.0</v>
      </c>
      <c r="C545" s="45" t="s">
        <v>181</v>
      </c>
      <c r="D545" s="46" t="s">
        <v>2083</v>
      </c>
      <c r="E545" s="45" t="s">
        <v>14</v>
      </c>
      <c r="F545" s="45">
        <v>2022.0</v>
      </c>
      <c r="G545" s="45" t="s">
        <v>124</v>
      </c>
      <c r="H545" s="45" t="s">
        <v>124</v>
      </c>
      <c r="I545" s="45" t="s">
        <v>124</v>
      </c>
      <c r="J545" s="45" t="s">
        <v>28</v>
      </c>
      <c r="K545" s="47" t="s">
        <v>124</v>
      </c>
      <c r="L545" s="47"/>
      <c r="M545" s="47" t="s">
        <v>124</v>
      </c>
      <c r="N545" s="45" t="s">
        <v>14</v>
      </c>
      <c r="O545" s="48" t="s">
        <v>71</v>
      </c>
      <c r="P545" s="49" t="s">
        <v>2084</v>
      </c>
      <c r="Q545" s="45" t="s">
        <v>184</v>
      </c>
      <c r="R545" s="49" t="s">
        <v>1970</v>
      </c>
      <c r="S545" s="49" t="s">
        <v>2085</v>
      </c>
      <c r="T545" s="49" t="s">
        <v>124</v>
      </c>
      <c r="U545" s="49" t="s">
        <v>124</v>
      </c>
      <c r="V545" s="49" t="s">
        <v>124</v>
      </c>
      <c r="W545" s="49" t="s">
        <v>124</v>
      </c>
      <c r="X545" s="49" t="s">
        <v>124</v>
      </c>
      <c r="Y545" s="50" t="str">
        <f>IF(CCUS_Projects_Database!$R545&lt;&gt;"",HYPERLINK(CCUS_Projects_Database!$R545,"Link 1"),"")</f>
        <v>Link 1</v>
      </c>
      <c r="Z545" s="50" t="str">
        <f>IF(CCUS_Projects_Database!$S545&lt;&gt;"",HYPERLINK(CCUS_Projects_Database!$S545,"Link 2"),"")</f>
        <v>Link 2</v>
      </c>
      <c r="AA545" s="50" t="str">
        <f>IF(CCUS_Projects_Database!$T545&lt;&gt;"",HYPERLINK(CCUS_Projects_Database!$T545,"Link 3"),"")</f>
        <v/>
      </c>
      <c r="AB545" s="50" t="str">
        <f>IF(CCUS_Projects_Database!$U545&lt;&gt;"",HYPERLINK(CCUS_Projects_Database!$U545,"Link 4"),"")</f>
        <v/>
      </c>
      <c r="AC545" s="50" t="str">
        <f>IF(CCUS_Projects_Database!$V545&lt;&gt;"",HYPERLINK(CCUS_Projects_Database!$V545,"Link 5"),"")</f>
        <v/>
      </c>
      <c r="AD545" s="50" t="str">
        <f>IF(CCUS_Projects_Database!$W545&lt;&gt;"",HYPERLINK(CCUS_Projects_Database!$W545,"Link 6"),"")</f>
        <v/>
      </c>
      <c r="AE545" s="50" t="str">
        <f>IF(CCUS_Projects_Database!$X545&lt;&gt;"",HYPERLINK(CCUS_Projects_Database!$X545,"Link 7"),"")</f>
        <v/>
      </c>
    </row>
    <row r="546" ht="15.75" customHeight="1">
      <c r="A546" s="37" t="s">
        <v>2086</v>
      </c>
      <c r="B546" s="38">
        <v>283.0</v>
      </c>
      <c r="C546" s="38" t="s">
        <v>141</v>
      </c>
      <c r="D546" s="39" t="s">
        <v>2087</v>
      </c>
      <c r="E546" s="38" t="s">
        <v>6</v>
      </c>
      <c r="F546" s="38">
        <v>2019.0</v>
      </c>
      <c r="G546" s="38" t="s">
        <v>124</v>
      </c>
      <c r="H546" s="38">
        <v>2025.0</v>
      </c>
      <c r="I546" s="38" t="s">
        <v>124</v>
      </c>
      <c r="J546" s="38" t="s">
        <v>28</v>
      </c>
      <c r="K546" s="40" t="s">
        <v>124</v>
      </c>
      <c r="L546" s="51">
        <v>1.5</v>
      </c>
      <c r="M546" s="40">
        <v>1.5</v>
      </c>
      <c r="N546" s="38" t="s">
        <v>46</v>
      </c>
      <c r="O546" s="41" t="s">
        <v>71</v>
      </c>
      <c r="P546" s="42" t="s">
        <v>124</v>
      </c>
      <c r="Q546" s="38" t="s">
        <v>143</v>
      </c>
      <c r="R546" s="42" t="s">
        <v>637</v>
      </c>
      <c r="S546" s="42" t="s">
        <v>124</v>
      </c>
      <c r="T546" s="42" t="s">
        <v>124</v>
      </c>
      <c r="U546" s="42" t="s">
        <v>124</v>
      </c>
      <c r="V546" s="42" t="s">
        <v>124</v>
      </c>
      <c r="W546" s="42" t="s">
        <v>124</v>
      </c>
      <c r="X546" s="42" t="s">
        <v>124</v>
      </c>
      <c r="Y546" s="43" t="str">
        <f>IF(CCUS_Projects_Database!$R546&lt;&gt;"",HYPERLINK(CCUS_Projects_Database!$R546,"Link 1"),"")</f>
        <v>Link 1</v>
      </c>
      <c r="Z546" s="43" t="str">
        <f>IF(CCUS_Projects_Database!$S546&lt;&gt;"",HYPERLINK(CCUS_Projects_Database!$S546,"Link 2"),"")</f>
        <v/>
      </c>
      <c r="AA546" s="43" t="str">
        <f>IF(CCUS_Projects_Database!$T546&lt;&gt;"",HYPERLINK(CCUS_Projects_Database!$T546,"Link 3"),"")</f>
        <v/>
      </c>
      <c r="AB546" s="43" t="str">
        <f>IF(CCUS_Projects_Database!$U546&lt;&gt;"",HYPERLINK(CCUS_Projects_Database!$U546,"Link 4"),"")</f>
        <v/>
      </c>
      <c r="AC546" s="43" t="str">
        <f>IF(CCUS_Projects_Database!$V546&lt;&gt;"",HYPERLINK(CCUS_Projects_Database!$V546,"Link 5"),"")</f>
        <v/>
      </c>
      <c r="AD546" s="43" t="str">
        <f>IF(CCUS_Projects_Database!$W546&lt;&gt;"",HYPERLINK(CCUS_Projects_Database!$W546,"Link 6"),"")</f>
        <v/>
      </c>
      <c r="AE546" s="43" t="str">
        <f>IF(CCUS_Projects_Database!$X546&lt;&gt;"",HYPERLINK(CCUS_Projects_Database!$X546,"Link 7"),"")</f>
        <v/>
      </c>
    </row>
    <row r="547" ht="15.75" customHeight="1">
      <c r="A547" s="44" t="s">
        <v>2088</v>
      </c>
      <c r="B547" s="45">
        <v>858.0</v>
      </c>
      <c r="C547" s="45" t="s">
        <v>2089</v>
      </c>
      <c r="D547" s="46" t="s">
        <v>2090</v>
      </c>
      <c r="E547" s="45" t="s">
        <v>14</v>
      </c>
      <c r="F547" s="45">
        <v>2023.0</v>
      </c>
      <c r="G547" s="45" t="s">
        <v>124</v>
      </c>
      <c r="H547" s="45" t="s">
        <v>124</v>
      </c>
      <c r="I547" s="45" t="s">
        <v>124</v>
      </c>
      <c r="J547" s="45" t="s">
        <v>28</v>
      </c>
      <c r="K547" s="47" t="s">
        <v>124</v>
      </c>
      <c r="L547" s="47"/>
      <c r="M547" s="47" t="s">
        <v>124</v>
      </c>
      <c r="N547" s="45" t="s">
        <v>14</v>
      </c>
      <c r="O547" s="48" t="s">
        <v>77</v>
      </c>
      <c r="P547" s="49" t="s">
        <v>2091</v>
      </c>
      <c r="Q547" s="45" t="s">
        <v>148</v>
      </c>
      <c r="R547" s="49" t="s">
        <v>2092</v>
      </c>
      <c r="S547" s="49" t="s">
        <v>124</v>
      </c>
      <c r="T547" s="49" t="s">
        <v>124</v>
      </c>
      <c r="U547" s="49" t="s">
        <v>124</v>
      </c>
      <c r="V547" s="49" t="s">
        <v>124</v>
      </c>
      <c r="W547" s="49" t="s">
        <v>124</v>
      </c>
      <c r="X547" s="49" t="s">
        <v>124</v>
      </c>
      <c r="Y547" s="50" t="str">
        <f>IF(CCUS_Projects_Database!$R547&lt;&gt;"",HYPERLINK(CCUS_Projects_Database!$R547,"Link 1"),"")</f>
        <v>Link 1</v>
      </c>
      <c r="Z547" s="50" t="str">
        <f>IF(CCUS_Projects_Database!$S547&lt;&gt;"",HYPERLINK(CCUS_Projects_Database!$S547,"Link 2"),"")</f>
        <v/>
      </c>
      <c r="AA547" s="50" t="str">
        <f>IF(CCUS_Projects_Database!$T547&lt;&gt;"",HYPERLINK(CCUS_Projects_Database!$T547,"Link 3"),"")</f>
        <v/>
      </c>
      <c r="AB547" s="50" t="str">
        <f>IF(CCUS_Projects_Database!$U547&lt;&gt;"",HYPERLINK(CCUS_Projects_Database!$U547,"Link 4"),"")</f>
        <v/>
      </c>
      <c r="AC547" s="50" t="str">
        <f>IF(CCUS_Projects_Database!$V547&lt;&gt;"",HYPERLINK(CCUS_Projects_Database!$V547,"Link 5"),"")</f>
        <v/>
      </c>
      <c r="AD547" s="50" t="str">
        <f>IF(CCUS_Projects_Database!$W547&lt;&gt;"",HYPERLINK(CCUS_Projects_Database!$W547,"Link 6"),"")</f>
        <v/>
      </c>
      <c r="AE547" s="50" t="str">
        <f>IF(CCUS_Projects_Database!$X547&lt;&gt;"",HYPERLINK(CCUS_Projects_Database!$X547,"Link 7"),"")</f>
        <v/>
      </c>
    </row>
    <row r="548" ht="15.75" customHeight="1">
      <c r="A548" s="37" t="s">
        <v>2093</v>
      </c>
      <c r="B548" s="38">
        <v>1016.0</v>
      </c>
      <c r="C548" s="38" t="s">
        <v>1771</v>
      </c>
      <c r="D548" s="39" t="s">
        <v>2094</v>
      </c>
      <c r="E548" s="38" t="s">
        <v>8</v>
      </c>
      <c r="F548" s="38">
        <v>2024.0</v>
      </c>
      <c r="G548" s="38" t="s">
        <v>124</v>
      </c>
      <c r="H548" s="38" t="s">
        <v>124</v>
      </c>
      <c r="I548" s="38" t="s">
        <v>124</v>
      </c>
      <c r="J548" s="38" t="s">
        <v>28</v>
      </c>
      <c r="K548" s="40" t="s">
        <v>124</v>
      </c>
      <c r="L548" s="40"/>
      <c r="M548" s="40">
        <v>2.861</v>
      </c>
      <c r="N548" s="38" t="s">
        <v>46</v>
      </c>
      <c r="O548" s="41" t="s">
        <v>77</v>
      </c>
      <c r="P548" s="42" t="s">
        <v>124</v>
      </c>
      <c r="Q548" s="38" t="s">
        <v>137</v>
      </c>
      <c r="R548" s="42" t="s">
        <v>2095</v>
      </c>
      <c r="S548" s="42" t="s">
        <v>124</v>
      </c>
      <c r="T548" s="42" t="s">
        <v>124</v>
      </c>
      <c r="U548" s="42" t="s">
        <v>124</v>
      </c>
      <c r="V548" s="42" t="s">
        <v>124</v>
      </c>
      <c r="W548" s="42" t="s">
        <v>124</v>
      </c>
      <c r="X548" s="42" t="s">
        <v>124</v>
      </c>
      <c r="Y548" s="43" t="str">
        <f>IF(CCUS_Projects_Database!$R548&lt;&gt;"",HYPERLINK(CCUS_Projects_Database!$R548,"Link 1"),"")</f>
        <v>Link 1</v>
      </c>
      <c r="Z548" s="43" t="str">
        <f>IF(CCUS_Projects_Database!$S548&lt;&gt;"",HYPERLINK(CCUS_Projects_Database!$S548,"Link 2"),"")</f>
        <v/>
      </c>
      <c r="AA548" s="43" t="str">
        <f>IF(CCUS_Projects_Database!$T548&lt;&gt;"",HYPERLINK(CCUS_Projects_Database!$T548,"Link 3"),"")</f>
        <v/>
      </c>
      <c r="AB548" s="43" t="str">
        <f>IF(CCUS_Projects_Database!$U548&lt;&gt;"",HYPERLINK(CCUS_Projects_Database!$U548,"Link 4"),"")</f>
        <v/>
      </c>
      <c r="AC548" s="43" t="str">
        <f>IF(CCUS_Projects_Database!$V548&lt;&gt;"",HYPERLINK(CCUS_Projects_Database!$V548,"Link 5"),"")</f>
        <v/>
      </c>
      <c r="AD548" s="43" t="str">
        <f>IF(CCUS_Projects_Database!$W548&lt;&gt;"",HYPERLINK(CCUS_Projects_Database!$W548,"Link 6"),"")</f>
        <v/>
      </c>
      <c r="AE548" s="43" t="str">
        <f>IF(CCUS_Projects_Database!$X548&lt;&gt;"",HYPERLINK(CCUS_Projects_Database!$X548,"Link 7"),"")</f>
        <v/>
      </c>
    </row>
    <row r="549" ht="15.75" customHeight="1">
      <c r="A549" s="44" t="s">
        <v>2096</v>
      </c>
      <c r="B549" s="45">
        <v>443.0</v>
      </c>
      <c r="C549" s="45" t="s">
        <v>224</v>
      </c>
      <c r="D549" s="46" t="s">
        <v>2097</v>
      </c>
      <c r="E549" s="45" t="s">
        <v>8</v>
      </c>
      <c r="F549" s="45">
        <v>2022.0</v>
      </c>
      <c r="G549" s="45" t="s">
        <v>124</v>
      </c>
      <c r="H549" s="45" t="s">
        <v>124</v>
      </c>
      <c r="I549" s="45" t="s">
        <v>124</v>
      </c>
      <c r="J549" s="45" t="s">
        <v>28</v>
      </c>
      <c r="K549" s="47" t="s">
        <v>124</v>
      </c>
      <c r="L549" s="47"/>
      <c r="M549" s="47" t="s">
        <v>124</v>
      </c>
      <c r="N549" s="45" t="s">
        <v>60</v>
      </c>
      <c r="O549" s="48" t="s">
        <v>71</v>
      </c>
      <c r="P549" s="49" t="s">
        <v>2098</v>
      </c>
      <c r="Q549" s="45" t="s">
        <v>148</v>
      </c>
      <c r="R549" s="49" t="s">
        <v>1023</v>
      </c>
      <c r="S549" s="49" t="s">
        <v>124</v>
      </c>
      <c r="T549" s="49" t="s">
        <v>124</v>
      </c>
      <c r="U549" s="49" t="s">
        <v>124</v>
      </c>
      <c r="V549" s="49" t="s">
        <v>124</v>
      </c>
      <c r="W549" s="49" t="s">
        <v>124</v>
      </c>
      <c r="X549" s="49" t="s">
        <v>124</v>
      </c>
      <c r="Y549" s="50" t="str">
        <f>IF(CCUS_Projects_Database!$R549&lt;&gt;"",HYPERLINK(CCUS_Projects_Database!$R549,"Link 1"),"")</f>
        <v>Link 1</v>
      </c>
      <c r="Z549" s="50" t="str">
        <f>IF(CCUS_Projects_Database!$S549&lt;&gt;"",HYPERLINK(CCUS_Projects_Database!$S549,"Link 2"),"")</f>
        <v/>
      </c>
      <c r="AA549" s="50" t="str">
        <f>IF(CCUS_Projects_Database!$T549&lt;&gt;"",HYPERLINK(CCUS_Projects_Database!$T549,"Link 3"),"")</f>
        <v/>
      </c>
      <c r="AB549" s="50" t="str">
        <f>IF(CCUS_Projects_Database!$U549&lt;&gt;"",HYPERLINK(CCUS_Projects_Database!$U549,"Link 4"),"")</f>
        <v/>
      </c>
      <c r="AC549" s="50" t="str">
        <f>IF(CCUS_Projects_Database!$V549&lt;&gt;"",HYPERLINK(CCUS_Projects_Database!$V549,"Link 5"),"")</f>
        <v/>
      </c>
      <c r="AD549" s="50" t="str">
        <f>IF(CCUS_Projects_Database!$W549&lt;&gt;"",HYPERLINK(CCUS_Projects_Database!$W549,"Link 6"),"")</f>
        <v/>
      </c>
      <c r="AE549" s="50" t="str">
        <f>IF(CCUS_Projects_Database!$X549&lt;&gt;"",HYPERLINK(CCUS_Projects_Database!$X549,"Link 7"),"")</f>
        <v/>
      </c>
    </row>
    <row r="550" ht="15.75" customHeight="1">
      <c r="A550" s="37" t="s">
        <v>2099</v>
      </c>
      <c r="B550" s="38">
        <v>774.0</v>
      </c>
      <c r="C550" s="38" t="s">
        <v>157</v>
      </c>
      <c r="D550" s="39" t="s">
        <v>1255</v>
      </c>
      <c r="E550" s="38" t="s">
        <v>10</v>
      </c>
      <c r="F550" s="38">
        <v>2023.0</v>
      </c>
      <c r="G550" s="38" t="s">
        <v>124</v>
      </c>
      <c r="H550" s="38" t="s">
        <v>124</v>
      </c>
      <c r="I550" s="38" t="s">
        <v>124</v>
      </c>
      <c r="J550" s="38" t="s">
        <v>28</v>
      </c>
      <c r="K550" s="40" t="s">
        <v>124</v>
      </c>
      <c r="L550" s="40"/>
      <c r="M550" s="40" t="s">
        <v>124</v>
      </c>
      <c r="N550" s="38" t="s">
        <v>10</v>
      </c>
      <c r="O550" s="41" t="s">
        <v>71</v>
      </c>
      <c r="P550" s="42" t="s">
        <v>281</v>
      </c>
      <c r="Q550" s="38" t="s">
        <v>125</v>
      </c>
      <c r="R550" s="42" t="s">
        <v>1256</v>
      </c>
      <c r="S550" s="42" t="s">
        <v>124</v>
      </c>
      <c r="T550" s="42" t="s">
        <v>124</v>
      </c>
      <c r="U550" s="42" t="s">
        <v>124</v>
      </c>
      <c r="V550" s="42" t="s">
        <v>124</v>
      </c>
      <c r="W550" s="42" t="s">
        <v>124</v>
      </c>
      <c r="X550" s="42" t="s">
        <v>124</v>
      </c>
      <c r="Y550" s="43" t="str">
        <f>IF(CCUS_Projects_Database!$R550&lt;&gt;"",HYPERLINK(CCUS_Projects_Database!$R550,"Link 1"),"")</f>
        <v>Link 1</v>
      </c>
      <c r="Z550" s="43" t="str">
        <f>IF(CCUS_Projects_Database!$S550&lt;&gt;"",HYPERLINK(CCUS_Projects_Database!$S550,"Link 2"),"")</f>
        <v/>
      </c>
      <c r="AA550" s="43" t="str">
        <f>IF(CCUS_Projects_Database!$T550&lt;&gt;"",HYPERLINK(CCUS_Projects_Database!$T550,"Link 3"),"")</f>
        <v/>
      </c>
      <c r="AB550" s="43" t="str">
        <f>IF(CCUS_Projects_Database!$U550&lt;&gt;"",HYPERLINK(CCUS_Projects_Database!$U550,"Link 4"),"")</f>
        <v/>
      </c>
      <c r="AC550" s="43" t="str">
        <f>IF(CCUS_Projects_Database!$V550&lt;&gt;"",HYPERLINK(CCUS_Projects_Database!$V550,"Link 5"),"")</f>
        <v/>
      </c>
      <c r="AD550" s="43" t="str">
        <f>IF(CCUS_Projects_Database!$W550&lt;&gt;"",HYPERLINK(CCUS_Projects_Database!$W550,"Link 6"),"")</f>
        <v/>
      </c>
      <c r="AE550" s="43" t="str">
        <f>IF(CCUS_Projects_Database!$X550&lt;&gt;"",HYPERLINK(CCUS_Projects_Database!$X550,"Link 7"),"")</f>
        <v/>
      </c>
    </row>
    <row r="551" ht="15.75" customHeight="1">
      <c r="A551" s="44" t="s">
        <v>2100</v>
      </c>
      <c r="B551" s="45">
        <v>1115.0</v>
      </c>
      <c r="C551" s="45" t="s">
        <v>122</v>
      </c>
      <c r="D551" s="46" t="s">
        <v>2101</v>
      </c>
      <c r="E551" s="45" t="s">
        <v>8</v>
      </c>
      <c r="F551" s="45">
        <v>2023.0</v>
      </c>
      <c r="G551" s="45">
        <v>2027.0</v>
      </c>
      <c r="H551" s="45">
        <v>2030.0</v>
      </c>
      <c r="I551" s="45" t="s">
        <v>124</v>
      </c>
      <c r="J551" s="45" t="s">
        <v>28</v>
      </c>
      <c r="K551" s="47" t="s">
        <v>124</v>
      </c>
      <c r="L551" s="47"/>
      <c r="M551" s="47">
        <v>1.6</v>
      </c>
      <c r="N551" s="45" t="s">
        <v>56</v>
      </c>
      <c r="O551" s="48" t="s">
        <v>71</v>
      </c>
      <c r="P551" s="49" t="s">
        <v>1415</v>
      </c>
      <c r="Q551" s="45" t="s">
        <v>125</v>
      </c>
      <c r="R551" s="49" t="s">
        <v>1417</v>
      </c>
      <c r="S551" s="49" t="s">
        <v>124</v>
      </c>
      <c r="T551" s="49" t="s">
        <v>124</v>
      </c>
      <c r="U551" s="49" t="s">
        <v>124</v>
      </c>
      <c r="V551" s="49" t="s">
        <v>124</v>
      </c>
      <c r="W551" s="49" t="s">
        <v>124</v>
      </c>
      <c r="X551" s="49" t="s">
        <v>124</v>
      </c>
      <c r="Y551" s="50" t="str">
        <f>IF(CCUS_Projects_Database!$R551&lt;&gt;"",HYPERLINK(CCUS_Projects_Database!$R551,"Link 1"),"")</f>
        <v>Link 1</v>
      </c>
      <c r="Z551" s="50" t="str">
        <f>IF(CCUS_Projects_Database!$S551&lt;&gt;"",HYPERLINK(CCUS_Projects_Database!$S551,"Link 2"),"")</f>
        <v/>
      </c>
      <c r="AA551" s="50" t="str">
        <f>IF(CCUS_Projects_Database!$T551&lt;&gt;"",HYPERLINK(CCUS_Projects_Database!$T551,"Link 3"),"")</f>
        <v/>
      </c>
      <c r="AB551" s="50" t="str">
        <f>IF(CCUS_Projects_Database!$U551&lt;&gt;"",HYPERLINK(CCUS_Projects_Database!$U551,"Link 4"),"")</f>
        <v/>
      </c>
      <c r="AC551" s="50" t="str">
        <f>IF(CCUS_Projects_Database!$V551&lt;&gt;"",HYPERLINK(CCUS_Projects_Database!$V551,"Link 5"),"")</f>
        <v/>
      </c>
      <c r="AD551" s="50" t="str">
        <f>IF(CCUS_Projects_Database!$W551&lt;&gt;"",HYPERLINK(CCUS_Projects_Database!$W551,"Link 6"),"")</f>
        <v/>
      </c>
      <c r="AE551" s="50" t="str">
        <f>IF(CCUS_Projects_Database!$X551&lt;&gt;"",HYPERLINK(CCUS_Projects_Database!$X551,"Link 7"),"")</f>
        <v/>
      </c>
    </row>
    <row r="552" ht="15.75" customHeight="1">
      <c r="A552" s="37" t="s">
        <v>2102</v>
      </c>
      <c r="B552" s="38">
        <v>543.0</v>
      </c>
      <c r="C552" s="38" t="s">
        <v>141</v>
      </c>
      <c r="D552" s="39" t="s">
        <v>2103</v>
      </c>
      <c r="E552" s="38" t="s">
        <v>8</v>
      </c>
      <c r="F552" s="38">
        <v>2022.0</v>
      </c>
      <c r="G552" s="38" t="s">
        <v>124</v>
      </c>
      <c r="H552" s="38">
        <v>2026.0</v>
      </c>
      <c r="I552" s="38" t="s">
        <v>124</v>
      </c>
      <c r="J552" s="38" t="s">
        <v>28</v>
      </c>
      <c r="K552" s="40" t="s">
        <v>124</v>
      </c>
      <c r="L552" s="40"/>
      <c r="M552" s="40" t="s">
        <v>124</v>
      </c>
      <c r="N552" s="38" t="s">
        <v>46</v>
      </c>
      <c r="O552" s="41" t="s">
        <v>71</v>
      </c>
      <c r="P552" s="42" t="s">
        <v>124</v>
      </c>
      <c r="Q552" s="38" t="s">
        <v>143</v>
      </c>
      <c r="R552" s="42" t="s">
        <v>2104</v>
      </c>
      <c r="S552" s="42" t="s">
        <v>124</v>
      </c>
      <c r="T552" s="42" t="s">
        <v>124</v>
      </c>
      <c r="U552" s="42" t="s">
        <v>124</v>
      </c>
      <c r="V552" s="42" t="s">
        <v>124</v>
      </c>
      <c r="W552" s="42" t="s">
        <v>124</v>
      </c>
      <c r="X552" s="42" t="s">
        <v>124</v>
      </c>
      <c r="Y552" s="43" t="str">
        <f>IF(CCUS_Projects_Database!$R552&lt;&gt;"",HYPERLINK(CCUS_Projects_Database!$R552,"Link 1"),"")</f>
        <v>Link 1</v>
      </c>
      <c r="Z552" s="43" t="str">
        <f>IF(CCUS_Projects_Database!$S552&lt;&gt;"",HYPERLINK(CCUS_Projects_Database!$S552,"Link 2"),"")</f>
        <v/>
      </c>
      <c r="AA552" s="43" t="str">
        <f>IF(CCUS_Projects_Database!$T552&lt;&gt;"",HYPERLINK(CCUS_Projects_Database!$T552,"Link 3"),"")</f>
        <v/>
      </c>
      <c r="AB552" s="43" t="str">
        <f>IF(CCUS_Projects_Database!$U552&lt;&gt;"",HYPERLINK(CCUS_Projects_Database!$U552,"Link 4"),"")</f>
        <v/>
      </c>
      <c r="AC552" s="43" t="str">
        <f>IF(CCUS_Projects_Database!$V552&lt;&gt;"",HYPERLINK(CCUS_Projects_Database!$V552,"Link 5"),"")</f>
        <v/>
      </c>
      <c r="AD552" s="43" t="str">
        <f>IF(CCUS_Projects_Database!$W552&lt;&gt;"",HYPERLINK(CCUS_Projects_Database!$W552,"Link 6"),"")</f>
        <v/>
      </c>
      <c r="AE552" s="43" t="str">
        <f>IF(CCUS_Projects_Database!$X552&lt;&gt;"",HYPERLINK(CCUS_Projects_Database!$X552,"Link 7"),"")</f>
        <v/>
      </c>
    </row>
    <row r="553" ht="15.75" customHeight="1">
      <c r="A553" s="44" t="s">
        <v>2105</v>
      </c>
      <c r="B553" s="45">
        <v>287.0</v>
      </c>
      <c r="C553" s="45" t="s">
        <v>157</v>
      </c>
      <c r="D553" s="46" t="s">
        <v>2106</v>
      </c>
      <c r="E553" s="45" t="s">
        <v>8</v>
      </c>
      <c r="F553" s="45">
        <v>2018.0</v>
      </c>
      <c r="G553" s="45">
        <v>2024.0</v>
      </c>
      <c r="H553" s="45">
        <v>2027.0</v>
      </c>
      <c r="I553" s="45" t="s">
        <v>124</v>
      </c>
      <c r="J553" s="45" t="s">
        <v>28</v>
      </c>
      <c r="K553" s="47" t="s">
        <v>124</v>
      </c>
      <c r="L553" s="52">
        <v>2.0</v>
      </c>
      <c r="M553" s="47">
        <v>2.0</v>
      </c>
      <c r="N553" s="45" t="s">
        <v>46</v>
      </c>
      <c r="O553" s="48" t="s">
        <v>71</v>
      </c>
      <c r="P553" s="49" t="s">
        <v>281</v>
      </c>
      <c r="Q553" s="45" t="s">
        <v>125</v>
      </c>
      <c r="R553" s="49" t="s">
        <v>2107</v>
      </c>
      <c r="S553" s="49" t="s">
        <v>545</v>
      </c>
      <c r="T553" s="49" t="s">
        <v>2108</v>
      </c>
      <c r="U553" s="49" t="s">
        <v>2109</v>
      </c>
      <c r="V553" s="49" t="s">
        <v>2110</v>
      </c>
      <c r="W553" s="49" t="s">
        <v>124</v>
      </c>
      <c r="X553" s="49" t="s">
        <v>124</v>
      </c>
      <c r="Y553" s="50" t="str">
        <f>IF(CCUS_Projects_Database!$R553&lt;&gt;"",HYPERLINK(CCUS_Projects_Database!$R553,"Link 1"),"")</f>
        <v>Link 1</v>
      </c>
      <c r="Z553" s="50" t="str">
        <f>IF(CCUS_Projects_Database!$S553&lt;&gt;"",HYPERLINK(CCUS_Projects_Database!$S553,"Link 2"),"")</f>
        <v>Link 2</v>
      </c>
      <c r="AA553" s="50" t="str">
        <f>IF(CCUS_Projects_Database!$T553&lt;&gt;"",HYPERLINK(CCUS_Projects_Database!$T553,"Link 3"),"")</f>
        <v>Link 3</v>
      </c>
      <c r="AB553" s="50" t="str">
        <f>IF(CCUS_Projects_Database!$U553&lt;&gt;"",HYPERLINK(CCUS_Projects_Database!$U553,"Link 4"),"")</f>
        <v>Link 4</v>
      </c>
      <c r="AC553" s="50" t="str">
        <f>IF(CCUS_Projects_Database!$V553&lt;&gt;"",HYPERLINK(CCUS_Projects_Database!$V553,"Link 5"),"")</f>
        <v>Link 5</v>
      </c>
      <c r="AD553" s="50" t="str">
        <f>IF(CCUS_Projects_Database!$W553&lt;&gt;"",HYPERLINK(CCUS_Projects_Database!$W553,"Link 6"),"")</f>
        <v/>
      </c>
      <c r="AE553" s="50" t="str">
        <f>IF(CCUS_Projects_Database!$X553&lt;&gt;"",HYPERLINK(CCUS_Projects_Database!$X553,"Link 7"),"")</f>
        <v/>
      </c>
    </row>
    <row r="554" ht="15.75" customHeight="1">
      <c r="A554" s="37" t="s">
        <v>2111</v>
      </c>
      <c r="B554" s="38">
        <v>20.0</v>
      </c>
      <c r="C554" s="38" t="s">
        <v>239</v>
      </c>
      <c r="D554" s="39" t="s">
        <v>2112</v>
      </c>
      <c r="E554" s="38" t="s">
        <v>8</v>
      </c>
      <c r="F554" s="38">
        <v>2021.0</v>
      </c>
      <c r="G554" s="38">
        <v>2022.0</v>
      </c>
      <c r="H554" s="38">
        <v>2024.0</v>
      </c>
      <c r="I554" s="38" t="s">
        <v>124</v>
      </c>
      <c r="J554" s="38" t="s">
        <v>30</v>
      </c>
      <c r="K554" s="40" t="s">
        <v>124</v>
      </c>
      <c r="L554" s="40"/>
      <c r="M554" s="40" t="s">
        <v>124</v>
      </c>
      <c r="N554" s="38" t="s">
        <v>136</v>
      </c>
      <c r="O554" s="41" t="s">
        <v>77</v>
      </c>
      <c r="P554" s="42" t="s">
        <v>272</v>
      </c>
      <c r="Q554" s="38" t="s">
        <v>143</v>
      </c>
      <c r="R554" s="42" t="s">
        <v>2113</v>
      </c>
      <c r="S554" s="42" t="s">
        <v>2113</v>
      </c>
      <c r="T554" s="42" t="s">
        <v>2114</v>
      </c>
      <c r="U554" s="42" t="s">
        <v>2115</v>
      </c>
      <c r="V554" s="42" t="s">
        <v>2116</v>
      </c>
      <c r="W554" s="42" t="s">
        <v>2117</v>
      </c>
      <c r="X554" s="42" t="s">
        <v>2118</v>
      </c>
      <c r="Y554" s="43" t="str">
        <f>IF(CCUS_Projects_Database!$R554&lt;&gt;"",HYPERLINK(CCUS_Projects_Database!$R554,"Link 1"),"")</f>
        <v>Link 1</v>
      </c>
      <c r="Z554" s="43" t="str">
        <f>IF(CCUS_Projects_Database!$S554&lt;&gt;"",HYPERLINK(CCUS_Projects_Database!$S554,"Link 2"),"")</f>
        <v>Link 2</v>
      </c>
      <c r="AA554" s="43" t="str">
        <f>IF(CCUS_Projects_Database!$T554&lt;&gt;"",HYPERLINK(CCUS_Projects_Database!$T554,"Link 3"),"")</f>
        <v>Link 3</v>
      </c>
      <c r="AB554" s="43" t="str">
        <f>IF(CCUS_Projects_Database!$U554&lt;&gt;"",HYPERLINK(CCUS_Projects_Database!$U554,"Link 4"),"")</f>
        <v>Link 4</v>
      </c>
      <c r="AC554" s="43" t="str">
        <f>IF(CCUS_Projects_Database!$V554&lt;&gt;"",HYPERLINK(CCUS_Projects_Database!$V554,"Link 5"),"")</f>
        <v>Link 5</v>
      </c>
      <c r="AD554" s="43" t="str">
        <f>IF(CCUS_Projects_Database!$W554&lt;&gt;"",HYPERLINK(CCUS_Projects_Database!$W554,"Link 6"),"")</f>
        <v>Link 6</v>
      </c>
      <c r="AE554" s="43" t="str">
        <f>IF(CCUS_Projects_Database!$X554&lt;&gt;"",HYPERLINK(CCUS_Projects_Database!$X554,"Link 7"),"")</f>
        <v>Link 7</v>
      </c>
    </row>
    <row r="555" ht="15.75" customHeight="1">
      <c r="A555" s="44" t="s">
        <v>2119</v>
      </c>
      <c r="B555" s="45">
        <v>288.0</v>
      </c>
      <c r="C555" s="45" t="s">
        <v>141</v>
      </c>
      <c r="D555" s="46" t="s">
        <v>2120</v>
      </c>
      <c r="E555" s="45" t="s">
        <v>8</v>
      </c>
      <c r="F555" s="45">
        <v>2021.0</v>
      </c>
      <c r="G555" s="45">
        <v>2024.0</v>
      </c>
      <c r="H555" s="45">
        <v>2025.0</v>
      </c>
      <c r="I555" s="45" t="s">
        <v>124</v>
      </c>
      <c r="J555" s="45" t="s">
        <v>28</v>
      </c>
      <c r="K555" s="47" t="s">
        <v>124</v>
      </c>
      <c r="L555" s="52">
        <v>5.0</v>
      </c>
      <c r="M555" s="47">
        <v>5.0</v>
      </c>
      <c r="N555" s="45" t="s">
        <v>48</v>
      </c>
      <c r="O555" s="48" t="s">
        <v>77</v>
      </c>
      <c r="P555" s="49" t="s">
        <v>2121</v>
      </c>
      <c r="Q555" s="45" t="s">
        <v>143</v>
      </c>
      <c r="R555" s="49" t="s">
        <v>2122</v>
      </c>
      <c r="S555" s="49" t="s">
        <v>2123</v>
      </c>
      <c r="T555" s="49" t="s">
        <v>124</v>
      </c>
      <c r="U555" s="49" t="s">
        <v>124</v>
      </c>
      <c r="V555" s="49" t="s">
        <v>124</v>
      </c>
      <c r="W555" s="49" t="s">
        <v>124</v>
      </c>
      <c r="X555" s="49" t="s">
        <v>124</v>
      </c>
      <c r="Y555" s="50" t="str">
        <f>IF(CCUS_Projects_Database!$R555&lt;&gt;"",HYPERLINK(CCUS_Projects_Database!$R555,"Link 1"),"")</f>
        <v>Link 1</v>
      </c>
      <c r="Z555" s="50" t="str">
        <f>IF(CCUS_Projects_Database!$S555&lt;&gt;"",HYPERLINK(CCUS_Projects_Database!$S555,"Link 2"),"")</f>
        <v>Link 2</v>
      </c>
      <c r="AA555" s="50" t="str">
        <f>IF(CCUS_Projects_Database!$T555&lt;&gt;"",HYPERLINK(CCUS_Projects_Database!$T555,"Link 3"),"")</f>
        <v/>
      </c>
      <c r="AB555" s="50" t="str">
        <f>IF(CCUS_Projects_Database!$U555&lt;&gt;"",HYPERLINK(CCUS_Projects_Database!$U555,"Link 4"),"")</f>
        <v/>
      </c>
      <c r="AC555" s="50" t="str">
        <f>IF(CCUS_Projects_Database!$V555&lt;&gt;"",HYPERLINK(CCUS_Projects_Database!$V555,"Link 5"),"")</f>
        <v/>
      </c>
      <c r="AD555" s="50" t="str">
        <f>IF(CCUS_Projects_Database!$W555&lt;&gt;"",HYPERLINK(CCUS_Projects_Database!$W555,"Link 6"),"")</f>
        <v/>
      </c>
      <c r="AE555" s="50" t="str">
        <f>IF(CCUS_Projects_Database!$X555&lt;&gt;"",HYPERLINK(CCUS_Projects_Database!$X555,"Link 7"),"")</f>
        <v/>
      </c>
    </row>
    <row r="556" ht="15.75" customHeight="1">
      <c r="A556" s="37" t="s">
        <v>2124</v>
      </c>
      <c r="B556" s="38">
        <v>802.0</v>
      </c>
      <c r="C556" s="38" t="s">
        <v>1099</v>
      </c>
      <c r="D556" s="39" t="s">
        <v>2125</v>
      </c>
      <c r="E556" s="38" t="s">
        <v>10</v>
      </c>
      <c r="F556" s="38">
        <v>2023.0</v>
      </c>
      <c r="G556" s="38" t="s">
        <v>124</v>
      </c>
      <c r="H556" s="38">
        <v>2027.0</v>
      </c>
      <c r="I556" s="38" t="s">
        <v>124</v>
      </c>
      <c r="J556" s="38" t="s">
        <v>28</v>
      </c>
      <c r="K556" s="40" t="s">
        <v>124</v>
      </c>
      <c r="L556" s="40"/>
      <c r="M556" s="40" t="s">
        <v>124</v>
      </c>
      <c r="N556" s="38" t="s">
        <v>10</v>
      </c>
      <c r="O556" s="41" t="s">
        <v>77</v>
      </c>
      <c r="P556" s="42" t="s">
        <v>124</v>
      </c>
      <c r="Q556" s="38" t="s">
        <v>148</v>
      </c>
      <c r="R556" s="42" t="s">
        <v>2126</v>
      </c>
      <c r="S556" s="42" t="s">
        <v>124</v>
      </c>
      <c r="T556" s="42" t="s">
        <v>124</v>
      </c>
      <c r="U556" s="42" t="s">
        <v>124</v>
      </c>
      <c r="V556" s="42" t="s">
        <v>124</v>
      </c>
      <c r="W556" s="42" t="s">
        <v>124</v>
      </c>
      <c r="X556" s="42" t="s">
        <v>124</v>
      </c>
      <c r="Y556" s="43" t="str">
        <f>IF(CCUS_Projects_Database!$R556&lt;&gt;"",HYPERLINK(CCUS_Projects_Database!$R556,"Link 1"),"")</f>
        <v>Link 1</v>
      </c>
      <c r="Z556" s="43" t="str">
        <f>IF(CCUS_Projects_Database!$S556&lt;&gt;"",HYPERLINK(CCUS_Projects_Database!$S556,"Link 2"),"")</f>
        <v/>
      </c>
      <c r="AA556" s="43" t="str">
        <f>IF(CCUS_Projects_Database!$T556&lt;&gt;"",HYPERLINK(CCUS_Projects_Database!$T556,"Link 3"),"")</f>
        <v/>
      </c>
      <c r="AB556" s="43" t="str">
        <f>IF(CCUS_Projects_Database!$U556&lt;&gt;"",HYPERLINK(CCUS_Projects_Database!$U556,"Link 4"),"")</f>
        <v/>
      </c>
      <c r="AC556" s="43" t="str">
        <f>IF(CCUS_Projects_Database!$V556&lt;&gt;"",HYPERLINK(CCUS_Projects_Database!$V556,"Link 5"),"")</f>
        <v/>
      </c>
      <c r="AD556" s="43" t="str">
        <f>IF(CCUS_Projects_Database!$W556&lt;&gt;"",HYPERLINK(CCUS_Projects_Database!$W556,"Link 6"),"")</f>
        <v/>
      </c>
      <c r="AE556" s="43" t="str">
        <f>IF(CCUS_Projects_Database!$X556&lt;&gt;"",HYPERLINK(CCUS_Projects_Database!$X556,"Link 7"),"")</f>
        <v/>
      </c>
    </row>
    <row r="557" ht="15.75" customHeight="1">
      <c r="A557" s="44" t="s">
        <v>2127</v>
      </c>
      <c r="B557" s="45">
        <v>679.0</v>
      </c>
      <c r="C557" s="45" t="s">
        <v>204</v>
      </c>
      <c r="D557" s="46" t="s">
        <v>2128</v>
      </c>
      <c r="E557" s="45" t="s">
        <v>14</v>
      </c>
      <c r="F557" s="45">
        <v>2023.0</v>
      </c>
      <c r="G557" s="45">
        <v>2027.0</v>
      </c>
      <c r="H557" s="45">
        <v>2030.0</v>
      </c>
      <c r="I557" s="45" t="s">
        <v>124</v>
      </c>
      <c r="J557" s="45" t="s">
        <v>28</v>
      </c>
      <c r="K557" s="47">
        <v>1.0</v>
      </c>
      <c r="L557" s="52">
        <v>8.0</v>
      </c>
      <c r="M557" s="47">
        <v>8.0</v>
      </c>
      <c r="N557" s="45" t="s">
        <v>14</v>
      </c>
      <c r="O557" s="48" t="s">
        <v>71</v>
      </c>
      <c r="P557" s="49" t="s">
        <v>2129</v>
      </c>
      <c r="Q557" s="45" t="s">
        <v>125</v>
      </c>
      <c r="R557" s="49" t="s">
        <v>407</v>
      </c>
      <c r="S557" s="49" t="s">
        <v>2130</v>
      </c>
      <c r="T557" s="49" t="s">
        <v>124</v>
      </c>
      <c r="U557" s="49" t="s">
        <v>124</v>
      </c>
      <c r="V557" s="49" t="s">
        <v>124</v>
      </c>
      <c r="W557" s="49" t="s">
        <v>124</v>
      </c>
      <c r="X557" s="49" t="s">
        <v>124</v>
      </c>
      <c r="Y557" s="50" t="str">
        <f>IF(CCUS_Projects_Database!$R557&lt;&gt;"",HYPERLINK(CCUS_Projects_Database!$R557,"Link 1"),"")</f>
        <v>Link 1</v>
      </c>
      <c r="Z557" s="50" t="str">
        <f>IF(CCUS_Projects_Database!$S557&lt;&gt;"",HYPERLINK(CCUS_Projects_Database!$S557,"Link 2"),"")</f>
        <v>Link 2</v>
      </c>
      <c r="AA557" s="50" t="str">
        <f>IF(CCUS_Projects_Database!$T557&lt;&gt;"",HYPERLINK(CCUS_Projects_Database!$T557,"Link 3"),"")</f>
        <v/>
      </c>
      <c r="AB557" s="50" t="str">
        <f>IF(CCUS_Projects_Database!$U557&lt;&gt;"",HYPERLINK(CCUS_Projects_Database!$U557,"Link 4"),"")</f>
        <v/>
      </c>
      <c r="AC557" s="50" t="str">
        <f>IF(CCUS_Projects_Database!$V557&lt;&gt;"",HYPERLINK(CCUS_Projects_Database!$V557,"Link 5"),"")</f>
        <v/>
      </c>
      <c r="AD557" s="50" t="str">
        <f>IF(CCUS_Projects_Database!$W557&lt;&gt;"",HYPERLINK(CCUS_Projects_Database!$W557,"Link 6"),"")</f>
        <v/>
      </c>
      <c r="AE557" s="50" t="str">
        <f>IF(CCUS_Projects_Database!$X557&lt;&gt;"",HYPERLINK(CCUS_Projects_Database!$X557,"Link 7"),"")</f>
        <v/>
      </c>
    </row>
    <row r="558" ht="15.75" customHeight="1">
      <c r="A558" s="37" t="s">
        <v>2131</v>
      </c>
      <c r="B558" s="38">
        <v>946.0</v>
      </c>
      <c r="C558" s="38" t="s">
        <v>257</v>
      </c>
      <c r="D558" s="39" t="s">
        <v>2132</v>
      </c>
      <c r="E558" s="38" t="s">
        <v>8</v>
      </c>
      <c r="F558" s="38">
        <v>2023.0</v>
      </c>
      <c r="G558" s="38" t="s">
        <v>124</v>
      </c>
      <c r="H558" s="38" t="s">
        <v>124</v>
      </c>
      <c r="I558" s="38" t="s">
        <v>124</v>
      </c>
      <c r="J558" s="38" t="s">
        <v>28</v>
      </c>
      <c r="K558" s="40" t="s">
        <v>124</v>
      </c>
      <c r="L558" s="51">
        <v>0.2</v>
      </c>
      <c r="M558" s="40">
        <v>0.2</v>
      </c>
      <c r="N558" s="38" t="s">
        <v>46</v>
      </c>
      <c r="O558" s="41" t="s">
        <v>71</v>
      </c>
      <c r="P558" s="42" t="s">
        <v>124</v>
      </c>
      <c r="Q558" s="38" t="s">
        <v>125</v>
      </c>
      <c r="R558" s="42" t="s">
        <v>2133</v>
      </c>
      <c r="S558" s="42" t="s">
        <v>2134</v>
      </c>
      <c r="T558" s="42" t="s">
        <v>124</v>
      </c>
      <c r="U558" s="42" t="s">
        <v>124</v>
      </c>
      <c r="V558" s="42" t="s">
        <v>124</v>
      </c>
      <c r="W558" s="42" t="s">
        <v>124</v>
      </c>
      <c r="X558" s="42" t="s">
        <v>124</v>
      </c>
      <c r="Y558" s="43" t="str">
        <f>IF(CCUS_Projects_Database!$R558&lt;&gt;"",HYPERLINK(CCUS_Projects_Database!$R558,"Link 1"),"")</f>
        <v>Link 1</v>
      </c>
      <c r="Z558" s="43" t="str">
        <f>IF(CCUS_Projects_Database!$S558&lt;&gt;"",HYPERLINK(CCUS_Projects_Database!$S558,"Link 2"),"")</f>
        <v>Link 2</v>
      </c>
      <c r="AA558" s="43" t="str">
        <f>IF(CCUS_Projects_Database!$T558&lt;&gt;"",HYPERLINK(CCUS_Projects_Database!$T558,"Link 3"),"")</f>
        <v/>
      </c>
      <c r="AB558" s="43" t="str">
        <f>IF(CCUS_Projects_Database!$U558&lt;&gt;"",HYPERLINK(CCUS_Projects_Database!$U558,"Link 4"),"")</f>
        <v/>
      </c>
      <c r="AC558" s="43" t="str">
        <f>IF(CCUS_Projects_Database!$V558&lt;&gt;"",HYPERLINK(CCUS_Projects_Database!$V558,"Link 5"),"")</f>
        <v/>
      </c>
      <c r="AD558" s="43" t="str">
        <f>IF(CCUS_Projects_Database!$W558&lt;&gt;"",HYPERLINK(CCUS_Projects_Database!$W558,"Link 6"),"")</f>
        <v/>
      </c>
      <c r="AE558" s="43" t="str">
        <f>IF(CCUS_Projects_Database!$X558&lt;&gt;"",HYPERLINK(CCUS_Projects_Database!$X558,"Link 7"),"")</f>
        <v/>
      </c>
    </row>
    <row r="559" ht="15.75" customHeight="1">
      <c r="A559" s="44" t="s">
        <v>2135</v>
      </c>
      <c r="B559" s="45">
        <v>290.0</v>
      </c>
      <c r="C559" s="45" t="s">
        <v>284</v>
      </c>
      <c r="D559" s="46" t="s">
        <v>2136</v>
      </c>
      <c r="E559" s="45" t="s">
        <v>8</v>
      </c>
      <c r="F559" s="45">
        <v>2019.0</v>
      </c>
      <c r="G559" s="45" t="s">
        <v>124</v>
      </c>
      <c r="H559" s="45">
        <v>2035.0</v>
      </c>
      <c r="I559" s="45" t="s">
        <v>124</v>
      </c>
      <c r="J559" s="45" t="s">
        <v>28</v>
      </c>
      <c r="K559" s="47" t="s">
        <v>124</v>
      </c>
      <c r="L559" s="52">
        <v>0.15</v>
      </c>
      <c r="M559" s="47">
        <v>0.15</v>
      </c>
      <c r="N559" s="45" t="s">
        <v>62</v>
      </c>
      <c r="O559" s="48" t="s">
        <v>71</v>
      </c>
      <c r="P559" s="49" t="s">
        <v>375</v>
      </c>
      <c r="Q559" s="45" t="s">
        <v>125</v>
      </c>
      <c r="R559" s="49" t="s">
        <v>528</v>
      </c>
      <c r="S559" s="49" t="s">
        <v>529</v>
      </c>
      <c r="T559" s="49" t="s">
        <v>530</v>
      </c>
      <c r="U559" s="49" t="s">
        <v>124</v>
      </c>
      <c r="V559" s="49" t="s">
        <v>124</v>
      </c>
      <c r="W559" s="49" t="s">
        <v>124</v>
      </c>
      <c r="X559" s="49" t="s">
        <v>124</v>
      </c>
      <c r="Y559" s="50" t="str">
        <f>IF(CCUS_Projects_Database!$R559&lt;&gt;"",HYPERLINK(CCUS_Projects_Database!$R559,"Link 1"),"")</f>
        <v>Link 1</v>
      </c>
      <c r="Z559" s="50" t="str">
        <f>IF(CCUS_Projects_Database!$S559&lt;&gt;"",HYPERLINK(CCUS_Projects_Database!$S559,"Link 2"),"")</f>
        <v>Link 2</v>
      </c>
      <c r="AA559" s="50" t="str">
        <f>IF(CCUS_Projects_Database!$T559&lt;&gt;"",HYPERLINK(CCUS_Projects_Database!$T559,"Link 3"),"")</f>
        <v>Link 3</v>
      </c>
      <c r="AB559" s="50" t="str">
        <f>IF(CCUS_Projects_Database!$U559&lt;&gt;"",HYPERLINK(CCUS_Projects_Database!$U559,"Link 4"),"")</f>
        <v/>
      </c>
      <c r="AC559" s="50" t="str">
        <f>IF(CCUS_Projects_Database!$V559&lt;&gt;"",HYPERLINK(CCUS_Projects_Database!$V559,"Link 5"),"")</f>
        <v/>
      </c>
      <c r="AD559" s="50" t="str">
        <f>IF(CCUS_Projects_Database!$W559&lt;&gt;"",HYPERLINK(CCUS_Projects_Database!$W559,"Link 6"),"")</f>
        <v/>
      </c>
      <c r="AE559" s="50" t="str">
        <f>IF(CCUS_Projects_Database!$X559&lt;&gt;"",HYPERLINK(CCUS_Projects_Database!$X559,"Link 7"),"")</f>
        <v/>
      </c>
    </row>
    <row r="560" ht="15.75" customHeight="1">
      <c r="A560" s="37" t="s">
        <v>2137</v>
      </c>
      <c r="B560" s="38">
        <v>703.0</v>
      </c>
      <c r="C560" s="38" t="s">
        <v>141</v>
      </c>
      <c r="D560" s="39" t="s">
        <v>2138</v>
      </c>
      <c r="E560" s="38" t="s">
        <v>12</v>
      </c>
      <c r="F560" s="38">
        <v>2017.0</v>
      </c>
      <c r="G560" s="38" t="s">
        <v>124</v>
      </c>
      <c r="H560" s="38" t="s">
        <v>124</v>
      </c>
      <c r="I560" s="38" t="s">
        <v>124</v>
      </c>
      <c r="J560" s="38" t="s">
        <v>28</v>
      </c>
      <c r="K560" s="40" t="s">
        <v>124</v>
      </c>
      <c r="L560" s="51">
        <v>4.99</v>
      </c>
      <c r="M560" s="40">
        <v>4.99</v>
      </c>
      <c r="N560" s="38" t="s">
        <v>12</v>
      </c>
      <c r="O560" s="41" t="s">
        <v>71</v>
      </c>
      <c r="P560" s="42" t="s">
        <v>2137</v>
      </c>
      <c r="Q560" s="38" t="s">
        <v>143</v>
      </c>
      <c r="R560" s="42" t="s">
        <v>2139</v>
      </c>
      <c r="S560" s="42" t="s">
        <v>2140</v>
      </c>
      <c r="T560" s="42" t="s">
        <v>615</v>
      </c>
      <c r="U560" s="42" t="s">
        <v>124</v>
      </c>
      <c r="V560" s="42" t="s">
        <v>124</v>
      </c>
      <c r="W560" s="42" t="s">
        <v>124</v>
      </c>
      <c r="X560" s="42" t="s">
        <v>124</v>
      </c>
      <c r="Y560" s="43" t="str">
        <f>IF(CCUS_Projects_Database!$R560&lt;&gt;"",HYPERLINK(CCUS_Projects_Database!$R560,"Link 1"),"")</f>
        <v>Link 1</v>
      </c>
      <c r="Z560" s="43" t="str">
        <f>IF(CCUS_Projects_Database!$S560&lt;&gt;"",HYPERLINK(CCUS_Projects_Database!$S560,"Link 2"),"")</f>
        <v>Link 2</v>
      </c>
      <c r="AA560" s="43" t="str">
        <f>IF(CCUS_Projects_Database!$T560&lt;&gt;"",HYPERLINK(CCUS_Projects_Database!$T560,"Link 3"),"")</f>
        <v>Link 3</v>
      </c>
      <c r="AB560" s="43" t="str">
        <f>IF(CCUS_Projects_Database!$U560&lt;&gt;"",HYPERLINK(CCUS_Projects_Database!$U560,"Link 4"),"")</f>
        <v/>
      </c>
      <c r="AC560" s="43" t="str">
        <f>IF(CCUS_Projects_Database!$V560&lt;&gt;"",HYPERLINK(CCUS_Projects_Database!$V560,"Link 5"),"")</f>
        <v/>
      </c>
      <c r="AD560" s="43" t="str">
        <f>IF(CCUS_Projects_Database!$W560&lt;&gt;"",HYPERLINK(CCUS_Projects_Database!$W560,"Link 6"),"")</f>
        <v/>
      </c>
      <c r="AE560" s="43" t="str">
        <f>IF(CCUS_Projects_Database!$X560&lt;&gt;"",HYPERLINK(CCUS_Projects_Database!$X560,"Link 7"),"")</f>
        <v/>
      </c>
    </row>
    <row r="561" ht="15.75" customHeight="1">
      <c r="A561" s="44" t="s">
        <v>2141</v>
      </c>
      <c r="B561" s="45">
        <v>505.0</v>
      </c>
      <c r="C561" s="45" t="s">
        <v>239</v>
      </c>
      <c r="D561" s="46" t="s">
        <v>2142</v>
      </c>
      <c r="E561" s="45" t="s">
        <v>12</v>
      </c>
      <c r="F561" s="45">
        <v>2022.0</v>
      </c>
      <c r="G561" s="45" t="s">
        <v>124</v>
      </c>
      <c r="H561" s="45" t="s">
        <v>124</v>
      </c>
      <c r="I561" s="45" t="s">
        <v>124</v>
      </c>
      <c r="J561" s="45" t="s">
        <v>28</v>
      </c>
      <c r="K561" s="47" t="s">
        <v>124</v>
      </c>
      <c r="L561" s="52">
        <v>3.0</v>
      </c>
      <c r="M561" s="47">
        <v>3.0</v>
      </c>
      <c r="N561" s="45" t="s">
        <v>12</v>
      </c>
      <c r="O561" s="48" t="s">
        <v>71</v>
      </c>
      <c r="P561" s="49" t="s">
        <v>2141</v>
      </c>
      <c r="Q561" s="45" t="s">
        <v>143</v>
      </c>
      <c r="R561" s="49" t="s">
        <v>464</v>
      </c>
      <c r="S561" s="49" t="s">
        <v>2143</v>
      </c>
      <c r="T561" s="49" t="s">
        <v>124</v>
      </c>
      <c r="U561" s="49" t="s">
        <v>124</v>
      </c>
      <c r="V561" s="49" t="s">
        <v>124</v>
      </c>
      <c r="W561" s="49" t="s">
        <v>124</v>
      </c>
      <c r="X561" s="49" t="s">
        <v>124</v>
      </c>
      <c r="Y561" s="50" t="str">
        <f>IF(CCUS_Projects_Database!$R561&lt;&gt;"",HYPERLINK(CCUS_Projects_Database!$R561,"Link 1"),"")</f>
        <v>Link 1</v>
      </c>
      <c r="Z561" s="50" t="str">
        <f>IF(CCUS_Projects_Database!$S561&lt;&gt;"",HYPERLINK(CCUS_Projects_Database!$S561,"Link 2"),"")</f>
        <v>Link 2</v>
      </c>
      <c r="AA561" s="50" t="str">
        <f>IF(CCUS_Projects_Database!$T561&lt;&gt;"",HYPERLINK(CCUS_Projects_Database!$T561,"Link 3"),"")</f>
        <v/>
      </c>
      <c r="AB561" s="50" t="str">
        <f>IF(CCUS_Projects_Database!$U561&lt;&gt;"",HYPERLINK(CCUS_Projects_Database!$U561,"Link 4"),"")</f>
        <v/>
      </c>
      <c r="AC561" s="50" t="str">
        <f>IF(CCUS_Projects_Database!$V561&lt;&gt;"",HYPERLINK(CCUS_Projects_Database!$V561,"Link 5"),"")</f>
        <v/>
      </c>
      <c r="AD561" s="50" t="str">
        <f>IF(CCUS_Projects_Database!$W561&lt;&gt;"",HYPERLINK(CCUS_Projects_Database!$W561,"Link 6"),"")</f>
        <v/>
      </c>
      <c r="AE561" s="50" t="str">
        <f>IF(CCUS_Projects_Database!$X561&lt;&gt;"",HYPERLINK(CCUS_Projects_Database!$X561,"Link 7"),"")</f>
        <v/>
      </c>
    </row>
    <row r="562" ht="15.75" customHeight="1">
      <c r="A562" s="37" t="s">
        <v>2144</v>
      </c>
      <c r="B562" s="38">
        <v>291.0</v>
      </c>
      <c r="C562" s="38" t="s">
        <v>949</v>
      </c>
      <c r="D562" s="39" t="s">
        <v>2145</v>
      </c>
      <c r="E562" s="38" t="s">
        <v>6</v>
      </c>
      <c r="F562" s="38">
        <v>2021.0</v>
      </c>
      <c r="G562" s="38" t="s">
        <v>124</v>
      </c>
      <c r="H562" s="38">
        <v>2026.0</v>
      </c>
      <c r="I562" s="38" t="s">
        <v>124</v>
      </c>
      <c r="J562" s="38" t="s">
        <v>28</v>
      </c>
      <c r="K562" s="40">
        <v>1.0</v>
      </c>
      <c r="L562" s="40"/>
      <c r="M562" s="40" t="s">
        <v>124</v>
      </c>
      <c r="N562" s="38" t="s">
        <v>136</v>
      </c>
      <c r="O562" s="41" t="s">
        <v>73</v>
      </c>
      <c r="P562" s="42" t="s">
        <v>124</v>
      </c>
      <c r="Q562" s="38" t="s">
        <v>951</v>
      </c>
      <c r="R562" s="42" t="s">
        <v>124</v>
      </c>
      <c r="S562" s="42" t="s">
        <v>124</v>
      </c>
      <c r="T562" s="42" t="s">
        <v>124</v>
      </c>
      <c r="U562" s="42" t="s">
        <v>124</v>
      </c>
      <c r="V562" s="42" t="s">
        <v>124</v>
      </c>
      <c r="W562" s="42" t="s">
        <v>124</v>
      </c>
      <c r="X562" s="42" t="s">
        <v>124</v>
      </c>
      <c r="Y562" s="43" t="str">
        <f>IF(CCUS_Projects_Database!$R562&lt;&gt;"",HYPERLINK(CCUS_Projects_Database!$R562,"Link 1"),"")</f>
        <v/>
      </c>
      <c r="Z562" s="43" t="str">
        <f>IF(CCUS_Projects_Database!$S562&lt;&gt;"",HYPERLINK(CCUS_Projects_Database!$S562,"Link 2"),"")</f>
        <v/>
      </c>
      <c r="AA562" s="43" t="str">
        <f>IF(CCUS_Projects_Database!$T562&lt;&gt;"",HYPERLINK(CCUS_Projects_Database!$T562,"Link 3"),"")</f>
        <v/>
      </c>
      <c r="AB562" s="43" t="str">
        <f>IF(CCUS_Projects_Database!$U562&lt;&gt;"",HYPERLINK(CCUS_Projects_Database!$U562,"Link 4"),"")</f>
        <v/>
      </c>
      <c r="AC562" s="43" t="str">
        <f>IF(CCUS_Projects_Database!$V562&lt;&gt;"",HYPERLINK(CCUS_Projects_Database!$V562,"Link 5"),"")</f>
        <v/>
      </c>
      <c r="AD562" s="43" t="str">
        <f>IF(CCUS_Projects_Database!$W562&lt;&gt;"",HYPERLINK(CCUS_Projects_Database!$W562,"Link 6"),"")</f>
        <v/>
      </c>
      <c r="AE562" s="43" t="str">
        <f>IF(CCUS_Projects_Database!$X562&lt;&gt;"",HYPERLINK(CCUS_Projects_Database!$X562,"Link 7"),"")</f>
        <v/>
      </c>
    </row>
    <row r="563" ht="15.75" customHeight="1">
      <c r="A563" s="44" t="s">
        <v>2146</v>
      </c>
      <c r="B563" s="45">
        <v>292.0</v>
      </c>
      <c r="C563" s="45" t="s">
        <v>949</v>
      </c>
      <c r="D563" s="46" t="s">
        <v>2145</v>
      </c>
      <c r="E563" s="45" t="s">
        <v>6</v>
      </c>
      <c r="F563" s="45">
        <v>2021.0</v>
      </c>
      <c r="G563" s="45" t="s">
        <v>124</v>
      </c>
      <c r="H563" s="45">
        <v>2030.0</v>
      </c>
      <c r="I563" s="45" t="s">
        <v>124</v>
      </c>
      <c r="J563" s="45" t="s">
        <v>28</v>
      </c>
      <c r="K563" s="47">
        <v>2.0</v>
      </c>
      <c r="L563" s="47"/>
      <c r="M563" s="47" t="s">
        <v>124</v>
      </c>
      <c r="N563" s="45" t="s">
        <v>136</v>
      </c>
      <c r="O563" s="48" t="s">
        <v>73</v>
      </c>
      <c r="P563" s="49" t="s">
        <v>124</v>
      </c>
      <c r="Q563" s="45" t="s">
        <v>951</v>
      </c>
      <c r="R563" s="49" t="s">
        <v>124</v>
      </c>
      <c r="S563" s="49" t="s">
        <v>124</v>
      </c>
      <c r="T563" s="49" t="s">
        <v>124</v>
      </c>
      <c r="U563" s="49" t="s">
        <v>124</v>
      </c>
      <c r="V563" s="49" t="s">
        <v>124</v>
      </c>
      <c r="W563" s="49" t="s">
        <v>124</v>
      </c>
      <c r="X563" s="49" t="s">
        <v>124</v>
      </c>
      <c r="Y563" s="50" t="str">
        <f>IF(CCUS_Projects_Database!$R563&lt;&gt;"",HYPERLINK(CCUS_Projects_Database!$R563,"Link 1"),"")</f>
        <v/>
      </c>
      <c r="Z563" s="50" t="str">
        <f>IF(CCUS_Projects_Database!$S563&lt;&gt;"",HYPERLINK(CCUS_Projects_Database!$S563,"Link 2"),"")</f>
        <v/>
      </c>
      <c r="AA563" s="50" t="str">
        <f>IF(CCUS_Projects_Database!$T563&lt;&gt;"",HYPERLINK(CCUS_Projects_Database!$T563,"Link 3"),"")</f>
        <v/>
      </c>
      <c r="AB563" s="50" t="str">
        <f>IF(CCUS_Projects_Database!$U563&lt;&gt;"",HYPERLINK(CCUS_Projects_Database!$U563,"Link 4"),"")</f>
        <v/>
      </c>
      <c r="AC563" s="50" t="str">
        <f>IF(CCUS_Projects_Database!$V563&lt;&gt;"",HYPERLINK(CCUS_Projects_Database!$V563,"Link 5"),"")</f>
        <v/>
      </c>
      <c r="AD563" s="50" t="str">
        <f>IF(CCUS_Projects_Database!$W563&lt;&gt;"",HYPERLINK(CCUS_Projects_Database!$W563,"Link 6"),"")</f>
        <v/>
      </c>
      <c r="AE563" s="50" t="str">
        <f>IF(CCUS_Projects_Database!$X563&lt;&gt;"",HYPERLINK(CCUS_Projects_Database!$X563,"Link 7"),"")</f>
        <v/>
      </c>
    </row>
    <row r="564" ht="15.75" customHeight="1">
      <c r="A564" s="37" t="s">
        <v>2147</v>
      </c>
      <c r="B564" s="38">
        <v>1106.0</v>
      </c>
      <c r="C564" s="38" t="s">
        <v>157</v>
      </c>
      <c r="D564" s="39" t="s">
        <v>2148</v>
      </c>
      <c r="E564" s="38" t="s">
        <v>8</v>
      </c>
      <c r="F564" s="38">
        <v>2021.0</v>
      </c>
      <c r="G564" s="38" t="s">
        <v>124</v>
      </c>
      <c r="H564" s="38" t="s">
        <v>124</v>
      </c>
      <c r="I564" s="38" t="s">
        <v>124</v>
      </c>
      <c r="J564" s="38" t="s">
        <v>28</v>
      </c>
      <c r="K564" s="40" t="s">
        <v>124</v>
      </c>
      <c r="L564" s="40"/>
      <c r="M564" s="40" t="s">
        <v>124</v>
      </c>
      <c r="N564" s="38" t="s">
        <v>46</v>
      </c>
      <c r="O564" s="41" t="s">
        <v>71</v>
      </c>
      <c r="P564" s="42" t="s">
        <v>281</v>
      </c>
      <c r="Q564" s="38" t="s">
        <v>125</v>
      </c>
      <c r="R564" s="42" t="s">
        <v>2149</v>
      </c>
      <c r="S564" s="42" t="s">
        <v>124</v>
      </c>
      <c r="T564" s="42" t="s">
        <v>124</v>
      </c>
      <c r="U564" s="42" t="s">
        <v>124</v>
      </c>
      <c r="V564" s="42" t="s">
        <v>124</v>
      </c>
      <c r="W564" s="42" t="s">
        <v>124</v>
      </c>
      <c r="X564" s="42" t="s">
        <v>124</v>
      </c>
      <c r="Y564" s="43" t="str">
        <f>IF(CCUS_Projects_Database!$R564&lt;&gt;"",HYPERLINK(CCUS_Projects_Database!$R564,"Link 1"),"")</f>
        <v>Link 1</v>
      </c>
      <c r="Z564" s="43" t="str">
        <f>IF(CCUS_Projects_Database!$S564&lt;&gt;"",HYPERLINK(CCUS_Projects_Database!$S564,"Link 2"),"")</f>
        <v/>
      </c>
      <c r="AA564" s="43" t="str">
        <f>IF(CCUS_Projects_Database!$T564&lt;&gt;"",HYPERLINK(CCUS_Projects_Database!$T564,"Link 3"),"")</f>
        <v/>
      </c>
      <c r="AB564" s="43" t="str">
        <f>IF(CCUS_Projects_Database!$U564&lt;&gt;"",HYPERLINK(CCUS_Projects_Database!$U564,"Link 4"),"")</f>
        <v/>
      </c>
      <c r="AC564" s="43" t="str">
        <f>IF(CCUS_Projects_Database!$V564&lt;&gt;"",HYPERLINK(CCUS_Projects_Database!$V564,"Link 5"),"")</f>
        <v/>
      </c>
      <c r="AD564" s="43" t="str">
        <f>IF(CCUS_Projects_Database!$W564&lt;&gt;"",HYPERLINK(CCUS_Projects_Database!$W564,"Link 6"),"")</f>
        <v/>
      </c>
      <c r="AE564" s="43" t="str">
        <f>IF(CCUS_Projects_Database!$X564&lt;&gt;"",HYPERLINK(CCUS_Projects_Database!$X564,"Link 7"),"")</f>
        <v/>
      </c>
    </row>
    <row r="565" ht="15.75" customHeight="1">
      <c r="A565" s="44" t="s">
        <v>2150</v>
      </c>
      <c r="B565" s="45">
        <v>677.0</v>
      </c>
      <c r="C565" s="45" t="s">
        <v>2151</v>
      </c>
      <c r="D565" s="46" t="s">
        <v>2152</v>
      </c>
      <c r="E565" s="45" t="s">
        <v>10</v>
      </c>
      <c r="F565" s="45">
        <v>2023.0</v>
      </c>
      <c r="G565" s="45" t="s">
        <v>124</v>
      </c>
      <c r="H565" s="45">
        <v>2030.0</v>
      </c>
      <c r="I565" s="45" t="s">
        <v>124</v>
      </c>
      <c r="J565" s="45" t="s">
        <v>28</v>
      </c>
      <c r="K565" s="47" t="s">
        <v>124</v>
      </c>
      <c r="L565" s="52">
        <v>30.0</v>
      </c>
      <c r="M565" s="47">
        <v>30.0</v>
      </c>
      <c r="N565" s="45" t="s">
        <v>10</v>
      </c>
      <c r="O565" s="48" t="s">
        <v>71</v>
      </c>
      <c r="P565" s="49" t="s">
        <v>2153</v>
      </c>
      <c r="Q565" s="45" t="s">
        <v>125</v>
      </c>
      <c r="R565" s="49" t="s">
        <v>2154</v>
      </c>
      <c r="S565" s="49" t="s">
        <v>2155</v>
      </c>
      <c r="T565" s="49" t="s">
        <v>124</v>
      </c>
      <c r="U565" s="49" t="s">
        <v>124</v>
      </c>
      <c r="V565" s="49" t="s">
        <v>124</v>
      </c>
      <c r="W565" s="49" t="s">
        <v>124</v>
      </c>
      <c r="X565" s="49" t="s">
        <v>124</v>
      </c>
      <c r="Y565" s="50" t="str">
        <f>IF(CCUS_Projects_Database!$R565&lt;&gt;"",HYPERLINK(CCUS_Projects_Database!$R565,"Link 1"),"")</f>
        <v>Link 1</v>
      </c>
      <c r="Z565" s="50" t="str">
        <f>IF(CCUS_Projects_Database!$S565&lt;&gt;"",HYPERLINK(CCUS_Projects_Database!$S565,"Link 2"),"")</f>
        <v>Link 2</v>
      </c>
      <c r="AA565" s="50" t="str">
        <f>IF(CCUS_Projects_Database!$T565&lt;&gt;"",HYPERLINK(CCUS_Projects_Database!$T565,"Link 3"),"")</f>
        <v/>
      </c>
      <c r="AB565" s="50" t="str">
        <f>IF(CCUS_Projects_Database!$U565&lt;&gt;"",HYPERLINK(CCUS_Projects_Database!$U565,"Link 4"),"")</f>
        <v/>
      </c>
      <c r="AC565" s="50" t="str">
        <f>IF(CCUS_Projects_Database!$V565&lt;&gt;"",HYPERLINK(CCUS_Projects_Database!$V565,"Link 5"),"")</f>
        <v/>
      </c>
      <c r="AD565" s="50" t="str">
        <f>IF(CCUS_Projects_Database!$W565&lt;&gt;"",HYPERLINK(CCUS_Projects_Database!$W565,"Link 6"),"")</f>
        <v/>
      </c>
      <c r="AE565" s="50" t="str">
        <f>IF(CCUS_Projects_Database!$X565&lt;&gt;"",HYPERLINK(CCUS_Projects_Database!$X565,"Link 7"),"")</f>
        <v/>
      </c>
    </row>
    <row r="566" ht="15.75" customHeight="1">
      <c r="A566" s="37" t="s">
        <v>2156</v>
      </c>
      <c r="B566" s="38">
        <v>294.0</v>
      </c>
      <c r="C566" s="38" t="s">
        <v>157</v>
      </c>
      <c r="D566" s="39" t="s">
        <v>2157</v>
      </c>
      <c r="E566" s="38" t="s">
        <v>14</v>
      </c>
      <c r="F566" s="38">
        <v>2018.0</v>
      </c>
      <c r="G566" s="38">
        <v>2024.0</v>
      </c>
      <c r="H566" s="38">
        <v>2027.0</v>
      </c>
      <c r="I566" s="38" t="s">
        <v>124</v>
      </c>
      <c r="J566" s="38" t="s">
        <v>28</v>
      </c>
      <c r="K566" s="40">
        <v>1.0</v>
      </c>
      <c r="L566" s="51">
        <v>4.0</v>
      </c>
      <c r="M566" s="40">
        <v>4.0</v>
      </c>
      <c r="N566" s="38" t="s">
        <v>14</v>
      </c>
      <c r="O566" s="41" t="s">
        <v>71</v>
      </c>
      <c r="P566" s="42" t="s">
        <v>281</v>
      </c>
      <c r="Q566" s="38" t="s">
        <v>125</v>
      </c>
      <c r="R566" s="42" t="s">
        <v>2158</v>
      </c>
      <c r="S566" s="42" t="s">
        <v>160</v>
      </c>
      <c r="T566" s="42" t="s">
        <v>2159</v>
      </c>
      <c r="U566" s="42" t="s">
        <v>2160</v>
      </c>
      <c r="V566" s="42" t="s">
        <v>1515</v>
      </c>
      <c r="W566" s="42" t="s">
        <v>2161</v>
      </c>
      <c r="X566" s="42" t="s">
        <v>2109</v>
      </c>
      <c r="Y566" s="43" t="str">
        <f>IF(CCUS_Projects_Database!$R566&lt;&gt;"",HYPERLINK(CCUS_Projects_Database!$R566,"Link 1"),"")</f>
        <v>Link 1</v>
      </c>
      <c r="Z566" s="43" t="str">
        <f>IF(CCUS_Projects_Database!$S566&lt;&gt;"",HYPERLINK(CCUS_Projects_Database!$S566,"Link 2"),"")</f>
        <v>Link 2</v>
      </c>
      <c r="AA566" s="43" t="str">
        <f>IF(CCUS_Projects_Database!$T566&lt;&gt;"",HYPERLINK(CCUS_Projects_Database!$T566,"Link 3"),"")</f>
        <v>Link 3</v>
      </c>
      <c r="AB566" s="43" t="str">
        <f>IF(CCUS_Projects_Database!$U566&lt;&gt;"",HYPERLINK(CCUS_Projects_Database!$U566,"Link 4"),"")</f>
        <v>Link 4</v>
      </c>
      <c r="AC566" s="43" t="str">
        <f>IF(CCUS_Projects_Database!$V566&lt;&gt;"",HYPERLINK(CCUS_Projects_Database!$V566,"Link 5"),"")</f>
        <v>Link 5</v>
      </c>
      <c r="AD566" s="43" t="str">
        <f>IF(CCUS_Projects_Database!$W566&lt;&gt;"",HYPERLINK(CCUS_Projects_Database!$W566,"Link 6"),"")</f>
        <v>Link 6</v>
      </c>
      <c r="AE566" s="43" t="str">
        <f>IF(CCUS_Projects_Database!$X566&lt;&gt;"",HYPERLINK(CCUS_Projects_Database!$X566,"Link 7"),"")</f>
        <v>Link 7</v>
      </c>
    </row>
    <row r="567" ht="15.75" customHeight="1">
      <c r="A567" s="44" t="s">
        <v>2162</v>
      </c>
      <c r="B567" s="45">
        <v>452.0</v>
      </c>
      <c r="C567" s="45" t="s">
        <v>157</v>
      </c>
      <c r="D567" s="46" t="s">
        <v>2157</v>
      </c>
      <c r="E567" s="45" t="s">
        <v>14</v>
      </c>
      <c r="F567" s="45">
        <v>2019.0</v>
      </c>
      <c r="G567" s="45" t="s">
        <v>124</v>
      </c>
      <c r="H567" s="45" t="s">
        <v>124</v>
      </c>
      <c r="I567" s="45" t="s">
        <v>124</v>
      </c>
      <c r="J567" s="45" t="s">
        <v>28</v>
      </c>
      <c r="K567" s="47">
        <v>2.0</v>
      </c>
      <c r="L567" s="52">
        <v>4.0</v>
      </c>
      <c r="M567" s="47">
        <v>4.0</v>
      </c>
      <c r="N567" s="45" t="s">
        <v>14</v>
      </c>
      <c r="O567" s="48" t="s">
        <v>71</v>
      </c>
      <c r="P567" s="49" t="s">
        <v>124</v>
      </c>
      <c r="Q567" s="45" t="s">
        <v>125</v>
      </c>
      <c r="R567" s="49" t="s">
        <v>2163</v>
      </c>
      <c r="S567" s="49" t="s">
        <v>124</v>
      </c>
      <c r="T567" s="49" t="s">
        <v>124</v>
      </c>
      <c r="U567" s="49" t="s">
        <v>124</v>
      </c>
      <c r="V567" s="49" t="s">
        <v>124</v>
      </c>
      <c r="W567" s="49" t="s">
        <v>124</v>
      </c>
      <c r="X567" s="49" t="s">
        <v>124</v>
      </c>
      <c r="Y567" s="50" t="str">
        <f>IF(CCUS_Projects_Database!$R567&lt;&gt;"",HYPERLINK(CCUS_Projects_Database!$R567,"Link 1"),"")</f>
        <v>Link 1</v>
      </c>
      <c r="Z567" s="50" t="str">
        <f>IF(CCUS_Projects_Database!$S567&lt;&gt;"",HYPERLINK(CCUS_Projects_Database!$S567,"Link 2"),"")</f>
        <v/>
      </c>
      <c r="AA567" s="50" t="str">
        <f>IF(CCUS_Projects_Database!$T567&lt;&gt;"",HYPERLINK(CCUS_Projects_Database!$T567,"Link 3"),"")</f>
        <v/>
      </c>
      <c r="AB567" s="50" t="str">
        <f>IF(CCUS_Projects_Database!$U567&lt;&gt;"",HYPERLINK(CCUS_Projects_Database!$U567,"Link 4"),"")</f>
        <v/>
      </c>
      <c r="AC567" s="50" t="str">
        <f>IF(CCUS_Projects_Database!$V567&lt;&gt;"",HYPERLINK(CCUS_Projects_Database!$V567,"Link 5"),"")</f>
        <v/>
      </c>
      <c r="AD567" s="50" t="str">
        <f>IF(CCUS_Projects_Database!$W567&lt;&gt;"",HYPERLINK(CCUS_Projects_Database!$W567,"Link 6"),"")</f>
        <v/>
      </c>
      <c r="AE567" s="50" t="str">
        <f>IF(CCUS_Projects_Database!$X567&lt;&gt;"",HYPERLINK(CCUS_Projects_Database!$X567,"Link 7"),"")</f>
        <v/>
      </c>
    </row>
    <row r="568" ht="15.75" customHeight="1">
      <c r="A568" s="37" t="s">
        <v>2164</v>
      </c>
      <c r="B568" s="38">
        <v>460.0</v>
      </c>
      <c r="C568" s="38" t="s">
        <v>157</v>
      </c>
      <c r="D568" s="39" t="s">
        <v>2157</v>
      </c>
      <c r="E568" s="38" t="s">
        <v>14</v>
      </c>
      <c r="F568" s="38">
        <v>2020.0</v>
      </c>
      <c r="G568" s="38" t="s">
        <v>124</v>
      </c>
      <c r="H568" s="38" t="s">
        <v>124</v>
      </c>
      <c r="I568" s="38" t="s">
        <v>124</v>
      </c>
      <c r="J568" s="38" t="s">
        <v>28</v>
      </c>
      <c r="K568" s="40">
        <v>3.0</v>
      </c>
      <c r="L568" s="51">
        <v>2.0</v>
      </c>
      <c r="M568" s="40">
        <v>2.0</v>
      </c>
      <c r="N568" s="38" t="s">
        <v>14</v>
      </c>
      <c r="O568" s="41" t="s">
        <v>71</v>
      </c>
      <c r="P568" s="42" t="s">
        <v>124</v>
      </c>
      <c r="Q568" s="38" t="s">
        <v>125</v>
      </c>
      <c r="R568" s="42" t="s">
        <v>787</v>
      </c>
      <c r="S568" s="42" t="s">
        <v>124</v>
      </c>
      <c r="T568" s="42" t="s">
        <v>124</v>
      </c>
      <c r="U568" s="42" t="s">
        <v>124</v>
      </c>
      <c r="V568" s="42" t="s">
        <v>124</v>
      </c>
      <c r="W568" s="42" t="s">
        <v>124</v>
      </c>
      <c r="X568" s="42" t="s">
        <v>124</v>
      </c>
      <c r="Y568" s="43" t="str">
        <f>IF(CCUS_Projects_Database!$R568&lt;&gt;"",HYPERLINK(CCUS_Projects_Database!$R568,"Link 1"),"")</f>
        <v>Link 1</v>
      </c>
      <c r="Z568" s="43" t="str">
        <f>IF(CCUS_Projects_Database!$S568&lt;&gt;"",HYPERLINK(CCUS_Projects_Database!$S568,"Link 2"),"")</f>
        <v/>
      </c>
      <c r="AA568" s="43" t="str">
        <f>IF(CCUS_Projects_Database!$T568&lt;&gt;"",HYPERLINK(CCUS_Projects_Database!$T568,"Link 3"),"")</f>
        <v/>
      </c>
      <c r="AB568" s="43" t="str">
        <f>IF(CCUS_Projects_Database!$U568&lt;&gt;"",HYPERLINK(CCUS_Projects_Database!$U568,"Link 4"),"")</f>
        <v/>
      </c>
      <c r="AC568" s="43" t="str">
        <f>IF(CCUS_Projects_Database!$V568&lt;&gt;"",HYPERLINK(CCUS_Projects_Database!$V568,"Link 5"),"")</f>
        <v/>
      </c>
      <c r="AD568" s="43" t="str">
        <f>IF(CCUS_Projects_Database!$W568&lt;&gt;"",HYPERLINK(CCUS_Projects_Database!$W568,"Link 6"),"")</f>
        <v/>
      </c>
      <c r="AE568" s="43" t="str">
        <f>IF(CCUS_Projects_Database!$X568&lt;&gt;"",HYPERLINK(CCUS_Projects_Database!$X568,"Link 7"),"")</f>
        <v/>
      </c>
    </row>
    <row r="569" ht="15.75" customHeight="1">
      <c r="A569" s="44" t="s">
        <v>2165</v>
      </c>
      <c r="B569" s="45">
        <v>1000.0</v>
      </c>
      <c r="C569" s="45" t="s">
        <v>356</v>
      </c>
      <c r="D569" s="46" t="s">
        <v>2166</v>
      </c>
      <c r="E569" s="45" t="s">
        <v>12</v>
      </c>
      <c r="F569" s="45">
        <v>2024.0</v>
      </c>
      <c r="G569" s="45" t="s">
        <v>124</v>
      </c>
      <c r="H569" s="45" t="s">
        <v>124</v>
      </c>
      <c r="I569" s="45" t="s">
        <v>124</v>
      </c>
      <c r="J569" s="45" t="s">
        <v>28</v>
      </c>
      <c r="K569" s="47" t="s">
        <v>124</v>
      </c>
      <c r="L569" s="47"/>
      <c r="M569" s="47" t="s">
        <v>124</v>
      </c>
      <c r="N569" s="45" t="s">
        <v>12</v>
      </c>
      <c r="O569" s="48" t="s">
        <v>71</v>
      </c>
      <c r="P569" s="49" t="s">
        <v>124</v>
      </c>
      <c r="Q569" s="45" t="s">
        <v>148</v>
      </c>
      <c r="R569" s="49" t="s">
        <v>2167</v>
      </c>
      <c r="S569" s="49" t="s">
        <v>124</v>
      </c>
      <c r="T569" s="49" t="s">
        <v>124</v>
      </c>
      <c r="U569" s="49" t="s">
        <v>124</v>
      </c>
      <c r="V569" s="49" t="s">
        <v>124</v>
      </c>
      <c r="W569" s="49" t="s">
        <v>124</v>
      </c>
      <c r="X569" s="49" t="s">
        <v>124</v>
      </c>
      <c r="Y569" s="50" t="str">
        <f>IF(CCUS_Projects_Database!$R569&lt;&gt;"",HYPERLINK(CCUS_Projects_Database!$R569,"Link 1"),"")</f>
        <v>Link 1</v>
      </c>
      <c r="Z569" s="50" t="str">
        <f>IF(CCUS_Projects_Database!$S569&lt;&gt;"",HYPERLINK(CCUS_Projects_Database!$S569,"Link 2"),"")</f>
        <v/>
      </c>
      <c r="AA569" s="50" t="str">
        <f>IF(CCUS_Projects_Database!$T569&lt;&gt;"",HYPERLINK(CCUS_Projects_Database!$T569,"Link 3"),"")</f>
        <v/>
      </c>
      <c r="AB569" s="50" t="str">
        <f>IF(CCUS_Projects_Database!$U569&lt;&gt;"",HYPERLINK(CCUS_Projects_Database!$U569,"Link 4"),"")</f>
        <v/>
      </c>
      <c r="AC569" s="50" t="str">
        <f>IF(CCUS_Projects_Database!$V569&lt;&gt;"",HYPERLINK(CCUS_Projects_Database!$V569,"Link 5"),"")</f>
        <v/>
      </c>
      <c r="AD569" s="50" t="str">
        <f>IF(CCUS_Projects_Database!$W569&lt;&gt;"",HYPERLINK(CCUS_Projects_Database!$W569,"Link 6"),"")</f>
        <v/>
      </c>
      <c r="AE569" s="50" t="str">
        <f>IF(CCUS_Projects_Database!$X569&lt;&gt;"",HYPERLINK(CCUS_Projects_Database!$X569,"Link 7"),"")</f>
        <v/>
      </c>
    </row>
    <row r="570" ht="15.75" customHeight="1">
      <c r="A570" s="37" t="s">
        <v>2168</v>
      </c>
      <c r="B570" s="38">
        <v>295.0</v>
      </c>
      <c r="C570" s="38" t="s">
        <v>284</v>
      </c>
      <c r="D570" s="39" t="s">
        <v>2169</v>
      </c>
      <c r="E570" s="38" t="s">
        <v>14</v>
      </c>
      <c r="F570" s="38">
        <v>2017.0</v>
      </c>
      <c r="G570" s="38">
        <v>2020.0</v>
      </c>
      <c r="H570" s="38">
        <v>2024.0</v>
      </c>
      <c r="I570" s="38" t="s">
        <v>124</v>
      </c>
      <c r="J570" s="38" t="s">
        <v>30</v>
      </c>
      <c r="K570" s="40">
        <v>1.0</v>
      </c>
      <c r="L570" s="51">
        <v>1.5</v>
      </c>
      <c r="M570" s="40">
        <v>1.5</v>
      </c>
      <c r="N570" s="38" t="s">
        <v>14</v>
      </c>
      <c r="O570" s="41" t="s">
        <v>71</v>
      </c>
      <c r="P570" s="42" t="s">
        <v>375</v>
      </c>
      <c r="Q570" s="38" t="s">
        <v>125</v>
      </c>
      <c r="R570" s="42" t="s">
        <v>1559</v>
      </c>
      <c r="S570" s="42" t="s">
        <v>329</v>
      </c>
      <c r="T570" s="42" t="s">
        <v>2170</v>
      </c>
      <c r="U570" s="42" t="s">
        <v>2171</v>
      </c>
      <c r="V570" s="42" t="s">
        <v>2172</v>
      </c>
      <c r="W570" s="42" t="s">
        <v>2173</v>
      </c>
      <c r="X570" s="42" t="s">
        <v>331</v>
      </c>
      <c r="Y570" s="43" t="str">
        <f>IF(CCUS_Projects_Database!$R570&lt;&gt;"",HYPERLINK(CCUS_Projects_Database!$R570,"Link 1"),"")</f>
        <v>Link 1</v>
      </c>
      <c r="Z570" s="43" t="str">
        <f>IF(CCUS_Projects_Database!$S570&lt;&gt;"",HYPERLINK(CCUS_Projects_Database!$S570,"Link 2"),"")</f>
        <v>Link 2</v>
      </c>
      <c r="AA570" s="43" t="str">
        <f>IF(CCUS_Projects_Database!$T570&lt;&gt;"",HYPERLINK(CCUS_Projects_Database!$T570,"Link 3"),"")</f>
        <v>Link 3</v>
      </c>
      <c r="AB570" s="43" t="str">
        <f>IF(CCUS_Projects_Database!$U570&lt;&gt;"",HYPERLINK(CCUS_Projects_Database!$U570,"Link 4"),"")</f>
        <v>Link 4</v>
      </c>
      <c r="AC570" s="43" t="str">
        <f>IF(CCUS_Projects_Database!$V570&lt;&gt;"",HYPERLINK(CCUS_Projects_Database!$V570,"Link 5"),"")</f>
        <v>Link 5</v>
      </c>
      <c r="AD570" s="43" t="str">
        <f>IF(CCUS_Projects_Database!$W570&lt;&gt;"",HYPERLINK(CCUS_Projects_Database!$W570,"Link 6"),"")</f>
        <v>Link 6</v>
      </c>
      <c r="AE570" s="43" t="str">
        <f>IF(CCUS_Projects_Database!$X570&lt;&gt;"",HYPERLINK(CCUS_Projects_Database!$X570,"Link 7"),"")</f>
        <v>Link 7</v>
      </c>
    </row>
    <row r="571" ht="15.75" customHeight="1">
      <c r="A571" s="44" t="s">
        <v>2174</v>
      </c>
      <c r="B571" s="45">
        <v>296.0</v>
      </c>
      <c r="C571" s="45" t="s">
        <v>284</v>
      </c>
      <c r="D571" s="46" t="s">
        <v>2169</v>
      </c>
      <c r="E571" s="45" t="s">
        <v>14</v>
      </c>
      <c r="F571" s="45">
        <v>2017.0</v>
      </c>
      <c r="G571" s="45" t="s">
        <v>124</v>
      </c>
      <c r="H571" s="45">
        <v>2026.0</v>
      </c>
      <c r="I571" s="45" t="s">
        <v>124</v>
      </c>
      <c r="J571" s="45" t="s">
        <v>28</v>
      </c>
      <c r="K571" s="47">
        <v>2.0</v>
      </c>
      <c r="L571" s="52">
        <v>3.7</v>
      </c>
      <c r="M571" s="47">
        <v>3.7</v>
      </c>
      <c r="N571" s="45" t="s">
        <v>14</v>
      </c>
      <c r="O571" s="48" t="s">
        <v>71</v>
      </c>
      <c r="P571" s="49" t="s">
        <v>375</v>
      </c>
      <c r="Q571" s="45" t="s">
        <v>125</v>
      </c>
      <c r="R571" s="49" t="s">
        <v>1559</v>
      </c>
      <c r="S571" s="49" t="s">
        <v>2175</v>
      </c>
      <c r="T571" s="49" t="s">
        <v>329</v>
      </c>
      <c r="U571" s="49" t="s">
        <v>2170</v>
      </c>
      <c r="V571" s="49" t="s">
        <v>2171</v>
      </c>
      <c r="W571" s="49" t="s">
        <v>331</v>
      </c>
      <c r="X571" s="49" t="s">
        <v>2176</v>
      </c>
      <c r="Y571" s="50" t="str">
        <f>IF(CCUS_Projects_Database!$R571&lt;&gt;"",HYPERLINK(CCUS_Projects_Database!$R571,"Link 1"),"")</f>
        <v>Link 1</v>
      </c>
      <c r="Z571" s="50" t="str">
        <f>IF(CCUS_Projects_Database!$S571&lt;&gt;"",HYPERLINK(CCUS_Projects_Database!$S571,"Link 2"),"")</f>
        <v>Link 2</v>
      </c>
      <c r="AA571" s="50" t="str">
        <f>IF(CCUS_Projects_Database!$T571&lt;&gt;"",HYPERLINK(CCUS_Projects_Database!$T571,"Link 3"),"")</f>
        <v>Link 3</v>
      </c>
      <c r="AB571" s="50" t="str">
        <f>IF(CCUS_Projects_Database!$U571&lt;&gt;"",HYPERLINK(CCUS_Projects_Database!$U571,"Link 4"),"")</f>
        <v>Link 4</v>
      </c>
      <c r="AC571" s="50" t="str">
        <f>IF(CCUS_Projects_Database!$V571&lt;&gt;"",HYPERLINK(CCUS_Projects_Database!$V571,"Link 5"),"")</f>
        <v>Link 5</v>
      </c>
      <c r="AD571" s="50" t="str">
        <f>IF(CCUS_Projects_Database!$W571&lt;&gt;"",HYPERLINK(CCUS_Projects_Database!$W571,"Link 6"),"")</f>
        <v>Link 6</v>
      </c>
      <c r="AE571" s="50" t="str">
        <f>IF(CCUS_Projects_Database!$X571&lt;&gt;"",HYPERLINK(CCUS_Projects_Database!$X571,"Link 7"),"")</f>
        <v>Link 7</v>
      </c>
    </row>
    <row r="572" ht="15.75" customHeight="1">
      <c r="A572" s="37" t="s">
        <v>2177</v>
      </c>
      <c r="B572" s="38">
        <v>297.0</v>
      </c>
      <c r="C572" s="38" t="s">
        <v>141</v>
      </c>
      <c r="D572" s="39" t="s">
        <v>2178</v>
      </c>
      <c r="E572" s="38" t="s">
        <v>8</v>
      </c>
      <c r="F572" s="38">
        <v>2013.0</v>
      </c>
      <c r="G572" s="38">
        <v>2024.0</v>
      </c>
      <c r="H572" s="38" t="s">
        <v>124</v>
      </c>
      <c r="I572" s="38" t="s">
        <v>124</v>
      </c>
      <c r="J572" s="38" t="s">
        <v>28</v>
      </c>
      <c r="K572" s="40" t="s">
        <v>124</v>
      </c>
      <c r="L572" s="51">
        <v>0.5</v>
      </c>
      <c r="M572" s="40">
        <v>0.5</v>
      </c>
      <c r="N572" s="38" t="s">
        <v>60</v>
      </c>
      <c r="O572" s="41" t="s">
        <v>71</v>
      </c>
      <c r="P572" s="42" t="s">
        <v>567</v>
      </c>
      <c r="Q572" s="38" t="s">
        <v>143</v>
      </c>
      <c r="R572" s="42" t="s">
        <v>2179</v>
      </c>
      <c r="S572" s="42" t="s">
        <v>2180</v>
      </c>
      <c r="T572" s="42" t="s">
        <v>2181</v>
      </c>
      <c r="U572" s="42" t="s">
        <v>124</v>
      </c>
      <c r="V572" s="42" t="s">
        <v>124</v>
      </c>
      <c r="W572" s="42" t="s">
        <v>124</v>
      </c>
      <c r="X572" s="42" t="s">
        <v>124</v>
      </c>
      <c r="Y572" s="43" t="str">
        <f>IF(CCUS_Projects_Database!$R572&lt;&gt;"",HYPERLINK(CCUS_Projects_Database!$R572,"Link 1"),"")</f>
        <v>Link 1</v>
      </c>
      <c r="Z572" s="43" t="str">
        <f>IF(CCUS_Projects_Database!$S572&lt;&gt;"",HYPERLINK(CCUS_Projects_Database!$S572,"Link 2"),"")</f>
        <v>Link 2</v>
      </c>
      <c r="AA572" s="43" t="str">
        <f>IF(CCUS_Projects_Database!$T572&lt;&gt;"",HYPERLINK(CCUS_Projects_Database!$T572,"Link 3"),"")</f>
        <v>Link 3</v>
      </c>
      <c r="AB572" s="43" t="str">
        <f>IF(CCUS_Projects_Database!$U572&lt;&gt;"",HYPERLINK(CCUS_Projects_Database!$U572,"Link 4"),"")</f>
        <v/>
      </c>
      <c r="AC572" s="43" t="str">
        <f>IF(CCUS_Projects_Database!$V572&lt;&gt;"",HYPERLINK(CCUS_Projects_Database!$V572,"Link 5"),"")</f>
        <v/>
      </c>
      <c r="AD572" s="43" t="str">
        <f>IF(CCUS_Projects_Database!$W572&lt;&gt;"",HYPERLINK(CCUS_Projects_Database!$W572,"Link 6"),"")</f>
        <v/>
      </c>
      <c r="AE572" s="43" t="str">
        <f>IF(CCUS_Projects_Database!$X572&lt;&gt;"",HYPERLINK(CCUS_Projects_Database!$X572,"Link 7"),"")</f>
        <v/>
      </c>
    </row>
    <row r="573" ht="15.75" customHeight="1">
      <c r="A573" s="44" t="s">
        <v>2182</v>
      </c>
      <c r="B573" s="45">
        <v>1136.0</v>
      </c>
      <c r="C573" s="45" t="s">
        <v>1099</v>
      </c>
      <c r="D573" s="46" t="s">
        <v>2183</v>
      </c>
      <c r="E573" s="45" t="s">
        <v>6</v>
      </c>
      <c r="F573" s="45">
        <v>2022.0</v>
      </c>
      <c r="G573" s="45">
        <v>2026.0</v>
      </c>
      <c r="H573" s="45">
        <v>2030.0</v>
      </c>
      <c r="I573" s="45" t="s">
        <v>124</v>
      </c>
      <c r="J573" s="45" t="s">
        <v>28</v>
      </c>
      <c r="K573" s="47" t="s">
        <v>124</v>
      </c>
      <c r="L573" s="47"/>
      <c r="M573" s="47" t="s">
        <v>124</v>
      </c>
      <c r="N573" s="45" t="s">
        <v>54</v>
      </c>
      <c r="O573" s="48" t="s">
        <v>71</v>
      </c>
      <c r="P573" s="49" t="s">
        <v>1171</v>
      </c>
      <c r="Q573" s="45" t="s">
        <v>148</v>
      </c>
      <c r="R573" s="49" t="s">
        <v>1102</v>
      </c>
      <c r="S573" s="49" t="s">
        <v>124</v>
      </c>
      <c r="T573" s="49" t="s">
        <v>124</v>
      </c>
      <c r="U573" s="49" t="s">
        <v>124</v>
      </c>
      <c r="V573" s="49" t="s">
        <v>124</v>
      </c>
      <c r="W573" s="49" t="s">
        <v>124</v>
      </c>
      <c r="X573" s="49" t="s">
        <v>124</v>
      </c>
      <c r="Y573" s="50" t="str">
        <f>IF(CCUS_Projects_Database!$R573&lt;&gt;"",HYPERLINK(CCUS_Projects_Database!$R573,"Link 1"),"")</f>
        <v>Link 1</v>
      </c>
      <c r="Z573" s="50" t="str">
        <f>IF(CCUS_Projects_Database!$S573&lt;&gt;"",HYPERLINK(CCUS_Projects_Database!$S573,"Link 2"),"")</f>
        <v/>
      </c>
      <c r="AA573" s="50" t="str">
        <f>IF(CCUS_Projects_Database!$T573&lt;&gt;"",HYPERLINK(CCUS_Projects_Database!$T573,"Link 3"),"")</f>
        <v/>
      </c>
      <c r="AB573" s="50" t="str">
        <f>IF(CCUS_Projects_Database!$U573&lt;&gt;"",HYPERLINK(CCUS_Projects_Database!$U573,"Link 4"),"")</f>
        <v/>
      </c>
      <c r="AC573" s="50" t="str">
        <f>IF(CCUS_Projects_Database!$V573&lt;&gt;"",HYPERLINK(CCUS_Projects_Database!$V573,"Link 5"),"")</f>
        <v/>
      </c>
      <c r="AD573" s="50" t="str">
        <f>IF(CCUS_Projects_Database!$W573&lt;&gt;"",HYPERLINK(CCUS_Projects_Database!$W573,"Link 6"),"")</f>
        <v/>
      </c>
      <c r="AE573" s="50" t="str">
        <f>IF(CCUS_Projects_Database!$X573&lt;&gt;"",HYPERLINK(CCUS_Projects_Database!$X573,"Link 7"),"")</f>
        <v/>
      </c>
    </row>
    <row r="574" ht="15.75" customHeight="1">
      <c r="A574" s="37" t="s">
        <v>2184</v>
      </c>
      <c r="B574" s="38">
        <v>137.0</v>
      </c>
      <c r="C574" s="38" t="s">
        <v>1099</v>
      </c>
      <c r="D574" s="39" t="s">
        <v>2185</v>
      </c>
      <c r="E574" s="38" t="s">
        <v>6</v>
      </c>
      <c r="F574" s="38">
        <v>2022.0</v>
      </c>
      <c r="G574" s="38">
        <v>2026.0</v>
      </c>
      <c r="H574" s="38">
        <v>2030.0</v>
      </c>
      <c r="I574" s="38" t="s">
        <v>124</v>
      </c>
      <c r="J574" s="38" t="s">
        <v>28</v>
      </c>
      <c r="K574" s="40" t="s">
        <v>124</v>
      </c>
      <c r="L574" s="40"/>
      <c r="M574" s="40" t="s">
        <v>124</v>
      </c>
      <c r="N574" s="38" t="s">
        <v>46</v>
      </c>
      <c r="O574" s="41" t="s">
        <v>71</v>
      </c>
      <c r="P574" s="42" t="s">
        <v>1171</v>
      </c>
      <c r="Q574" s="38" t="s">
        <v>148</v>
      </c>
      <c r="R574" s="42" t="s">
        <v>2186</v>
      </c>
      <c r="S574" s="42" t="s">
        <v>1980</v>
      </c>
      <c r="T574" s="42" t="s">
        <v>1102</v>
      </c>
      <c r="U574" s="42" t="s">
        <v>124</v>
      </c>
      <c r="V574" s="42" t="s">
        <v>124</v>
      </c>
      <c r="W574" s="42" t="s">
        <v>124</v>
      </c>
      <c r="X574" s="42" t="s">
        <v>124</v>
      </c>
      <c r="Y574" s="43" t="str">
        <f>IF(CCUS_Projects_Database!$R574&lt;&gt;"",HYPERLINK(CCUS_Projects_Database!$R574,"Link 1"),"")</f>
        <v>Link 1</v>
      </c>
      <c r="Z574" s="43" t="str">
        <f>IF(CCUS_Projects_Database!$S574&lt;&gt;"",HYPERLINK(CCUS_Projects_Database!$S574,"Link 2"),"")</f>
        <v>Link 2</v>
      </c>
      <c r="AA574" s="43" t="str">
        <f>IF(CCUS_Projects_Database!$T574&lt;&gt;"",HYPERLINK(CCUS_Projects_Database!$T574,"Link 3"),"")</f>
        <v>Link 3</v>
      </c>
      <c r="AB574" s="43" t="str">
        <f>IF(CCUS_Projects_Database!$U574&lt;&gt;"",HYPERLINK(CCUS_Projects_Database!$U574,"Link 4"),"")</f>
        <v/>
      </c>
      <c r="AC574" s="43" t="str">
        <f>IF(CCUS_Projects_Database!$V574&lt;&gt;"",HYPERLINK(CCUS_Projects_Database!$V574,"Link 5"),"")</f>
        <v/>
      </c>
      <c r="AD574" s="43" t="str">
        <f>IF(CCUS_Projects_Database!$W574&lt;&gt;"",HYPERLINK(CCUS_Projects_Database!$W574,"Link 6"),"")</f>
        <v/>
      </c>
      <c r="AE574" s="43" t="str">
        <f>IF(CCUS_Projects_Database!$X574&lt;&gt;"",HYPERLINK(CCUS_Projects_Database!$X574,"Link 7"),"")</f>
        <v/>
      </c>
    </row>
    <row r="575" ht="15.75" customHeight="1">
      <c r="A575" s="44" t="s">
        <v>2187</v>
      </c>
      <c r="B575" s="45">
        <v>811.0</v>
      </c>
      <c r="C575" s="45" t="s">
        <v>1099</v>
      </c>
      <c r="D575" s="46" t="s">
        <v>1170</v>
      </c>
      <c r="E575" s="45" t="s">
        <v>14</v>
      </c>
      <c r="F575" s="45">
        <v>2023.0</v>
      </c>
      <c r="G575" s="45" t="s">
        <v>124</v>
      </c>
      <c r="H575" s="45">
        <v>2030.0</v>
      </c>
      <c r="I575" s="45" t="s">
        <v>124</v>
      </c>
      <c r="J575" s="45" t="s">
        <v>28</v>
      </c>
      <c r="K575" s="47" t="s">
        <v>124</v>
      </c>
      <c r="L575" s="52">
        <v>3.0</v>
      </c>
      <c r="M575" s="47">
        <v>3.0</v>
      </c>
      <c r="N575" s="45" t="s">
        <v>14</v>
      </c>
      <c r="O575" s="48" t="s">
        <v>71</v>
      </c>
      <c r="P575" s="49" t="s">
        <v>1171</v>
      </c>
      <c r="Q575" s="45" t="s">
        <v>148</v>
      </c>
      <c r="R575" s="49" t="s">
        <v>1102</v>
      </c>
      <c r="S575" s="49" t="s">
        <v>124</v>
      </c>
      <c r="T575" s="49" t="s">
        <v>124</v>
      </c>
      <c r="U575" s="49" t="s">
        <v>124</v>
      </c>
      <c r="V575" s="49" t="s">
        <v>124</v>
      </c>
      <c r="W575" s="49" t="s">
        <v>124</v>
      </c>
      <c r="X575" s="49" t="s">
        <v>124</v>
      </c>
      <c r="Y575" s="50" t="str">
        <f>IF(CCUS_Projects_Database!$R575&lt;&gt;"",HYPERLINK(CCUS_Projects_Database!$R575,"Link 1"),"")</f>
        <v>Link 1</v>
      </c>
      <c r="Z575" s="50" t="str">
        <f>IF(CCUS_Projects_Database!$S575&lt;&gt;"",HYPERLINK(CCUS_Projects_Database!$S575,"Link 2"),"")</f>
        <v/>
      </c>
      <c r="AA575" s="50" t="str">
        <f>IF(CCUS_Projects_Database!$T575&lt;&gt;"",HYPERLINK(CCUS_Projects_Database!$T575,"Link 3"),"")</f>
        <v/>
      </c>
      <c r="AB575" s="50" t="str">
        <f>IF(CCUS_Projects_Database!$U575&lt;&gt;"",HYPERLINK(CCUS_Projects_Database!$U575,"Link 4"),"")</f>
        <v/>
      </c>
      <c r="AC575" s="50" t="str">
        <f>IF(CCUS_Projects_Database!$V575&lt;&gt;"",HYPERLINK(CCUS_Projects_Database!$V575,"Link 5"),"")</f>
        <v/>
      </c>
      <c r="AD575" s="50" t="str">
        <f>IF(CCUS_Projects_Database!$W575&lt;&gt;"",HYPERLINK(CCUS_Projects_Database!$W575,"Link 6"),"")</f>
        <v/>
      </c>
      <c r="AE575" s="50" t="str">
        <f>IF(CCUS_Projects_Database!$X575&lt;&gt;"",HYPERLINK(CCUS_Projects_Database!$X575,"Link 7"),"")</f>
        <v/>
      </c>
    </row>
    <row r="576" ht="15.75" customHeight="1">
      <c r="A576" s="37" t="s">
        <v>2188</v>
      </c>
      <c r="B576" s="38">
        <v>746.0</v>
      </c>
      <c r="C576" s="38" t="s">
        <v>257</v>
      </c>
      <c r="D576" s="39" t="s">
        <v>2189</v>
      </c>
      <c r="E576" s="38" t="s">
        <v>10</v>
      </c>
      <c r="F576" s="38">
        <v>2023.0</v>
      </c>
      <c r="G576" s="38" t="s">
        <v>124</v>
      </c>
      <c r="H576" s="38" t="s">
        <v>124</v>
      </c>
      <c r="I576" s="38" t="s">
        <v>124</v>
      </c>
      <c r="J576" s="38" t="s">
        <v>28</v>
      </c>
      <c r="K576" s="40" t="s">
        <v>124</v>
      </c>
      <c r="L576" s="51">
        <v>9.0</v>
      </c>
      <c r="M576" s="40">
        <v>9.0</v>
      </c>
      <c r="N576" s="38" t="s">
        <v>10</v>
      </c>
      <c r="O576" s="41" t="s">
        <v>71</v>
      </c>
      <c r="P576" s="42" t="s">
        <v>2188</v>
      </c>
      <c r="Q576" s="38" t="s">
        <v>125</v>
      </c>
      <c r="R576" s="42" t="s">
        <v>2190</v>
      </c>
      <c r="S576" s="42" t="s">
        <v>2191</v>
      </c>
      <c r="T576" s="42" t="s">
        <v>124</v>
      </c>
      <c r="U576" s="42" t="s">
        <v>124</v>
      </c>
      <c r="V576" s="42" t="s">
        <v>124</v>
      </c>
      <c r="W576" s="42" t="s">
        <v>124</v>
      </c>
      <c r="X576" s="42" t="s">
        <v>124</v>
      </c>
      <c r="Y576" s="43" t="str">
        <f>IF(CCUS_Projects_Database!$R576&lt;&gt;"",HYPERLINK(CCUS_Projects_Database!$R576,"Link 1"),"")</f>
        <v>Link 1</v>
      </c>
      <c r="Z576" s="43" t="str">
        <f>IF(CCUS_Projects_Database!$S576&lt;&gt;"",HYPERLINK(CCUS_Projects_Database!$S576,"Link 2"),"")</f>
        <v>Link 2</v>
      </c>
      <c r="AA576" s="43" t="str">
        <f>IF(CCUS_Projects_Database!$T576&lt;&gt;"",HYPERLINK(CCUS_Projects_Database!$T576,"Link 3"),"")</f>
        <v/>
      </c>
      <c r="AB576" s="43" t="str">
        <f>IF(CCUS_Projects_Database!$U576&lt;&gt;"",HYPERLINK(CCUS_Projects_Database!$U576,"Link 4"),"")</f>
        <v/>
      </c>
      <c r="AC576" s="43" t="str">
        <f>IF(CCUS_Projects_Database!$V576&lt;&gt;"",HYPERLINK(CCUS_Projects_Database!$V576,"Link 5"),"")</f>
        <v/>
      </c>
      <c r="AD576" s="43" t="str">
        <f>IF(CCUS_Projects_Database!$W576&lt;&gt;"",HYPERLINK(CCUS_Projects_Database!$W576,"Link 6"),"")</f>
        <v/>
      </c>
      <c r="AE576" s="43" t="str">
        <f>IF(CCUS_Projects_Database!$X576&lt;&gt;"",HYPERLINK(CCUS_Projects_Database!$X576,"Link 7"),"")</f>
        <v/>
      </c>
    </row>
    <row r="577" ht="15.75" customHeight="1">
      <c r="A577" s="44" t="s">
        <v>2192</v>
      </c>
      <c r="B577" s="45">
        <v>298.0</v>
      </c>
      <c r="C577" s="45" t="s">
        <v>949</v>
      </c>
      <c r="D577" s="46" t="s">
        <v>2193</v>
      </c>
      <c r="E577" s="45" t="s">
        <v>6</v>
      </c>
      <c r="F577" s="45">
        <v>2021.0</v>
      </c>
      <c r="G577" s="45" t="s">
        <v>124</v>
      </c>
      <c r="H577" s="45">
        <v>2027.0</v>
      </c>
      <c r="I577" s="45" t="s">
        <v>124</v>
      </c>
      <c r="J577" s="45" t="s">
        <v>28</v>
      </c>
      <c r="K577" s="47" t="s">
        <v>124</v>
      </c>
      <c r="L577" s="47"/>
      <c r="M577" s="47" t="s">
        <v>124</v>
      </c>
      <c r="N577" s="45" t="s">
        <v>136</v>
      </c>
      <c r="O577" s="48" t="s">
        <v>71</v>
      </c>
      <c r="P577" s="49" t="s">
        <v>124</v>
      </c>
      <c r="Q577" s="45" t="s">
        <v>951</v>
      </c>
      <c r="R577" s="49" t="s">
        <v>2194</v>
      </c>
      <c r="S577" s="49" t="s">
        <v>2195</v>
      </c>
      <c r="T577" s="49" t="s">
        <v>2196</v>
      </c>
      <c r="U577" s="49" t="s">
        <v>124</v>
      </c>
      <c r="V577" s="49" t="s">
        <v>124</v>
      </c>
      <c r="W577" s="49" t="s">
        <v>124</v>
      </c>
      <c r="X577" s="49" t="s">
        <v>124</v>
      </c>
      <c r="Y577" s="50" t="str">
        <f>IF(CCUS_Projects_Database!$R577&lt;&gt;"",HYPERLINK(CCUS_Projects_Database!$R577,"Link 1"),"")</f>
        <v>Link 1</v>
      </c>
      <c r="Z577" s="50" t="str">
        <f>IF(CCUS_Projects_Database!$S577&lt;&gt;"",HYPERLINK(CCUS_Projects_Database!$S577,"Link 2"),"")</f>
        <v>Link 2</v>
      </c>
      <c r="AA577" s="50" t="str">
        <f>IF(CCUS_Projects_Database!$T577&lt;&gt;"",HYPERLINK(CCUS_Projects_Database!$T577,"Link 3"),"")</f>
        <v>Link 3</v>
      </c>
      <c r="AB577" s="50" t="str">
        <f>IF(CCUS_Projects_Database!$U577&lt;&gt;"",HYPERLINK(CCUS_Projects_Database!$U577,"Link 4"),"")</f>
        <v/>
      </c>
      <c r="AC577" s="50" t="str">
        <f>IF(CCUS_Projects_Database!$V577&lt;&gt;"",HYPERLINK(CCUS_Projects_Database!$V577,"Link 5"),"")</f>
        <v/>
      </c>
      <c r="AD577" s="50" t="str">
        <f>IF(CCUS_Projects_Database!$W577&lt;&gt;"",HYPERLINK(CCUS_Projects_Database!$W577,"Link 6"),"")</f>
        <v/>
      </c>
      <c r="AE577" s="50" t="str">
        <f>IF(CCUS_Projects_Database!$X577&lt;&gt;"",HYPERLINK(CCUS_Projects_Database!$X577,"Link 7"),"")</f>
        <v/>
      </c>
    </row>
    <row r="578" ht="15.75" customHeight="1">
      <c r="A578" s="37" t="s">
        <v>2197</v>
      </c>
      <c r="B578" s="38">
        <v>805.0</v>
      </c>
      <c r="C578" s="38" t="s">
        <v>141</v>
      </c>
      <c r="D578" s="39" t="s">
        <v>2198</v>
      </c>
      <c r="E578" s="38" t="s">
        <v>8</v>
      </c>
      <c r="F578" s="38">
        <v>2023.0</v>
      </c>
      <c r="G578" s="38" t="s">
        <v>124</v>
      </c>
      <c r="H578" s="38">
        <v>2026.0</v>
      </c>
      <c r="I578" s="38" t="s">
        <v>124</v>
      </c>
      <c r="J578" s="38" t="s">
        <v>28</v>
      </c>
      <c r="K578" s="40" t="s">
        <v>124</v>
      </c>
      <c r="L578" s="51">
        <v>0.8</v>
      </c>
      <c r="M578" s="40">
        <v>0.8</v>
      </c>
      <c r="N578" s="38" t="s">
        <v>58</v>
      </c>
      <c r="O578" s="41" t="s">
        <v>71</v>
      </c>
      <c r="P578" s="42" t="s">
        <v>783</v>
      </c>
      <c r="Q578" s="38" t="s">
        <v>143</v>
      </c>
      <c r="R578" s="42" t="s">
        <v>1253</v>
      </c>
      <c r="S578" s="42" t="s">
        <v>2199</v>
      </c>
      <c r="T578" s="42" t="s">
        <v>124</v>
      </c>
      <c r="U578" s="42" t="s">
        <v>124</v>
      </c>
      <c r="V578" s="42" t="s">
        <v>124</v>
      </c>
      <c r="W578" s="42" t="s">
        <v>124</v>
      </c>
      <c r="X578" s="42" t="s">
        <v>124</v>
      </c>
      <c r="Y578" s="43" t="str">
        <f>IF(CCUS_Projects_Database!$R578&lt;&gt;"",HYPERLINK(CCUS_Projects_Database!$R578,"Link 1"),"")</f>
        <v>Link 1</v>
      </c>
      <c r="Z578" s="43" t="str">
        <f>IF(CCUS_Projects_Database!$S578&lt;&gt;"",HYPERLINK(CCUS_Projects_Database!$S578,"Link 2"),"")</f>
        <v>Link 2</v>
      </c>
      <c r="AA578" s="43" t="str">
        <f>IF(CCUS_Projects_Database!$T578&lt;&gt;"",HYPERLINK(CCUS_Projects_Database!$T578,"Link 3"),"")</f>
        <v/>
      </c>
      <c r="AB578" s="43" t="str">
        <f>IF(CCUS_Projects_Database!$U578&lt;&gt;"",HYPERLINK(CCUS_Projects_Database!$U578,"Link 4"),"")</f>
        <v/>
      </c>
      <c r="AC578" s="43" t="str">
        <f>IF(CCUS_Projects_Database!$V578&lt;&gt;"",HYPERLINK(CCUS_Projects_Database!$V578,"Link 5"),"")</f>
        <v/>
      </c>
      <c r="AD578" s="43" t="str">
        <f>IF(CCUS_Projects_Database!$W578&lt;&gt;"",HYPERLINK(CCUS_Projects_Database!$W578,"Link 6"),"")</f>
        <v/>
      </c>
      <c r="AE578" s="43" t="str">
        <f>IF(CCUS_Projects_Database!$X578&lt;&gt;"",HYPERLINK(CCUS_Projects_Database!$X578,"Link 7"),"")</f>
        <v/>
      </c>
    </row>
    <row r="579" ht="15.75" customHeight="1">
      <c r="A579" s="44" t="s">
        <v>2200</v>
      </c>
      <c r="B579" s="45">
        <v>407.0</v>
      </c>
      <c r="C579" s="45" t="s">
        <v>239</v>
      </c>
      <c r="D579" s="46" t="s">
        <v>2201</v>
      </c>
      <c r="E579" s="45" t="s">
        <v>8</v>
      </c>
      <c r="F579" s="45">
        <v>2011.0</v>
      </c>
      <c r="G579" s="45">
        <v>2018.0</v>
      </c>
      <c r="H579" s="45">
        <v>2020.0</v>
      </c>
      <c r="I579" s="45" t="s">
        <v>124</v>
      </c>
      <c r="J579" s="45" t="s">
        <v>32</v>
      </c>
      <c r="K579" s="47">
        <v>1.0</v>
      </c>
      <c r="L579" s="52">
        <v>0.3</v>
      </c>
      <c r="M579" s="47">
        <v>0.3</v>
      </c>
      <c r="N579" s="45" t="s">
        <v>60</v>
      </c>
      <c r="O579" s="48" t="s">
        <v>73</v>
      </c>
      <c r="P579" s="49" t="s">
        <v>1187</v>
      </c>
      <c r="Q579" s="45" t="s">
        <v>143</v>
      </c>
      <c r="R579" s="49" t="s">
        <v>124</v>
      </c>
      <c r="S579" s="49" t="s">
        <v>124</v>
      </c>
      <c r="T579" s="49" t="s">
        <v>124</v>
      </c>
      <c r="U579" s="49" t="s">
        <v>124</v>
      </c>
      <c r="V579" s="49" t="s">
        <v>124</v>
      </c>
      <c r="W579" s="49" t="s">
        <v>124</v>
      </c>
      <c r="X579" s="49" t="s">
        <v>124</v>
      </c>
      <c r="Y579" s="50" t="str">
        <f>IF(CCUS_Projects_Database!$R579&lt;&gt;"",HYPERLINK(CCUS_Projects_Database!$R579,"Link 1"),"")</f>
        <v/>
      </c>
      <c r="Z579" s="50" t="str">
        <f>IF(CCUS_Projects_Database!$S579&lt;&gt;"",HYPERLINK(CCUS_Projects_Database!$S579,"Link 2"),"")</f>
        <v/>
      </c>
      <c r="AA579" s="50" t="str">
        <f>IF(CCUS_Projects_Database!$T579&lt;&gt;"",HYPERLINK(CCUS_Projects_Database!$T579,"Link 3"),"")</f>
        <v/>
      </c>
      <c r="AB579" s="50" t="str">
        <f>IF(CCUS_Projects_Database!$U579&lt;&gt;"",HYPERLINK(CCUS_Projects_Database!$U579,"Link 4"),"")</f>
        <v/>
      </c>
      <c r="AC579" s="50" t="str">
        <f>IF(CCUS_Projects_Database!$V579&lt;&gt;"",HYPERLINK(CCUS_Projects_Database!$V579,"Link 5"),"")</f>
        <v/>
      </c>
      <c r="AD579" s="50" t="str">
        <f>IF(CCUS_Projects_Database!$W579&lt;&gt;"",HYPERLINK(CCUS_Projects_Database!$W579,"Link 6"),"")</f>
        <v/>
      </c>
      <c r="AE579" s="50" t="str">
        <f>IF(CCUS_Projects_Database!$X579&lt;&gt;"",HYPERLINK(CCUS_Projects_Database!$X579,"Link 7"),"")</f>
        <v/>
      </c>
    </row>
    <row r="580" ht="15.75" customHeight="1">
      <c r="A580" s="37" t="s">
        <v>2202</v>
      </c>
      <c r="B580" s="38">
        <v>608.0</v>
      </c>
      <c r="C580" s="38" t="s">
        <v>239</v>
      </c>
      <c r="D580" s="39" t="s">
        <v>2201</v>
      </c>
      <c r="E580" s="38" t="s">
        <v>8</v>
      </c>
      <c r="F580" s="38">
        <v>2022.0</v>
      </c>
      <c r="G580" s="38" t="s">
        <v>124</v>
      </c>
      <c r="H580" s="38" t="s">
        <v>124</v>
      </c>
      <c r="I580" s="38" t="s">
        <v>124</v>
      </c>
      <c r="J580" s="38" t="s">
        <v>28</v>
      </c>
      <c r="K580" s="40">
        <v>2.0</v>
      </c>
      <c r="L580" s="40"/>
      <c r="M580" s="40" t="s">
        <v>124</v>
      </c>
      <c r="N580" s="38" t="s">
        <v>60</v>
      </c>
      <c r="O580" s="41" t="s">
        <v>73</v>
      </c>
      <c r="P580" s="42" t="s">
        <v>272</v>
      </c>
      <c r="Q580" s="38" t="s">
        <v>143</v>
      </c>
      <c r="R580" s="42" t="s">
        <v>2203</v>
      </c>
      <c r="S580" s="42" t="s">
        <v>124</v>
      </c>
      <c r="T580" s="42" t="s">
        <v>124</v>
      </c>
      <c r="U580" s="42" t="s">
        <v>124</v>
      </c>
      <c r="V580" s="42" t="s">
        <v>124</v>
      </c>
      <c r="W580" s="42" t="s">
        <v>124</v>
      </c>
      <c r="X580" s="42" t="s">
        <v>124</v>
      </c>
      <c r="Y580" s="43" t="str">
        <f>IF(CCUS_Projects_Database!$R580&lt;&gt;"",HYPERLINK(CCUS_Projects_Database!$R580,"Link 1"),"")</f>
        <v>Link 1</v>
      </c>
      <c r="Z580" s="43" t="str">
        <f>IF(CCUS_Projects_Database!$S580&lt;&gt;"",HYPERLINK(CCUS_Projects_Database!$S580,"Link 2"),"")</f>
        <v/>
      </c>
      <c r="AA580" s="43" t="str">
        <f>IF(CCUS_Projects_Database!$T580&lt;&gt;"",HYPERLINK(CCUS_Projects_Database!$T580,"Link 3"),"")</f>
        <v/>
      </c>
      <c r="AB580" s="43" t="str">
        <f>IF(CCUS_Projects_Database!$U580&lt;&gt;"",HYPERLINK(CCUS_Projects_Database!$U580,"Link 4"),"")</f>
        <v/>
      </c>
      <c r="AC580" s="43" t="str">
        <f>IF(CCUS_Projects_Database!$V580&lt;&gt;"",HYPERLINK(CCUS_Projects_Database!$V580,"Link 5"),"")</f>
        <v/>
      </c>
      <c r="AD580" s="43" t="str">
        <f>IF(CCUS_Projects_Database!$W580&lt;&gt;"",HYPERLINK(CCUS_Projects_Database!$W580,"Link 6"),"")</f>
        <v/>
      </c>
      <c r="AE580" s="43" t="str">
        <f>IF(CCUS_Projects_Database!$X580&lt;&gt;"",HYPERLINK(CCUS_Projects_Database!$X580,"Link 7"),"")</f>
        <v/>
      </c>
    </row>
    <row r="581" ht="15.75" customHeight="1">
      <c r="A581" s="44" t="s">
        <v>2204</v>
      </c>
      <c r="B581" s="45">
        <v>293.0</v>
      </c>
      <c r="C581" s="45" t="s">
        <v>239</v>
      </c>
      <c r="D581" s="46" t="s">
        <v>2205</v>
      </c>
      <c r="E581" s="45" t="s">
        <v>8</v>
      </c>
      <c r="F581" s="45">
        <v>2011.0</v>
      </c>
      <c r="G581" s="45">
        <v>2014.0</v>
      </c>
      <c r="H581" s="45">
        <v>2020.0</v>
      </c>
      <c r="I581" s="45" t="s">
        <v>124</v>
      </c>
      <c r="J581" s="45" t="s">
        <v>32</v>
      </c>
      <c r="K581" s="47" t="s">
        <v>124</v>
      </c>
      <c r="L581" s="52">
        <v>1.3</v>
      </c>
      <c r="M581" s="47">
        <v>1.3</v>
      </c>
      <c r="N581" s="45" t="s">
        <v>54</v>
      </c>
      <c r="O581" s="48" t="s">
        <v>73</v>
      </c>
      <c r="P581" s="49" t="s">
        <v>1187</v>
      </c>
      <c r="Q581" s="45" t="s">
        <v>143</v>
      </c>
      <c r="R581" s="49" t="s">
        <v>2206</v>
      </c>
      <c r="S581" s="49" t="s">
        <v>2207</v>
      </c>
      <c r="T581" s="49" t="s">
        <v>2208</v>
      </c>
      <c r="U581" s="49" t="s">
        <v>124</v>
      </c>
      <c r="V581" s="49" t="s">
        <v>124</v>
      </c>
      <c r="W581" s="49" t="s">
        <v>124</v>
      </c>
      <c r="X581" s="49" t="s">
        <v>124</v>
      </c>
      <c r="Y581" s="50" t="str">
        <f>IF(CCUS_Projects_Database!$R581&lt;&gt;"",HYPERLINK(CCUS_Projects_Database!$R581,"Link 1"),"")</f>
        <v>Link 1</v>
      </c>
      <c r="Z581" s="50" t="str">
        <f>IF(CCUS_Projects_Database!$S581&lt;&gt;"",HYPERLINK(CCUS_Projects_Database!$S581,"Link 2"),"")</f>
        <v>Link 2</v>
      </c>
      <c r="AA581" s="50" t="str">
        <f>IF(CCUS_Projects_Database!$T581&lt;&gt;"",HYPERLINK(CCUS_Projects_Database!$T581,"Link 3"),"")</f>
        <v>Link 3</v>
      </c>
      <c r="AB581" s="50" t="str">
        <f>IF(CCUS_Projects_Database!$U581&lt;&gt;"",HYPERLINK(CCUS_Projects_Database!$U581,"Link 4"),"")</f>
        <v/>
      </c>
      <c r="AC581" s="50" t="str">
        <f>IF(CCUS_Projects_Database!$V581&lt;&gt;"",HYPERLINK(CCUS_Projects_Database!$V581,"Link 5"),"")</f>
        <v/>
      </c>
      <c r="AD581" s="50" t="str">
        <f>IF(CCUS_Projects_Database!$W581&lt;&gt;"",HYPERLINK(CCUS_Projects_Database!$W581,"Link 6"),"")</f>
        <v/>
      </c>
      <c r="AE581" s="50" t="str">
        <f>IF(CCUS_Projects_Database!$X581&lt;&gt;"",HYPERLINK(CCUS_Projects_Database!$X581,"Link 7"),"")</f>
        <v/>
      </c>
    </row>
    <row r="582" ht="15.75" customHeight="1">
      <c r="A582" s="37" t="s">
        <v>2209</v>
      </c>
      <c r="B582" s="38">
        <v>1096.0</v>
      </c>
      <c r="C582" s="38" t="s">
        <v>204</v>
      </c>
      <c r="D582" s="39" t="s">
        <v>2210</v>
      </c>
      <c r="E582" s="38" t="s">
        <v>10</v>
      </c>
      <c r="F582" s="38"/>
      <c r="G582" s="38" t="s">
        <v>124</v>
      </c>
      <c r="H582" s="38">
        <v>2005.0</v>
      </c>
      <c r="I582" s="38" t="s">
        <v>124</v>
      </c>
      <c r="J582" s="38" t="s">
        <v>32</v>
      </c>
      <c r="K582" s="40" t="s">
        <v>124</v>
      </c>
      <c r="L582" s="51">
        <v>0.5</v>
      </c>
      <c r="M582" s="40">
        <v>0.5</v>
      </c>
      <c r="N582" s="38" t="s">
        <v>10</v>
      </c>
      <c r="O582" s="41" t="s">
        <v>75</v>
      </c>
      <c r="P582" s="42" t="s">
        <v>124</v>
      </c>
      <c r="Q582" s="38" t="s">
        <v>125</v>
      </c>
      <c r="R582" s="42" t="s">
        <v>124</v>
      </c>
      <c r="S582" s="42" t="s">
        <v>124</v>
      </c>
      <c r="T582" s="42" t="s">
        <v>124</v>
      </c>
      <c r="U582" s="42" t="s">
        <v>124</v>
      </c>
      <c r="V582" s="42" t="s">
        <v>124</v>
      </c>
      <c r="W582" s="42" t="s">
        <v>124</v>
      </c>
      <c r="X582" s="42" t="s">
        <v>124</v>
      </c>
      <c r="Y582" s="43" t="str">
        <f>IF(CCUS_Projects_Database!$R582&lt;&gt;"",HYPERLINK(CCUS_Projects_Database!$R582,"Link 1"),"")</f>
        <v/>
      </c>
      <c r="Z582" s="43" t="str">
        <f>IF(CCUS_Projects_Database!$S582&lt;&gt;"",HYPERLINK(CCUS_Projects_Database!$S582,"Link 2"),"")</f>
        <v/>
      </c>
      <c r="AA582" s="43" t="str">
        <f>IF(CCUS_Projects_Database!$T582&lt;&gt;"",HYPERLINK(CCUS_Projects_Database!$T582,"Link 3"),"")</f>
        <v/>
      </c>
      <c r="AB582" s="43" t="str">
        <f>IF(CCUS_Projects_Database!$U582&lt;&gt;"",HYPERLINK(CCUS_Projects_Database!$U582,"Link 4"),"")</f>
        <v/>
      </c>
      <c r="AC582" s="43" t="str">
        <f>IF(CCUS_Projects_Database!$V582&lt;&gt;"",HYPERLINK(CCUS_Projects_Database!$V582,"Link 5"),"")</f>
        <v/>
      </c>
      <c r="AD582" s="43" t="str">
        <f>IF(CCUS_Projects_Database!$W582&lt;&gt;"",HYPERLINK(CCUS_Projects_Database!$W582,"Link 6"),"")</f>
        <v/>
      </c>
      <c r="AE582" s="43" t="str">
        <f>IF(CCUS_Projects_Database!$X582&lt;&gt;"",HYPERLINK(CCUS_Projects_Database!$X582,"Link 7"),"")</f>
        <v/>
      </c>
    </row>
    <row r="583" ht="15.75" customHeight="1">
      <c r="A583" s="44" t="s">
        <v>2211</v>
      </c>
      <c r="B583" s="45">
        <v>647.0</v>
      </c>
      <c r="C583" s="45" t="s">
        <v>2212</v>
      </c>
      <c r="D583" s="46" t="s">
        <v>2213</v>
      </c>
      <c r="E583" s="45" t="s">
        <v>14</v>
      </c>
      <c r="F583" s="45">
        <v>2023.0</v>
      </c>
      <c r="G583" s="45" t="s">
        <v>124</v>
      </c>
      <c r="H583" s="45" t="s">
        <v>124</v>
      </c>
      <c r="I583" s="45" t="s">
        <v>124</v>
      </c>
      <c r="J583" s="45" t="s">
        <v>28</v>
      </c>
      <c r="K583" s="47" t="s">
        <v>124</v>
      </c>
      <c r="L583" s="52">
        <v>2.0</v>
      </c>
      <c r="M583" s="47">
        <v>2.0</v>
      </c>
      <c r="N583" s="45" t="s">
        <v>14</v>
      </c>
      <c r="O583" s="48" t="s">
        <v>71</v>
      </c>
      <c r="P583" s="49" t="s">
        <v>2214</v>
      </c>
      <c r="Q583" s="45" t="s">
        <v>2215</v>
      </c>
      <c r="R583" s="49" t="s">
        <v>2216</v>
      </c>
      <c r="S583" s="49" t="s">
        <v>1102</v>
      </c>
      <c r="T583" s="49" t="s">
        <v>124</v>
      </c>
      <c r="U583" s="49" t="s">
        <v>124</v>
      </c>
      <c r="V583" s="49" t="s">
        <v>124</v>
      </c>
      <c r="W583" s="49" t="s">
        <v>124</v>
      </c>
      <c r="X583" s="49" t="s">
        <v>124</v>
      </c>
      <c r="Y583" s="50" t="str">
        <f>IF(CCUS_Projects_Database!$R583&lt;&gt;"",HYPERLINK(CCUS_Projects_Database!$R583,"Link 1"),"")</f>
        <v>Link 1</v>
      </c>
      <c r="Z583" s="50" t="str">
        <f>IF(CCUS_Projects_Database!$S583&lt;&gt;"",HYPERLINK(CCUS_Projects_Database!$S583,"Link 2"),"")</f>
        <v>Link 2</v>
      </c>
      <c r="AA583" s="50" t="str">
        <f>IF(CCUS_Projects_Database!$T583&lt;&gt;"",HYPERLINK(CCUS_Projects_Database!$T583,"Link 3"),"")</f>
        <v/>
      </c>
      <c r="AB583" s="50" t="str">
        <f>IF(CCUS_Projects_Database!$U583&lt;&gt;"",HYPERLINK(CCUS_Projects_Database!$U583,"Link 4"),"")</f>
        <v/>
      </c>
      <c r="AC583" s="50" t="str">
        <f>IF(CCUS_Projects_Database!$V583&lt;&gt;"",HYPERLINK(CCUS_Projects_Database!$V583,"Link 5"),"")</f>
        <v/>
      </c>
      <c r="AD583" s="50" t="str">
        <f>IF(CCUS_Projects_Database!$W583&lt;&gt;"",HYPERLINK(CCUS_Projects_Database!$W583,"Link 6"),"")</f>
        <v/>
      </c>
      <c r="AE583" s="50" t="str">
        <f>IF(CCUS_Projects_Database!$X583&lt;&gt;"",HYPERLINK(CCUS_Projects_Database!$X583,"Link 7"),"")</f>
        <v/>
      </c>
    </row>
    <row r="584" ht="15.75" customHeight="1">
      <c r="A584" s="37" t="s">
        <v>2217</v>
      </c>
      <c r="B584" s="38">
        <v>521.0</v>
      </c>
      <c r="C584" s="38" t="s">
        <v>141</v>
      </c>
      <c r="D584" s="39" t="s">
        <v>2218</v>
      </c>
      <c r="E584" s="38" t="s">
        <v>8</v>
      </c>
      <c r="F584" s="38">
        <v>2021.0</v>
      </c>
      <c r="G584" s="38">
        <v>2022.0</v>
      </c>
      <c r="H584" s="38">
        <v>2025.0</v>
      </c>
      <c r="I584" s="38" t="s">
        <v>124</v>
      </c>
      <c r="J584" s="38" t="s">
        <v>30</v>
      </c>
      <c r="K584" s="40">
        <v>1.0</v>
      </c>
      <c r="L584" s="51">
        <v>0.45</v>
      </c>
      <c r="M584" s="40">
        <v>0.45</v>
      </c>
      <c r="N584" s="38" t="s">
        <v>60</v>
      </c>
      <c r="O584" s="41" t="s">
        <v>71</v>
      </c>
      <c r="P584" s="42" t="s">
        <v>2219</v>
      </c>
      <c r="Q584" s="38" t="s">
        <v>143</v>
      </c>
      <c r="R584" s="42" t="s">
        <v>2220</v>
      </c>
      <c r="S584" s="42" t="s">
        <v>124</v>
      </c>
      <c r="T584" s="42" t="s">
        <v>124</v>
      </c>
      <c r="U584" s="42" t="s">
        <v>124</v>
      </c>
      <c r="V584" s="42" t="s">
        <v>124</v>
      </c>
      <c r="W584" s="42" t="s">
        <v>124</v>
      </c>
      <c r="X584" s="42" t="s">
        <v>124</v>
      </c>
      <c r="Y584" s="43" t="str">
        <f>IF(CCUS_Projects_Database!$R584&lt;&gt;"",HYPERLINK(CCUS_Projects_Database!$R584,"Link 1"),"")</f>
        <v>Link 1</v>
      </c>
      <c r="Z584" s="43" t="str">
        <f>IF(CCUS_Projects_Database!$S584&lt;&gt;"",HYPERLINK(CCUS_Projects_Database!$S584,"Link 2"),"")</f>
        <v/>
      </c>
      <c r="AA584" s="43" t="str">
        <f>IF(CCUS_Projects_Database!$T584&lt;&gt;"",HYPERLINK(CCUS_Projects_Database!$T584,"Link 3"),"")</f>
        <v/>
      </c>
      <c r="AB584" s="43" t="str">
        <f>IF(CCUS_Projects_Database!$U584&lt;&gt;"",HYPERLINK(CCUS_Projects_Database!$U584,"Link 4"),"")</f>
        <v/>
      </c>
      <c r="AC584" s="43" t="str">
        <f>IF(CCUS_Projects_Database!$V584&lt;&gt;"",HYPERLINK(CCUS_Projects_Database!$V584,"Link 5"),"")</f>
        <v/>
      </c>
      <c r="AD584" s="43" t="str">
        <f>IF(CCUS_Projects_Database!$W584&lt;&gt;"",HYPERLINK(CCUS_Projects_Database!$W584,"Link 6"),"")</f>
        <v/>
      </c>
      <c r="AE584" s="43" t="str">
        <f>IF(CCUS_Projects_Database!$X584&lt;&gt;"",HYPERLINK(CCUS_Projects_Database!$X584,"Link 7"),"")</f>
        <v/>
      </c>
    </row>
    <row r="585" ht="15.75" customHeight="1">
      <c r="A585" s="44" t="s">
        <v>2221</v>
      </c>
      <c r="B585" s="45">
        <v>522.0</v>
      </c>
      <c r="C585" s="45" t="s">
        <v>141</v>
      </c>
      <c r="D585" s="46" t="s">
        <v>2218</v>
      </c>
      <c r="E585" s="45" t="s">
        <v>8</v>
      </c>
      <c r="F585" s="45">
        <v>2021.0</v>
      </c>
      <c r="G585" s="45" t="s">
        <v>124</v>
      </c>
      <c r="H585" s="45" t="s">
        <v>124</v>
      </c>
      <c r="I585" s="45" t="s">
        <v>124</v>
      </c>
      <c r="J585" s="45" t="s">
        <v>28</v>
      </c>
      <c r="K585" s="47">
        <v>2.0</v>
      </c>
      <c r="L585" s="52">
        <v>0.25</v>
      </c>
      <c r="M585" s="47">
        <v>0.25</v>
      </c>
      <c r="N585" s="45" t="s">
        <v>60</v>
      </c>
      <c r="O585" s="48" t="s">
        <v>71</v>
      </c>
      <c r="P585" s="49" t="s">
        <v>2219</v>
      </c>
      <c r="Q585" s="45" t="s">
        <v>143</v>
      </c>
      <c r="R585" s="49" t="s">
        <v>2220</v>
      </c>
      <c r="S585" s="49" t="s">
        <v>124</v>
      </c>
      <c r="T585" s="49" t="s">
        <v>124</v>
      </c>
      <c r="U585" s="49" t="s">
        <v>124</v>
      </c>
      <c r="V585" s="49" t="s">
        <v>124</v>
      </c>
      <c r="W585" s="49" t="s">
        <v>124</v>
      </c>
      <c r="X585" s="49" t="s">
        <v>124</v>
      </c>
      <c r="Y585" s="50" t="str">
        <f>IF(CCUS_Projects_Database!$R585&lt;&gt;"",HYPERLINK(CCUS_Projects_Database!$R585,"Link 1"),"")</f>
        <v>Link 1</v>
      </c>
      <c r="Z585" s="50" t="str">
        <f>IF(CCUS_Projects_Database!$S585&lt;&gt;"",HYPERLINK(CCUS_Projects_Database!$S585,"Link 2"),"")</f>
        <v/>
      </c>
      <c r="AA585" s="50" t="str">
        <f>IF(CCUS_Projects_Database!$T585&lt;&gt;"",HYPERLINK(CCUS_Projects_Database!$T585,"Link 3"),"")</f>
        <v/>
      </c>
      <c r="AB585" s="50" t="str">
        <f>IF(CCUS_Projects_Database!$U585&lt;&gt;"",HYPERLINK(CCUS_Projects_Database!$U585,"Link 4"),"")</f>
        <v/>
      </c>
      <c r="AC585" s="50" t="str">
        <f>IF(CCUS_Projects_Database!$V585&lt;&gt;"",HYPERLINK(CCUS_Projects_Database!$V585,"Link 5"),"")</f>
        <v/>
      </c>
      <c r="AD585" s="50" t="str">
        <f>IF(CCUS_Projects_Database!$W585&lt;&gt;"",HYPERLINK(CCUS_Projects_Database!$W585,"Link 6"),"")</f>
        <v/>
      </c>
      <c r="AE585" s="50" t="str">
        <f>IF(CCUS_Projects_Database!$X585&lt;&gt;"",HYPERLINK(CCUS_Projects_Database!$X585,"Link 7"),"")</f>
        <v/>
      </c>
    </row>
    <row r="586" ht="15.75" customHeight="1">
      <c r="A586" s="37" t="s">
        <v>2222</v>
      </c>
      <c r="B586" s="38">
        <v>812.0</v>
      </c>
      <c r="C586" s="38" t="s">
        <v>1758</v>
      </c>
      <c r="D586" s="39" t="s">
        <v>2223</v>
      </c>
      <c r="E586" s="38" t="s">
        <v>14</v>
      </c>
      <c r="F586" s="38">
        <v>2023.0</v>
      </c>
      <c r="G586" s="38" t="s">
        <v>124</v>
      </c>
      <c r="H586" s="38">
        <v>2030.0</v>
      </c>
      <c r="I586" s="38" t="s">
        <v>124</v>
      </c>
      <c r="J586" s="38" t="s">
        <v>28</v>
      </c>
      <c r="K586" s="40" t="s">
        <v>124</v>
      </c>
      <c r="L586" s="51">
        <v>2.0</v>
      </c>
      <c r="M586" s="40">
        <v>2.0</v>
      </c>
      <c r="N586" s="38" t="s">
        <v>14</v>
      </c>
      <c r="O586" s="41" t="s">
        <v>71</v>
      </c>
      <c r="P586" s="42" t="s">
        <v>2224</v>
      </c>
      <c r="Q586" s="38" t="s">
        <v>148</v>
      </c>
      <c r="R586" s="42" t="s">
        <v>1102</v>
      </c>
      <c r="S586" s="42" t="s">
        <v>2225</v>
      </c>
      <c r="T586" s="42" t="s">
        <v>124</v>
      </c>
      <c r="U586" s="42" t="s">
        <v>124</v>
      </c>
      <c r="V586" s="42" t="s">
        <v>124</v>
      </c>
      <c r="W586" s="42" t="s">
        <v>124</v>
      </c>
      <c r="X586" s="42" t="s">
        <v>124</v>
      </c>
      <c r="Y586" s="43" t="str">
        <f>IF(CCUS_Projects_Database!$R586&lt;&gt;"",HYPERLINK(CCUS_Projects_Database!$R586,"Link 1"),"")</f>
        <v>Link 1</v>
      </c>
      <c r="Z586" s="43" t="str">
        <f>IF(CCUS_Projects_Database!$S586&lt;&gt;"",HYPERLINK(CCUS_Projects_Database!$S586,"Link 2"),"")</f>
        <v>Link 2</v>
      </c>
      <c r="AA586" s="43" t="str">
        <f>IF(CCUS_Projects_Database!$T586&lt;&gt;"",HYPERLINK(CCUS_Projects_Database!$T586,"Link 3"),"")</f>
        <v/>
      </c>
      <c r="AB586" s="43" t="str">
        <f>IF(CCUS_Projects_Database!$U586&lt;&gt;"",HYPERLINK(CCUS_Projects_Database!$U586,"Link 4"),"")</f>
        <v/>
      </c>
      <c r="AC586" s="43" t="str">
        <f>IF(CCUS_Projects_Database!$V586&lt;&gt;"",HYPERLINK(CCUS_Projects_Database!$V586,"Link 5"),"")</f>
        <v/>
      </c>
      <c r="AD586" s="43" t="str">
        <f>IF(CCUS_Projects_Database!$W586&lt;&gt;"",HYPERLINK(CCUS_Projects_Database!$W586,"Link 6"),"")</f>
        <v/>
      </c>
      <c r="AE586" s="43" t="str">
        <f>IF(CCUS_Projects_Database!$X586&lt;&gt;"",HYPERLINK(CCUS_Projects_Database!$X586,"Link 7"),"")</f>
        <v/>
      </c>
    </row>
    <row r="587" ht="15.75" customHeight="1">
      <c r="A587" s="44" t="s">
        <v>2226</v>
      </c>
      <c r="B587" s="45">
        <v>302.0</v>
      </c>
      <c r="C587" s="45" t="s">
        <v>284</v>
      </c>
      <c r="D587" s="46" t="s">
        <v>2227</v>
      </c>
      <c r="E587" s="45" t="s">
        <v>8</v>
      </c>
      <c r="F587" s="45">
        <v>2016.0</v>
      </c>
      <c r="G587" s="45" t="s">
        <v>124</v>
      </c>
      <c r="H587" s="45">
        <v>2025.0</v>
      </c>
      <c r="I587" s="45">
        <v>2025.0</v>
      </c>
      <c r="J587" s="45" t="s">
        <v>28</v>
      </c>
      <c r="K587" s="47" t="s">
        <v>124</v>
      </c>
      <c r="L587" s="52">
        <v>0.4</v>
      </c>
      <c r="M587" s="47">
        <v>0.4</v>
      </c>
      <c r="N587" s="45" t="s">
        <v>46</v>
      </c>
      <c r="O587" s="48" t="s">
        <v>71</v>
      </c>
      <c r="P587" s="49" t="s">
        <v>375</v>
      </c>
      <c r="Q587" s="45" t="s">
        <v>125</v>
      </c>
      <c r="R587" s="49" t="s">
        <v>1556</v>
      </c>
      <c r="S587" s="49" t="s">
        <v>2228</v>
      </c>
      <c r="T587" s="49" t="s">
        <v>2229</v>
      </c>
      <c r="U587" s="49" t="s">
        <v>2230</v>
      </c>
      <c r="V587" s="49" t="s">
        <v>2231</v>
      </c>
      <c r="W587" s="49" t="s">
        <v>2232</v>
      </c>
      <c r="X587" s="49" t="s">
        <v>2233</v>
      </c>
      <c r="Y587" s="50" t="str">
        <f>IF(CCUS_Projects_Database!$R587&lt;&gt;"",HYPERLINK(CCUS_Projects_Database!$R587,"Link 1"),"")</f>
        <v>Link 1</v>
      </c>
      <c r="Z587" s="50" t="str">
        <f>IF(CCUS_Projects_Database!$S587&lt;&gt;"",HYPERLINK(CCUS_Projects_Database!$S587,"Link 2"),"")</f>
        <v>Link 2</v>
      </c>
      <c r="AA587" s="50" t="str">
        <f>IF(CCUS_Projects_Database!$T587&lt;&gt;"",HYPERLINK(CCUS_Projects_Database!$T587,"Link 3"),"")</f>
        <v>Link 3</v>
      </c>
      <c r="AB587" s="50" t="str">
        <f>IF(CCUS_Projects_Database!$U587&lt;&gt;"",HYPERLINK(CCUS_Projects_Database!$U587,"Link 4"),"")</f>
        <v>Link 4</v>
      </c>
      <c r="AC587" s="50" t="str">
        <f>IF(CCUS_Projects_Database!$V587&lt;&gt;"",HYPERLINK(CCUS_Projects_Database!$V587,"Link 5"),"")</f>
        <v>Link 5</v>
      </c>
      <c r="AD587" s="50" t="str">
        <f>IF(CCUS_Projects_Database!$W587&lt;&gt;"",HYPERLINK(CCUS_Projects_Database!$W587,"Link 6"),"")</f>
        <v>Link 6</v>
      </c>
      <c r="AE587" s="50" t="str">
        <f>IF(CCUS_Projects_Database!$X587&lt;&gt;"",HYPERLINK(CCUS_Projects_Database!$X587,"Link 7"),"")</f>
        <v>Link 7</v>
      </c>
    </row>
    <row r="588" ht="15.75" customHeight="1">
      <c r="A588" s="37" t="s">
        <v>2234</v>
      </c>
      <c r="B588" s="38">
        <v>657.0</v>
      </c>
      <c r="C588" s="38" t="s">
        <v>1174</v>
      </c>
      <c r="D588" s="39" t="s">
        <v>1815</v>
      </c>
      <c r="E588" s="38" t="s">
        <v>8</v>
      </c>
      <c r="F588" s="38">
        <v>2023.0</v>
      </c>
      <c r="G588" s="38" t="s">
        <v>124</v>
      </c>
      <c r="H588" s="38">
        <v>2028.0</v>
      </c>
      <c r="I588" s="38" t="s">
        <v>124</v>
      </c>
      <c r="J588" s="38" t="s">
        <v>28</v>
      </c>
      <c r="K588" s="40" t="s">
        <v>124</v>
      </c>
      <c r="L588" s="51">
        <v>1.0</v>
      </c>
      <c r="M588" s="40">
        <v>1.0</v>
      </c>
      <c r="N588" s="38" t="s">
        <v>56</v>
      </c>
      <c r="O588" s="41" t="s">
        <v>71</v>
      </c>
      <c r="P588" s="42" t="s">
        <v>1176</v>
      </c>
      <c r="Q588" s="38" t="s">
        <v>125</v>
      </c>
      <c r="R588" s="42" t="s">
        <v>1816</v>
      </c>
      <c r="S588" s="42" t="s">
        <v>124</v>
      </c>
      <c r="T588" s="42" t="s">
        <v>124</v>
      </c>
      <c r="U588" s="42" t="s">
        <v>124</v>
      </c>
      <c r="V588" s="42" t="s">
        <v>124</v>
      </c>
      <c r="W588" s="42" t="s">
        <v>124</v>
      </c>
      <c r="X588" s="42" t="s">
        <v>124</v>
      </c>
      <c r="Y588" s="43" t="str">
        <f>IF(CCUS_Projects_Database!$R588&lt;&gt;"",HYPERLINK(CCUS_Projects_Database!$R588,"Link 1"),"")</f>
        <v>Link 1</v>
      </c>
      <c r="Z588" s="43" t="str">
        <f>IF(CCUS_Projects_Database!$S588&lt;&gt;"",HYPERLINK(CCUS_Projects_Database!$S588,"Link 2"),"")</f>
        <v/>
      </c>
      <c r="AA588" s="43" t="str">
        <f>IF(CCUS_Projects_Database!$T588&lt;&gt;"",HYPERLINK(CCUS_Projects_Database!$T588,"Link 3"),"")</f>
        <v/>
      </c>
      <c r="AB588" s="43" t="str">
        <f>IF(CCUS_Projects_Database!$U588&lt;&gt;"",HYPERLINK(CCUS_Projects_Database!$U588,"Link 4"),"")</f>
        <v/>
      </c>
      <c r="AC588" s="43" t="str">
        <f>IF(CCUS_Projects_Database!$V588&lt;&gt;"",HYPERLINK(CCUS_Projects_Database!$V588,"Link 5"),"")</f>
        <v/>
      </c>
      <c r="AD588" s="43" t="str">
        <f>IF(CCUS_Projects_Database!$W588&lt;&gt;"",HYPERLINK(CCUS_Projects_Database!$W588,"Link 6"),"")</f>
        <v/>
      </c>
      <c r="AE588" s="43" t="str">
        <f>IF(CCUS_Projects_Database!$X588&lt;&gt;"",HYPERLINK(CCUS_Projects_Database!$X588,"Link 7"),"")</f>
        <v/>
      </c>
    </row>
    <row r="589" ht="15.75" customHeight="1">
      <c r="A589" s="44" t="s">
        <v>2235</v>
      </c>
      <c r="B589" s="45">
        <v>618.0</v>
      </c>
      <c r="C589" s="45" t="s">
        <v>2015</v>
      </c>
      <c r="D589" s="46" t="s">
        <v>2236</v>
      </c>
      <c r="E589" s="45" t="s">
        <v>8</v>
      </c>
      <c r="F589" s="45">
        <v>2023.0</v>
      </c>
      <c r="G589" s="45" t="s">
        <v>124</v>
      </c>
      <c r="H589" s="45" t="s">
        <v>124</v>
      </c>
      <c r="I589" s="45" t="s">
        <v>124</v>
      </c>
      <c r="J589" s="45" t="s">
        <v>28</v>
      </c>
      <c r="K589" s="47" t="s">
        <v>124</v>
      </c>
      <c r="L589" s="47"/>
      <c r="M589" s="47">
        <v>2.118</v>
      </c>
      <c r="N589" s="45" t="s">
        <v>136</v>
      </c>
      <c r="O589" s="48" t="s">
        <v>77</v>
      </c>
      <c r="P589" s="49" t="s">
        <v>124</v>
      </c>
      <c r="Q589" s="45" t="s">
        <v>137</v>
      </c>
      <c r="R589" s="49" t="s">
        <v>2237</v>
      </c>
      <c r="S589" s="49" t="s">
        <v>124</v>
      </c>
      <c r="T589" s="49" t="s">
        <v>124</v>
      </c>
      <c r="U589" s="49" t="s">
        <v>124</v>
      </c>
      <c r="V589" s="49" t="s">
        <v>124</v>
      </c>
      <c r="W589" s="49" t="s">
        <v>124</v>
      </c>
      <c r="X589" s="49" t="s">
        <v>124</v>
      </c>
      <c r="Y589" s="50" t="str">
        <f>IF(CCUS_Projects_Database!$R589&lt;&gt;"",HYPERLINK(CCUS_Projects_Database!$R589,"Link 1"),"")</f>
        <v>Link 1</v>
      </c>
      <c r="Z589" s="50" t="str">
        <f>IF(CCUS_Projects_Database!$S589&lt;&gt;"",HYPERLINK(CCUS_Projects_Database!$S589,"Link 2"),"")</f>
        <v/>
      </c>
      <c r="AA589" s="50" t="str">
        <f>IF(CCUS_Projects_Database!$T589&lt;&gt;"",HYPERLINK(CCUS_Projects_Database!$T589,"Link 3"),"")</f>
        <v/>
      </c>
      <c r="AB589" s="50" t="str">
        <f>IF(CCUS_Projects_Database!$U589&lt;&gt;"",HYPERLINK(CCUS_Projects_Database!$U589,"Link 4"),"")</f>
        <v/>
      </c>
      <c r="AC589" s="50" t="str">
        <f>IF(CCUS_Projects_Database!$V589&lt;&gt;"",HYPERLINK(CCUS_Projects_Database!$V589,"Link 5"),"")</f>
        <v/>
      </c>
      <c r="AD589" s="50" t="str">
        <f>IF(CCUS_Projects_Database!$W589&lt;&gt;"",HYPERLINK(CCUS_Projects_Database!$W589,"Link 6"),"")</f>
        <v/>
      </c>
      <c r="AE589" s="50" t="str">
        <f>IF(CCUS_Projects_Database!$X589&lt;&gt;"",HYPERLINK(CCUS_Projects_Database!$X589,"Link 7"),"")</f>
        <v/>
      </c>
    </row>
    <row r="590" ht="15.75" customHeight="1">
      <c r="A590" s="37" t="s">
        <v>2238</v>
      </c>
      <c r="B590" s="38">
        <v>299.0</v>
      </c>
      <c r="C590" s="38" t="s">
        <v>141</v>
      </c>
      <c r="D590" s="39" t="s">
        <v>2239</v>
      </c>
      <c r="E590" s="38" t="s">
        <v>8</v>
      </c>
      <c r="F590" s="38">
        <v>2020.0</v>
      </c>
      <c r="G590" s="38">
        <v>2024.0</v>
      </c>
      <c r="H590" s="38">
        <v>2025.0</v>
      </c>
      <c r="I590" s="38" t="s">
        <v>124</v>
      </c>
      <c r="J590" s="38" t="s">
        <v>28</v>
      </c>
      <c r="K590" s="40" t="s">
        <v>124</v>
      </c>
      <c r="L590" s="51">
        <v>0.45</v>
      </c>
      <c r="M590" s="40">
        <v>0.45</v>
      </c>
      <c r="N590" s="38" t="s">
        <v>50</v>
      </c>
      <c r="O590" s="41" t="s">
        <v>71</v>
      </c>
      <c r="P590" s="42" t="s">
        <v>698</v>
      </c>
      <c r="Q590" s="38" t="s">
        <v>143</v>
      </c>
      <c r="R590" s="42" t="s">
        <v>2240</v>
      </c>
      <c r="S590" s="42" t="s">
        <v>1083</v>
      </c>
      <c r="T590" s="42" t="s">
        <v>2241</v>
      </c>
      <c r="U590" s="42" t="s">
        <v>2242</v>
      </c>
      <c r="V590" s="42" t="s">
        <v>2243</v>
      </c>
      <c r="W590" s="42" t="s">
        <v>124</v>
      </c>
      <c r="X590" s="42" t="s">
        <v>124</v>
      </c>
      <c r="Y590" s="43" t="str">
        <f>IF(CCUS_Projects_Database!$R590&lt;&gt;"",HYPERLINK(CCUS_Projects_Database!$R590,"Link 1"),"")</f>
        <v>Link 1</v>
      </c>
      <c r="Z590" s="43" t="str">
        <f>IF(CCUS_Projects_Database!$S590&lt;&gt;"",HYPERLINK(CCUS_Projects_Database!$S590,"Link 2"),"")</f>
        <v>Link 2</v>
      </c>
      <c r="AA590" s="43" t="str">
        <f>IF(CCUS_Projects_Database!$T590&lt;&gt;"",HYPERLINK(CCUS_Projects_Database!$T590,"Link 3"),"")</f>
        <v>Link 3</v>
      </c>
      <c r="AB590" s="43" t="str">
        <f>IF(CCUS_Projects_Database!$U590&lt;&gt;"",HYPERLINK(CCUS_Projects_Database!$U590,"Link 4"),"")</f>
        <v>Link 4</v>
      </c>
      <c r="AC590" s="43" t="str">
        <f>IF(CCUS_Projects_Database!$V590&lt;&gt;"",HYPERLINK(CCUS_Projects_Database!$V590,"Link 5"),"")</f>
        <v>Link 5</v>
      </c>
      <c r="AD590" s="43" t="str">
        <f>IF(CCUS_Projects_Database!$W590&lt;&gt;"",HYPERLINK(CCUS_Projects_Database!$W590,"Link 6"),"")</f>
        <v/>
      </c>
      <c r="AE590" s="43" t="str">
        <f>IF(CCUS_Projects_Database!$X590&lt;&gt;"",HYPERLINK(CCUS_Projects_Database!$X590,"Link 7"),"")</f>
        <v/>
      </c>
    </row>
    <row r="591" ht="15.75" customHeight="1">
      <c r="A591" s="44" t="s">
        <v>2244</v>
      </c>
      <c r="B591" s="45">
        <v>507.0</v>
      </c>
      <c r="C591" s="45" t="s">
        <v>239</v>
      </c>
      <c r="D591" s="46" t="s">
        <v>1958</v>
      </c>
      <c r="E591" s="45" t="s">
        <v>12</v>
      </c>
      <c r="F591" s="45">
        <v>2022.0</v>
      </c>
      <c r="G591" s="45" t="s">
        <v>124</v>
      </c>
      <c r="H591" s="45" t="s">
        <v>124</v>
      </c>
      <c r="I591" s="45" t="s">
        <v>124</v>
      </c>
      <c r="J591" s="45" t="s">
        <v>28</v>
      </c>
      <c r="K591" s="47" t="s">
        <v>124</v>
      </c>
      <c r="L591" s="47"/>
      <c r="M591" s="47" t="s">
        <v>124</v>
      </c>
      <c r="N591" s="45" t="s">
        <v>12</v>
      </c>
      <c r="O591" s="48" t="s">
        <v>71</v>
      </c>
      <c r="P591" s="49" t="s">
        <v>2244</v>
      </c>
      <c r="Q591" s="45" t="s">
        <v>143</v>
      </c>
      <c r="R591" s="49" t="s">
        <v>464</v>
      </c>
      <c r="S591" s="49" t="s">
        <v>124</v>
      </c>
      <c r="T591" s="49" t="s">
        <v>124</v>
      </c>
      <c r="U591" s="49" t="s">
        <v>124</v>
      </c>
      <c r="V591" s="49" t="s">
        <v>124</v>
      </c>
      <c r="W591" s="49" t="s">
        <v>124</v>
      </c>
      <c r="X591" s="49" t="s">
        <v>124</v>
      </c>
      <c r="Y591" s="50" t="str">
        <f>IF(CCUS_Projects_Database!$R591&lt;&gt;"",HYPERLINK(CCUS_Projects_Database!$R591,"Link 1"),"")</f>
        <v>Link 1</v>
      </c>
      <c r="Z591" s="50" t="str">
        <f>IF(CCUS_Projects_Database!$S591&lt;&gt;"",HYPERLINK(CCUS_Projects_Database!$S591,"Link 2"),"")</f>
        <v/>
      </c>
      <c r="AA591" s="50" t="str">
        <f>IF(CCUS_Projects_Database!$T591&lt;&gt;"",HYPERLINK(CCUS_Projects_Database!$T591,"Link 3"),"")</f>
        <v/>
      </c>
      <c r="AB591" s="50" t="str">
        <f>IF(CCUS_Projects_Database!$U591&lt;&gt;"",HYPERLINK(CCUS_Projects_Database!$U591,"Link 4"),"")</f>
        <v/>
      </c>
      <c r="AC591" s="50" t="str">
        <f>IF(CCUS_Projects_Database!$V591&lt;&gt;"",HYPERLINK(CCUS_Projects_Database!$V591,"Link 5"),"")</f>
        <v/>
      </c>
      <c r="AD591" s="50" t="str">
        <f>IF(CCUS_Projects_Database!$W591&lt;&gt;"",HYPERLINK(CCUS_Projects_Database!$W591,"Link 6"),"")</f>
        <v/>
      </c>
      <c r="AE591" s="50" t="str">
        <f>IF(CCUS_Projects_Database!$X591&lt;&gt;"",HYPERLINK(CCUS_Projects_Database!$X591,"Link 7"),"")</f>
        <v/>
      </c>
    </row>
    <row r="592" ht="15.75" customHeight="1">
      <c r="A592" s="37" t="s">
        <v>1345</v>
      </c>
      <c r="B592" s="38">
        <v>300.0</v>
      </c>
      <c r="C592" s="38" t="s">
        <v>239</v>
      </c>
      <c r="D592" s="39" t="s">
        <v>2245</v>
      </c>
      <c r="E592" s="38" t="s">
        <v>12</v>
      </c>
      <c r="F592" s="38">
        <v>2022.0</v>
      </c>
      <c r="G592" s="38" t="s">
        <v>124</v>
      </c>
      <c r="H592" s="38" t="s">
        <v>124</v>
      </c>
      <c r="I592" s="38" t="s">
        <v>124</v>
      </c>
      <c r="J592" s="38" t="s">
        <v>28</v>
      </c>
      <c r="K592" s="40" t="s">
        <v>124</v>
      </c>
      <c r="L592" s="51">
        <v>4.0</v>
      </c>
      <c r="M592" s="40">
        <v>4.0</v>
      </c>
      <c r="N592" s="38" t="s">
        <v>12</v>
      </c>
      <c r="O592" s="41" t="s">
        <v>71</v>
      </c>
      <c r="P592" s="42" t="s">
        <v>1345</v>
      </c>
      <c r="Q592" s="38" t="s">
        <v>143</v>
      </c>
      <c r="R592" s="42" t="s">
        <v>1346</v>
      </c>
      <c r="S592" s="42" t="s">
        <v>1572</v>
      </c>
      <c r="T592" s="42" t="s">
        <v>2246</v>
      </c>
      <c r="U592" s="42" t="s">
        <v>2247</v>
      </c>
      <c r="V592" s="42" t="s">
        <v>124</v>
      </c>
      <c r="W592" s="42" t="s">
        <v>124</v>
      </c>
      <c r="X592" s="42" t="s">
        <v>124</v>
      </c>
      <c r="Y592" s="43" t="str">
        <f>IF(CCUS_Projects_Database!$R592&lt;&gt;"",HYPERLINK(CCUS_Projects_Database!$R592,"Link 1"),"")</f>
        <v>Link 1</v>
      </c>
      <c r="Z592" s="43" t="str">
        <f>IF(CCUS_Projects_Database!$S592&lt;&gt;"",HYPERLINK(CCUS_Projects_Database!$S592,"Link 2"),"")</f>
        <v>Link 2</v>
      </c>
      <c r="AA592" s="43" t="str">
        <f>IF(CCUS_Projects_Database!$T592&lt;&gt;"",HYPERLINK(CCUS_Projects_Database!$T592,"Link 3"),"")</f>
        <v>Link 3</v>
      </c>
      <c r="AB592" s="43" t="str">
        <f>IF(CCUS_Projects_Database!$U592&lt;&gt;"",HYPERLINK(CCUS_Projects_Database!$U592,"Link 4"),"")</f>
        <v>Link 4</v>
      </c>
      <c r="AC592" s="43" t="str">
        <f>IF(CCUS_Projects_Database!$V592&lt;&gt;"",HYPERLINK(CCUS_Projects_Database!$V592,"Link 5"),"")</f>
        <v/>
      </c>
      <c r="AD592" s="43" t="str">
        <f>IF(CCUS_Projects_Database!$W592&lt;&gt;"",HYPERLINK(CCUS_Projects_Database!$W592,"Link 6"),"")</f>
        <v/>
      </c>
      <c r="AE592" s="43" t="str">
        <f>IF(CCUS_Projects_Database!$X592&lt;&gt;"",HYPERLINK(CCUS_Projects_Database!$X592,"Link 7"),"")</f>
        <v/>
      </c>
    </row>
    <row r="593" ht="15.75" customHeight="1">
      <c r="A593" s="44" t="s">
        <v>2248</v>
      </c>
      <c r="B593" s="45">
        <v>877.0</v>
      </c>
      <c r="C593" s="45" t="s">
        <v>141</v>
      </c>
      <c r="D593" s="46" t="s">
        <v>2249</v>
      </c>
      <c r="E593" s="45" t="s">
        <v>12</v>
      </c>
      <c r="F593" s="45">
        <v>2022.0</v>
      </c>
      <c r="G593" s="45" t="s">
        <v>124</v>
      </c>
      <c r="H593" s="45" t="s">
        <v>124</v>
      </c>
      <c r="I593" s="45" t="s">
        <v>124</v>
      </c>
      <c r="J593" s="45" t="s">
        <v>28</v>
      </c>
      <c r="K593" s="47" t="s">
        <v>124</v>
      </c>
      <c r="L593" s="52">
        <v>1.0</v>
      </c>
      <c r="M593" s="47">
        <v>1.0</v>
      </c>
      <c r="N593" s="45" t="s">
        <v>12</v>
      </c>
      <c r="O593" s="48" t="s">
        <v>77</v>
      </c>
      <c r="P593" s="49" t="s">
        <v>124</v>
      </c>
      <c r="Q593" s="45" t="s">
        <v>143</v>
      </c>
      <c r="R593" s="49" t="s">
        <v>2250</v>
      </c>
      <c r="S593" s="49" t="s">
        <v>124</v>
      </c>
      <c r="T593" s="49" t="s">
        <v>124</v>
      </c>
      <c r="U593" s="49" t="s">
        <v>124</v>
      </c>
      <c r="V593" s="49" t="s">
        <v>124</v>
      </c>
      <c r="W593" s="49" t="s">
        <v>124</v>
      </c>
      <c r="X593" s="49" t="s">
        <v>124</v>
      </c>
      <c r="Y593" s="50" t="str">
        <f>IF(CCUS_Projects_Database!$R593&lt;&gt;"",HYPERLINK(CCUS_Projects_Database!$R593,"Link 1"),"")</f>
        <v>Link 1</v>
      </c>
      <c r="Z593" s="50" t="str">
        <f>IF(CCUS_Projects_Database!$S593&lt;&gt;"",HYPERLINK(CCUS_Projects_Database!$S593,"Link 2"),"")</f>
        <v/>
      </c>
      <c r="AA593" s="50" t="str">
        <f>IF(CCUS_Projects_Database!$T593&lt;&gt;"",HYPERLINK(CCUS_Projects_Database!$T593,"Link 3"),"")</f>
        <v/>
      </c>
      <c r="AB593" s="50" t="str">
        <f>IF(CCUS_Projects_Database!$U593&lt;&gt;"",HYPERLINK(CCUS_Projects_Database!$U593,"Link 4"),"")</f>
        <v/>
      </c>
      <c r="AC593" s="50" t="str">
        <f>IF(CCUS_Projects_Database!$V593&lt;&gt;"",HYPERLINK(CCUS_Projects_Database!$V593,"Link 5"),"")</f>
        <v/>
      </c>
      <c r="AD593" s="50" t="str">
        <f>IF(CCUS_Projects_Database!$W593&lt;&gt;"",HYPERLINK(CCUS_Projects_Database!$W593,"Link 6"),"")</f>
        <v/>
      </c>
      <c r="AE593" s="50" t="str">
        <f>IF(CCUS_Projects_Database!$X593&lt;&gt;"",HYPERLINK(CCUS_Projects_Database!$X593,"Link 7"),"")</f>
        <v/>
      </c>
    </row>
    <row r="594" ht="15.75" customHeight="1">
      <c r="A594" s="37" t="s">
        <v>2251</v>
      </c>
      <c r="B594" s="38">
        <v>301.0</v>
      </c>
      <c r="C594" s="38" t="s">
        <v>239</v>
      </c>
      <c r="D594" s="39" t="s">
        <v>1186</v>
      </c>
      <c r="E594" s="38" t="s">
        <v>14</v>
      </c>
      <c r="F594" s="38">
        <v>2022.0</v>
      </c>
      <c r="G594" s="38" t="s">
        <v>124</v>
      </c>
      <c r="H594" s="38" t="s">
        <v>124</v>
      </c>
      <c r="I594" s="38" t="s">
        <v>124</v>
      </c>
      <c r="J594" s="38" t="s">
        <v>28</v>
      </c>
      <c r="K594" s="40" t="s">
        <v>124</v>
      </c>
      <c r="L594" s="51">
        <v>20.0</v>
      </c>
      <c r="M594" s="40">
        <v>20.0</v>
      </c>
      <c r="N594" s="38" t="s">
        <v>14</v>
      </c>
      <c r="O594" s="41" t="s">
        <v>71</v>
      </c>
      <c r="P594" s="42" t="s">
        <v>2251</v>
      </c>
      <c r="Q594" s="38" t="s">
        <v>143</v>
      </c>
      <c r="R594" s="42" t="s">
        <v>2252</v>
      </c>
      <c r="S594" s="42" t="s">
        <v>2253</v>
      </c>
      <c r="T594" s="42" t="s">
        <v>124</v>
      </c>
      <c r="U594" s="42" t="s">
        <v>124</v>
      </c>
      <c r="V594" s="42" t="s">
        <v>124</v>
      </c>
      <c r="W594" s="42" t="s">
        <v>124</v>
      </c>
      <c r="X594" s="42" t="s">
        <v>124</v>
      </c>
      <c r="Y594" s="43" t="str">
        <f>IF(CCUS_Projects_Database!$R594&lt;&gt;"",HYPERLINK(CCUS_Projects_Database!$R594,"Link 1"),"")</f>
        <v>Link 1</v>
      </c>
      <c r="Z594" s="43" t="str">
        <f>IF(CCUS_Projects_Database!$S594&lt;&gt;"",HYPERLINK(CCUS_Projects_Database!$S594,"Link 2"),"")</f>
        <v>Link 2</v>
      </c>
      <c r="AA594" s="43" t="str">
        <f>IF(CCUS_Projects_Database!$T594&lt;&gt;"",HYPERLINK(CCUS_Projects_Database!$T594,"Link 3"),"")</f>
        <v/>
      </c>
      <c r="AB594" s="43" t="str">
        <f>IF(CCUS_Projects_Database!$U594&lt;&gt;"",HYPERLINK(CCUS_Projects_Database!$U594,"Link 4"),"")</f>
        <v/>
      </c>
      <c r="AC594" s="43" t="str">
        <f>IF(CCUS_Projects_Database!$V594&lt;&gt;"",HYPERLINK(CCUS_Projects_Database!$V594,"Link 5"),"")</f>
        <v/>
      </c>
      <c r="AD594" s="43" t="str">
        <f>IF(CCUS_Projects_Database!$W594&lt;&gt;"",HYPERLINK(CCUS_Projects_Database!$W594,"Link 6"),"")</f>
        <v/>
      </c>
      <c r="AE594" s="43" t="str">
        <f>IF(CCUS_Projects_Database!$X594&lt;&gt;"",HYPERLINK(CCUS_Projects_Database!$X594,"Link 7"),"")</f>
        <v/>
      </c>
    </row>
    <row r="595" ht="15.75" customHeight="1">
      <c r="A595" s="44" t="s">
        <v>2254</v>
      </c>
      <c r="B595" s="45">
        <v>865.0</v>
      </c>
      <c r="C595" s="45" t="s">
        <v>141</v>
      </c>
      <c r="D595" s="46" t="s">
        <v>348</v>
      </c>
      <c r="E595" s="45" t="s">
        <v>12</v>
      </c>
      <c r="F595" s="45">
        <v>2022.0</v>
      </c>
      <c r="G595" s="45" t="s">
        <v>124</v>
      </c>
      <c r="H595" s="45">
        <v>2026.0</v>
      </c>
      <c r="I595" s="45" t="s">
        <v>124</v>
      </c>
      <c r="J595" s="45" t="s">
        <v>28</v>
      </c>
      <c r="K595" s="47" t="s">
        <v>124</v>
      </c>
      <c r="L595" s="52">
        <v>15.0</v>
      </c>
      <c r="M595" s="47">
        <v>20.0</v>
      </c>
      <c r="N595" s="45" t="s">
        <v>12</v>
      </c>
      <c r="O595" s="48" t="s">
        <v>71</v>
      </c>
      <c r="P595" s="49" t="s">
        <v>124</v>
      </c>
      <c r="Q595" s="45" t="s">
        <v>143</v>
      </c>
      <c r="R595" s="49" t="s">
        <v>2255</v>
      </c>
      <c r="S595" s="49" t="s">
        <v>2256</v>
      </c>
      <c r="T595" s="49" t="s">
        <v>1878</v>
      </c>
      <c r="U595" s="49" t="s">
        <v>124</v>
      </c>
      <c r="V595" s="49" t="s">
        <v>124</v>
      </c>
      <c r="W595" s="49" t="s">
        <v>124</v>
      </c>
      <c r="X595" s="49" t="s">
        <v>124</v>
      </c>
      <c r="Y595" s="50" t="str">
        <f>IF(CCUS_Projects_Database!$R595&lt;&gt;"",HYPERLINK(CCUS_Projects_Database!$R595,"Link 1"),"")</f>
        <v>Link 1</v>
      </c>
      <c r="Z595" s="50" t="str">
        <f>IF(CCUS_Projects_Database!$S595&lt;&gt;"",HYPERLINK(CCUS_Projects_Database!$S595,"Link 2"),"")</f>
        <v>Link 2</v>
      </c>
      <c r="AA595" s="50" t="str">
        <f>IF(CCUS_Projects_Database!$T595&lt;&gt;"",HYPERLINK(CCUS_Projects_Database!$T595,"Link 3"),"")</f>
        <v>Link 3</v>
      </c>
      <c r="AB595" s="50" t="str">
        <f>IF(CCUS_Projects_Database!$U595&lt;&gt;"",HYPERLINK(CCUS_Projects_Database!$U595,"Link 4"),"")</f>
        <v/>
      </c>
      <c r="AC595" s="50" t="str">
        <f>IF(CCUS_Projects_Database!$V595&lt;&gt;"",HYPERLINK(CCUS_Projects_Database!$V595,"Link 5"),"")</f>
        <v/>
      </c>
      <c r="AD595" s="50" t="str">
        <f>IF(CCUS_Projects_Database!$W595&lt;&gt;"",HYPERLINK(CCUS_Projects_Database!$W595,"Link 6"),"")</f>
        <v/>
      </c>
      <c r="AE595" s="50" t="str">
        <f>IF(CCUS_Projects_Database!$X595&lt;&gt;"",HYPERLINK(CCUS_Projects_Database!$X595,"Link 7"),"")</f>
        <v/>
      </c>
    </row>
    <row r="596" ht="15.75" customHeight="1">
      <c r="A596" s="37" t="s">
        <v>2257</v>
      </c>
      <c r="B596" s="38">
        <v>850.0</v>
      </c>
      <c r="C596" s="38" t="s">
        <v>157</v>
      </c>
      <c r="D596" s="39" t="s">
        <v>2258</v>
      </c>
      <c r="E596" s="38" t="s">
        <v>12</v>
      </c>
      <c r="F596" s="38">
        <v>2023.0</v>
      </c>
      <c r="G596" s="38">
        <v>2029.0</v>
      </c>
      <c r="H596" s="38">
        <v>2031.0</v>
      </c>
      <c r="I596" s="38" t="s">
        <v>124</v>
      </c>
      <c r="J596" s="38" t="s">
        <v>28</v>
      </c>
      <c r="K596" s="40">
        <v>1.0</v>
      </c>
      <c r="L596" s="51">
        <v>1.0</v>
      </c>
      <c r="M596" s="40">
        <v>1.0</v>
      </c>
      <c r="N596" s="38" t="s">
        <v>12</v>
      </c>
      <c r="O596" s="41" t="s">
        <v>71</v>
      </c>
      <c r="P596" s="42" t="s">
        <v>124</v>
      </c>
      <c r="Q596" s="38" t="s">
        <v>125</v>
      </c>
      <c r="R596" s="42" t="s">
        <v>2259</v>
      </c>
      <c r="S596" s="42" t="s">
        <v>2260</v>
      </c>
      <c r="T596" s="42" t="s">
        <v>124</v>
      </c>
      <c r="U596" s="42" t="s">
        <v>124</v>
      </c>
      <c r="V596" s="42" t="s">
        <v>124</v>
      </c>
      <c r="W596" s="42" t="s">
        <v>124</v>
      </c>
      <c r="X596" s="42" t="s">
        <v>124</v>
      </c>
      <c r="Y596" s="43" t="str">
        <f>IF(CCUS_Projects_Database!$R596&lt;&gt;"",HYPERLINK(CCUS_Projects_Database!$R596,"Link 1"),"")</f>
        <v>Link 1</v>
      </c>
      <c r="Z596" s="43" t="str">
        <f>IF(CCUS_Projects_Database!$S596&lt;&gt;"",HYPERLINK(CCUS_Projects_Database!$S596,"Link 2"),"")</f>
        <v>Link 2</v>
      </c>
      <c r="AA596" s="43" t="str">
        <f>IF(CCUS_Projects_Database!$T596&lt;&gt;"",HYPERLINK(CCUS_Projects_Database!$T596,"Link 3"),"")</f>
        <v/>
      </c>
      <c r="AB596" s="43" t="str">
        <f>IF(CCUS_Projects_Database!$U596&lt;&gt;"",HYPERLINK(CCUS_Projects_Database!$U596,"Link 4"),"")</f>
        <v/>
      </c>
      <c r="AC596" s="43" t="str">
        <f>IF(CCUS_Projects_Database!$V596&lt;&gt;"",HYPERLINK(CCUS_Projects_Database!$V596,"Link 5"),"")</f>
        <v/>
      </c>
      <c r="AD596" s="43" t="str">
        <f>IF(CCUS_Projects_Database!$W596&lt;&gt;"",HYPERLINK(CCUS_Projects_Database!$W596,"Link 6"),"")</f>
        <v/>
      </c>
      <c r="AE596" s="43" t="str">
        <f>IF(CCUS_Projects_Database!$X596&lt;&gt;"",HYPERLINK(CCUS_Projects_Database!$X596,"Link 7"),"")</f>
        <v/>
      </c>
    </row>
    <row r="597" ht="15.75" customHeight="1">
      <c r="A597" s="44" t="s">
        <v>2261</v>
      </c>
      <c r="B597" s="45">
        <v>851.0</v>
      </c>
      <c r="C597" s="45" t="s">
        <v>157</v>
      </c>
      <c r="D597" s="46" t="s">
        <v>2258</v>
      </c>
      <c r="E597" s="45" t="s">
        <v>12</v>
      </c>
      <c r="F597" s="45">
        <v>2023.0</v>
      </c>
      <c r="G597" s="45">
        <v>2029.0</v>
      </c>
      <c r="H597" s="45" t="s">
        <v>124</v>
      </c>
      <c r="I597" s="45" t="s">
        <v>124</v>
      </c>
      <c r="J597" s="45" t="s">
        <v>28</v>
      </c>
      <c r="K597" s="47">
        <v>2.0</v>
      </c>
      <c r="L597" s="52">
        <v>5.0</v>
      </c>
      <c r="M597" s="47">
        <v>5.0</v>
      </c>
      <c r="N597" s="45" t="s">
        <v>12</v>
      </c>
      <c r="O597" s="48" t="s">
        <v>71</v>
      </c>
      <c r="P597" s="49" t="s">
        <v>124</v>
      </c>
      <c r="Q597" s="45" t="s">
        <v>125</v>
      </c>
      <c r="R597" s="49" t="s">
        <v>2259</v>
      </c>
      <c r="S597" s="49" t="s">
        <v>2260</v>
      </c>
      <c r="T597" s="49" t="s">
        <v>124</v>
      </c>
      <c r="U597" s="49" t="s">
        <v>124</v>
      </c>
      <c r="V597" s="49" t="s">
        <v>124</v>
      </c>
      <c r="W597" s="49" t="s">
        <v>124</v>
      </c>
      <c r="X597" s="49" t="s">
        <v>124</v>
      </c>
      <c r="Y597" s="50" t="str">
        <f>IF(CCUS_Projects_Database!$R597&lt;&gt;"",HYPERLINK(CCUS_Projects_Database!$R597,"Link 1"),"")</f>
        <v>Link 1</v>
      </c>
      <c r="Z597" s="50" t="str">
        <f>IF(CCUS_Projects_Database!$S597&lt;&gt;"",HYPERLINK(CCUS_Projects_Database!$S597,"Link 2"),"")</f>
        <v>Link 2</v>
      </c>
      <c r="AA597" s="50" t="str">
        <f>IF(CCUS_Projects_Database!$T597&lt;&gt;"",HYPERLINK(CCUS_Projects_Database!$T597,"Link 3"),"")</f>
        <v/>
      </c>
      <c r="AB597" s="50" t="str">
        <f>IF(CCUS_Projects_Database!$U597&lt;&gt;"",HYPERLINK(CCUS_Projects_Database!$U597,"Link 4"),"")</f>
        <v/>
      </c>
      <c r="AC597" s="50" t="str">
        <f>IF(CCUS_Projects_Database!$V597&lt;&gt;"",HYPERLINK(CCUS_Projects_Database!$V597,"Link 5"),"")</f>
        <v/>
      </c>
      <c r="AD597" s="50" t="str">
        <f>IF(CCUS_Projects_Database!$W597&lt;&gt;"",HYPERLINK(CCUS_Projects_Database!$W597,"Link 6"),"")</f>
        <v/>
      </c>
      <c r="AE597" s="50" t="str">
        <f>IF(CCUS_Projects_Database!$X597&lt;&gt;"",HYPERLINK(CCUS_Projects_Database!$X597,"Link 7"),"")</f>
        <v/>
      </c>
    </row>
    <row r="598" ht="15.75" customHeight="1">
      <c r="A598" s="37" t="s">
        <v>2262</v>
      </c>
      <c r="B598" s="38">
        <v>1143.0</v>
      </c>
      <c r="C598" s="38" t="s">
        <v>2263</v>
      </c>
      <c r="D598" s="39" t="s">
        <v>2262</v>
      </c>
      <c r="E598" s="38" t="s">
        <v>8</v>
      </c>
      <c r="F598" s="38">
        <v>2022.0</v>
      </c>
      <c r="G598" s="38" t="s">
        <v>124</v>
      </c>
      <c r="H598" s="38">
        <v>2030.0</v>
      </c>
      <c r="I598" s="38" t="s">
        <v>124</v>
      </c>
      <c r="J598" s="38" t="s">
        <v>28</v>
      </c>
      <c r="K598" s="40" t="s">
        <v>124</v>
      </c>
      <c r="L598" s="51">
        <v>0.3</v>
      </c>
      <c r="M598" s="40">
        <v>0.3</v>
      </c>
      <c r="N598" s="38" t="s">
        <v>54</v>
      </c>
      <c r="O598" s="41" t="s">
        <v>71</v>
      </c>
      <c r="P598" s="42" t="s">
        <v>559</v>
      </c>
      <c r="Q598" s="38" t="s">
        <v>125</v>
      </c>
      <c r="R598" s="42" t="s">
        <v>205</v>
      </c>
      <c r="S598" s="42" t="s">
        <v>124</v>
      </c>
      <c r="T598" s="42" t="s">
        <v>124</v>
      </c>
      <c r="U598" s="42" t="s">
        <v>124</v>
      </c>
      <c r="V598" s="42" t="s">
        <v>124</v>
      </c>
      <c r="W598" s="42" t="s">
        <v>124</v>
      </c>
      <c r="X598" s="42" t="s">
        <v>124</v>
      </c>
      <c r="Y598" s="43" t="str">
        <f>IF(CCUS_Projects_Database!$R598&lt;&gt;"",HYPERLINK(CCUS_Projects_Database!$R598,"Link 1"),"")</f>
        <v>Link 1</v>
      </c>
      <c r="Z598" s="43" t="str">
        <f>IF(CCUS_Projects_Database!$S598&lt;&gt;"",HYPERLINK(CCUS_Projects_Database!$S598,"Link 2"),"")</f>
        <v/>
      </c>
      <c r="AA598" s="43" t="str">
        <f>IF(CCUS_Projects_Database!$T598&lt;&gt;"",HYPERLINK(CCUS_Projects_Database!$T598,"Link 3"),"")</f>
        <v/>
      </c>
      <c r="AB598" s="43" t="str">
        <f>IF(CCUS_Projects_Database!$U598&lt;&gt;"",HYPERLINK(CCUS_Projects_Database!$U598,"Link 4"),"")</f>
        <v/>
      </c>
      <c r="AC598" s="43" t="str">
        <f>IF(CCUS_Projects_Database!$V598&lt;&gt;"",HYPERLINK(CCUS_Projects_Database!$V598,"Link 5"),"")</f>
        <v/>
      </c>
      <c r="AD598" s="43" t="str">
        <f>IF(CCUS_Projects_Database!$W598&lt;&gt;"",HYPERLINK(CCUS_Projects_Database!$W598,"Link 6"),"")</f>
        <v/>
      </c>
      <c r="AE598" s="43" t="str">
        <f>IF(CCUS_Projects_Database!$X598&lt;&gt;"",HYPERLINK(CCUS_Projects_Database!$X598,"Link 7"),"")</f>
        <v/>
      </c>
    </row>
    <row r="599" ht="15.75" customHeight="1">
      <c r="A599" s="44" t="s">
        <v>2264</v>
      </c>
      <c r="B599" s="45">
        <v>889.0</v>
      </c>
      <c r="C599" s="45" t="s">
        <v>141</v>
      </c>
      <c r="D599" s="46" t="s">
        <v>2265</v>
      </c>
      <c r="E599" s="45" t="s">
        <v>12</v>
      </c>
      <c r="F599" s="45">
        <v>2022.0</v>
      </c>
      <c r="G599" s="45" t="s">
        <v>124</v>
      </c>
      <c r="H599" s="45" t="s">
        <v>124</v>
      </c>
      <c r="I599" s="45" t="s">
        <v>124</v>
      </c>
      <c r="J599" s="45" t="s">
        <v>28</v>
      </c>
      <c r="K599" s="47" t="s">
        <v>124</v>
      </c>
      <c r="L599" s="47"/>
      <c r="M599" s="47" t="s">
        <v>124</v>
      </c>
      <c r="N599" s="45" t="s">
        <v>12</v>
      </c>
      <c r="O599" s="48" t="s">
        <v>77</v>
      </c>
      <c r="P599" s="49" t="s">
        <v>2264</v>
      </c>
      <c r="Q599" s="45" t="s">
        <v>143</v>
      </c>
      <c r="R599" s="49" t="s">
        <v>2266</v>
      </c>
      <c r="S599" s="49" t="s">
        <v>124</v>
      </c>
      <c r="T599" s="49" t="s">
        <v>124</v>
      </c>
      <c r="U599" s="49" t="s">
        <v>124</v>
      </c>
      <c r="V599" s="49" t="s">
        <v>124</v>
      </c>
      <c r="W599" s="49" t="s">
        <v>124</v>
      </c>
      <c r="X599" s="49" t="s">
        <v>124</v>
      </c>
      <c r="Y599" s="50" t="str">
        <f>IF(CCUS_Projects_Database!$R599&lt;&gt;"",HYPERLINK(CCUS_Projects_Database!$R599,"Link 1"),"")</f>
        <v>Link 1</v>
      </c>
      <c r="Z599" s="50" t="str">
        <f>IF(CCUS_Projects_Database!$S599&lt;&gt;"",HYPERLINK(CCUS_Projects_Database!$S599,"Link 2"),"")</f>
        <v/>
      </c>
      <c r="AA599" s="50" t="str">
        <f>IF(CCUS_Projects_Database!$T599&lt;&gt;"",HYPERLINK(CCUS_Projects_Database!$T599,"Link 3"),"")</f>
        <v/>
      </c>
      <c r="AB599" s="50" t="str">
        <f>IF(CCUS_Projects_Database!$U599&lt;&gt;"",HYPERLINK(CCUS_Projects_Database!$U599,"Link 4"),"")</f>
        <v/>
      </c>
      <c r="AC599" s="50" t="str">
        <f>IF(CCUS_Projects_Database!$V599&lt;&gt;"",HYPERLINK(CCUS_Projects_Database!$V599,"Link 5"),"")</f>
        <v/>
      </c>
      <c r="AD599" s="50" t="str">
        <f>IF(CCUS_Projects_Database!$W599&lt;&gt;"",HYPERLINK(CCUS_Projects_Database!$W599,"Link 6"),"")</f>
        <v/>
      </c>
      <c r="AE599" s="50" t="str">
        <f>IF(CCUS_Projects_Database!$X599&lt;&gt;"",HYPERLINK(CCUS_Projects_Database!$X599,"Link 7"),"")</f>
        <v/>
      </c>
    </row>
    <row r="600" ht="15.75" customHeight="1">
      <c r="A600" s="37" t="s">
        <v>2267</v>
      </c>
      <c r="B600" s="38">
        <v>466.0</v>
      </c>
      <c r="C600" s="38" t="s">
        <v>253</v>
      </c>
      <c r="D600" s="39" t="s">
        <v>504</v>
      </c>
      <c r="E600" s="38" t="s">
        <v>6</v>
      </c>
      <c r="F600" s="38">
        <v>2022.0</v>
      </c>
      <c r="G600" s="38" t="s">
        <v>124</v>
      </c>
      <c r="H600" s="38">
        <v>2030.0</v>
      </c>
      <c r="I600" s="38" t="s">
        <v>124</v>
      </c>
      <c r="J600" s="38" t="s">
        <v>28</v>
      </c>
      <c r="K600" s="40">
        <v>1.0</v>
      </c>
      <c r="L600" s="40"/>
      <c r="M600" s="40">
        <v>38.2</v>
      </c>
      <c r="N600" s="38" t="s">
        <v>64</v>
      </c>
      <c r="O600" s="41" t="s">
        <v>71</v>
      </c>
      <c r="P600" s="42" t="s">
        <v>124</v>
      </c>
      <c r="Q600" s="38" t="s">
        <v>253</v>
      </c>
      <c r="R600" s="42" t="s">
        <v>2268</v>
      </c>
      <c r="S600" s="42" t="s">
        <v>2269</v>
      </c>
      <c r="T600" s="42" t="s">
        <v>2268</v>
      </c>
      <c r="U600" s="42" t="s">
        <v>124</v>
      </c>
      <c r="V600" s="42" t="s">
        <v>124</v>
      </c>
      <c r="W600" s="42" t="s">
        <v>124</v>
      </c>
      <c r="X600" s="42" t="s">
        <v>124</v>
      </c>
      <c r="Y600" s="43" t="str">
        <f>IF(CCUS_Projects_Database!$R600&lt;&gt;"",HYPERLINK(CCUS_Projects_Database!$R600,"Link 1"),"")</f>
        <v>Link 1</v>
      </c>
      <c r="Z600" s="43" t="str">
        <f>IF(CCUS_Projects_Database!$S600&lt;&gt;"",HYPERLINK(CCUS_Projects_Database!$S600,"Link 2"),"")</f>
        <v>Link 2</v>
      </c>
      <c r="AA600" s="43" t="str">
        <f>IF(CCUS_Projects_Database!$T600&lt;&gt;"",HYPERLINK(CCUS_Projects_Database!$T600,"Link 3"),"")</f>
        <v>Link 3</v>
      </c>
      <c r="AB600" s="43" t="str">
        <f>IF(CCUS_Projects_Database!$U600&lt;&gt;"",HYPERLINK(CCUS_Projects_Database!$U600,"Link 4"),"")</f>
        <v/>
      </c>
      <c r="AC600" s="43" t="str">
        <f>IF(CCUS_Projects_Database!$V600&lt;&gt;"",HYPERLINK(CCUS_Projects_Database!$V600,"Link 5"),"")</f>
        <v/>
      </c>
      <c r="AD600" s="43" t="str">
        <f>IF(CCUS_Projects_Database!$W600&lt;&gt;"",HYPERLINK(CCUS_Projects_Database!$W600,"Link 6"),"")</f>
        <v/>
      </c>
      <c r="AE600" s="43" t="str">
        <f>IF(CCUS_Projects_Database!$X600&lt;&gt;"",HYPERLINK(CCUS_Projects_Database!$X600,"Link 7"),"")</f>
        <v/>
      </c>
    </row>
    <row r="601" ht="15.75" customHeight="1">
      <c r="A601" s="44" t="s">
        <v>2270</v>
      </c>
      <c r="B601" s="45">
        <v>475.0</v>
      </c>
      <c r="C601" s="45" t="s">
        <v>141</v>
      </c>
      <c r="D601" s="46" t="s">
        <v>504</v>
      </c>
      <c r="E601" s="45" t="s">
        <v>6</v>
      </c>
      <c r="F601" s="45">
        <v>2022.0</v>
      </c>
      <c r="G601" s="45" t="s">
        <v>124</v>
      </c>
      <c r="H601" s="45">
        <v>2030.0</v>
      </c>
      <c r="I601" s="45" t="s">
        <v>124</v>
      </c>
      <c r="J601" s="45" t="s">
        <v>28</v>
      </c>
      <c r="K601" s="47">
        <v>2.0</v>
      </c>
      <c r="L601" s="47"/>
      <c r="M601" s="47">
        <v>16.3</v>
      </c>
      <c r="N601" s="45" t="s">
        <v>64</v>
      </c>
      <c r="O601" s="48" t="s">
        <v>71</v>
      </c>
      <c r="P601" s="49" t="s">
        <v>2271</v>
      </c>
      <c r="Q601" s="45" t="s">
        <v>143</v>
      </c>
      <c r="R601" s="49" t="s">
        <v>2269</v>
      </c>
      <c r="S601" s="49" t="s">
        <v>2268</v>
      </c>
      <c r="T601" s="49" t="s">
        <v>2269</v>
      </c>
      <c r="U601" s="49" t="s">
        <v>2272</v>
      </c>
      <c r="V601" s="49" t="s">
        <v>124</v>
      </c>
      <c r="W601" s="49" t="s">
        <v>124</v>
      </c>
      <c r="X601" s="49" t="s">
        <v>124</v>
      </c>
      <c r="Y601" s="50" t="str">
        <f>IF(CCUS_Projects_Database!$R601&lt;&gt;"",HYPERLINK(CCUS_Projects_Database!$R601,"Link 1"),"")</f>
        <v>Link 1</v>
      </c>
      <c r="Z601" s="50" t="str">
        <f>IF(CCUS_Projects_Database!$S601&lt;&gt;"",HYPERLINK(CCUS_Projects_Database!$S601,"Link 2"),"")</f>
        <v>Link 2</v>
      </c>
      <c r="AA601" s="50" t="str">
        <f>IF(CCUS_Projects_Database!$T601&lt;&gt;"",HYPERLINK(CCUS_Projects_Database!$T601,"Link 3"),"")</f>
        <v>Link 3</v>
      </c>
      <c r="AB601" s="50" t="str">
        <f>IF(CCUS_Projects_Database!$U601&lt;&gt;"",HYPERLINK(CCUS_Projects_Database!$U601,"Link 4"),"")</f>
        <v>Link 4</v>
      </c>
      <c r="AC601" s="50" t="str">
        <f>IF(CCUS_Projects_Database!$V601&lt;&gt;"",HYPERLINK(CCUS_Projects_Database!$V601,"Link 5"),"")</f>
        <v/>
      </c>
      <c r="AD601" s="50" t="str">
        <f>IF(CCUS_Projects_Database!$W601&lt;&gt;"",HYPERLINK(CCUS_Projects_Database!$W601,"Link 6"),"")</f>
        <v/>
      </c>
      <c r="AE601" s="50" t="str">
        <f>IF(CCUS_Projects_Database!$X601&lt;&gt;"",HYPERLINK(CCUS_Projects_Database!$X601,"Link 7"),"")</f>
        <v/>
      </c>
    </row>
    <row r="602" ht="15.75" customHeight="1">
      <c r="A602" s="37" t="s">
        <v>2273</v>
      </c>
      <c r="B602" s="38">
        <v>921.0</v>
      </c>
      <c r="C602" s="38" t="s">
        <v>196</v>
      </c>
      <c r="D602" s="39" t="s">
        <v>2274</v>
      </c>
      <c r="E602" s="38" t="s">
        <v>8</v>
      </c>
      <c r="F602" s="38">
        <v>2023.0</v>
      </c>
      <c r="G602" s="38" t="s">
        <v>124</v>
      </c>
      <c r="H602" s="38" t="s">
        <v>124</v>
      </c>
      <c r="I602" s="38" t="s">
        <v>124</v>
      </c>
      <c r="J602" s="38" t="s">
        <v>28</v>
      </c>
      <c r="K602" s="40" t="s">
        <v>124</v>
      </c>
      <c r="L602" s="51">
        <v>1.0</v>
      </c>
      <c r="M602" s="40">
        <v>1.0</v>
      </c>
      <c r="N602" s="38" t="s">
        <v>64</v>
      </c>
      <c r="O602" s="41" t="s">
        <v>71</v>
      </c>
      <c r="P602" s="42" t="s">
        <v>124</v>
      </c>
      <c r="Q602" s="38" t="s">
        <v>137</v>
      </c>
      <c r="R602" s="42" t="s">
        <v>2275</v>
      </c>
      <c r="S602" s="42" t="s">
        <v>124</v>
      </c>
      <c r="T602" s="42" t="s">
        <v>124</v>
      </c>
      <c r="U602" s="42" t="s">
        <v>124</v>
      </c>
      <c r="V602" s="42" t="s">
        <v>124</v>
      </c>
      <c r="W602" s="42" t="s">
        <v>124</v>
      </c>
      <c r="X602" s="42" t="s">
        <v>124</v>
      </c>
      <c r="Y602" s="43" t="str">
        <f>IF(CCUS_Projects_Database!$R602&lt;&gt;"",HYPERLINK(CCUS_Projects_Database!$R602,"Link 1"),"")</f>
        <v>Link 1</v>
      </c>
      <c r="Z602" s="43" t="str">
        <f>IF(CCUS_Projects_Database!$S602&lt;&gt;"",HYPERLINK(CCUS_Projects_Database!$S602,"Link 2"),"")</f>
        <v/>
      </c>
      <c r="AA602" s="43" t="str">
        <f>IF(CCUS_Projects_Database!$T602&lt;&gt;"",HYPERLINK(CCUS_Projects_Database!$T602,"Link 3"),"")</f>
        <v/>
      </c>
      <c r="AB602" s="43" t="str">
        <f>IF(CCUS_Projects_Database!$U602&lt;&gt;"",HYPERLINK(CCUS_Projects_Database!$U602,"Link 4"),"")</f>
        <v/>
      </c>
      <c r="AC602" s="43" t="str">
        <f>IF(CCUS_Projects_Database!$V602&lt;&gt;"",HYPERLINK(CCUS_Projects_Database!$V602,"Link 5"),"")</f>
        <v/>
      </c>
      <c r="AD602" s="43" t="str">
        <f>IF(CCUS_Projects_Database!$W602&lt;&gt;"",HYPERLINK(CCUS_Projects_Database!$W602,"Link 6"),"")</f>
        <v/>
      </c>
      <c r="AE602" s="43" t="str">
        <f>IF(CCUS_Projects_Database!$X602&lt;&gt;"",HYPERLINK(CCUS_Projects_Database!$X602,"Link 7"),"")</f>
        <v/>
      </c>
    </row>
    <row r="603" ht="15.75" customHeight="1">
      <c r="A603" s="44" t="s">
        <v>2276</v>
      </c>
      <c r="B603" s="45">
        <v>745.0</v>
      </c>
      <c r="C603" s="45" t="s">
        <v>481</v>
      </c>
      <c r="D603" s="46" t="s">
        <v>2277</v>
      </c>
      <c r="E603" s="45" t="s">
        <v>6</v>
      </c>
      <c r="F603" s="45">
        <v>2021.0</v>
      </c>
      <c r="G603" s="45" t="s">
        <v>124</v>
      </c>
      <c r="H603" s="45">
        <v>2026.0</v>
      </c>
      <c r="I603" s="45" t="s">
        <v>124</v>
      </c>
      <c r="J603" s="45" t="s">
        <v>28</v>
      </c>
      <c r="K603" s="47" t="s">
        <v>124</v>
      </c>
      <c r="L603" s="52">
        <v>0.5</v>
      </c>
      <c r="M603" s="47">
        <v>0.5</v>
      </c>
      <c r="N603" s="45" t="s">
        <v>50</v>
      </c>
      <c r="O603" s="48" t="s">
        <v>71</v>
      </c>
      <c r="P603" s="49" t="s">
        <v>124</v>
      </c>
      <c r="Q603" s="45" t="s">
        <v>125</v>
      </c>
      <c r="R603" s="49" t="s">
        <v>124</v>
      </c>
      <c r="S603" s="49" t="s">
        <v>124</v>
      </c>
      <c r="T603" s="49" t="s">
        <v>124</v>
      </c>
      <c r="U603" s="49" t="s">
        <v>124</v>
      </c>
      <c r="V603" s="49" t="s">
        <v>124</v>
      </c>
      <c r="W603" s="49" t="s">
        <v>124</v>
      </c>
      <c r="X603" s="49" t="s">
        <v>124</v>
      </c>
      <c r="Y603" s="50" t="str">
        <f>IF(CCUS_Projects_Database!$R603&lt;&gt;"",HYPERLINK(CCUS_Projects_Database!$R603,"Link 1"),"")</f>
        <v/>
      </c>
      <c r="Z603" s="50" t="str">
        <f>IF(CCUS_Projects_Database!$S603&lt;&gt;"",HYPERLINK(CCUS_Projects_Database!$S603,"Link 2"),"")</f>
        <v/>
      </c>
      <c r="AA603" s="50" t="str">
        <f>IF(CCUS_Projects_Database!$T603&lt;&gt;"",HYPERLINK(CCUS_Projects_Database!$T603,"Link 3"),"")</f>
        <v/>
      </c>
      <c r="AB603" s="50" t="str">
        <f>IF(CCUS_Projects_Database!$U603&lt;&gt;"",HYPERLINK(CCUS_Projects_Database!$U603,"Link 4"),"")</f>
        <v/>
      </c>
      <c r="AC603" s="50" t="str">
        <f>IF(CCUS_Projects_Database!$V603&lt;&gt;"",HYPERLINK(CCUS_Projects_Database!$V603,"Link 5"),"")</f>
        <v/>
      </c>
      <c r="AD603" s="50" t="str">
        <f>IF(CCUS_Projects_Database!$W603&lt;&gt;"",HYPERLINK(CCUS_Projects_Database!$W603,"Link 6"),"")</f>
        <v/>
      </c>
      <c r="AE603" s="50" t="str">
        <f>IF(CCUS_Projects_Database!$X603&lt;&gt;"",HYPERLINK(CCUS_Projects_Database!$X603,"Link 7"),"")</f>
        <v/>
      </c>
    </row>
    <row r="604" ht="15.75" customHeight="1">
      <c r="A604" s="37" t="s">
        <v>2278</v>
      </c>
      <c r="B604" s="38">
        <v>548.0</v>
      </c>
      <c r="C604" s="38" t="s">
        <v>2279</v>
      </c>
      <c r="D604" s="39" t="s">
        <v>2280</v>
      </c>
      <c r="E604" s="38" t="s">
        <v>6</v>
      </c>
      <c r="F604" s="38">
        <v>2018.0</v>
      </c>
      <c r="G604" s="38">
        <v>2024.0</v>
      </c>
      <c r="H604" s="38">
        <v>2027.0</v>
      </c>
      <c r="I604" s="38" t="s">
        <v>124</v>
      </c>
      <c r="J604" s="38" t="s">
        <v>28</v>
      </c>
      <c r="K604" s="40" t="s">
        <v>124</v>
      </c>
      <c r="L604" s="51">
        <v>1.0</v>
      </c>
      <c r="M604" s="40">
        <v>1.0</v>
      </c>
      <c r="N604" s="38" t="s">
        <v>48</v>
      </c>
      <c r="O604" s="41" t="s">
        <v>71</v>
      </c>
      <c r="P604" s="42" t="s">
        <v>124</v>
      </c>
      <c r="Q604" s="38" t="s">
        <v>148</v>
      </c>
      <c r="R604" s="42" t="s">
        <v>2281</v>
      </c>
      <c r="S604" s="42" t="s">
        <v>2282</v>
      </c>
      <c r="T604" s="42" t="s">
        <v>2283</v>
      </c>
      <c r="U604" s="42" t="s">
        <v>124</v>
      </c>
      <c r="V604" s="42" t="s">
        <v>124</v>
      </c>
      <c r="W604" s="42" t="s">
        <v>124</v>
      </c>
      <c r="X604" s="42" t="s">
        <v>124</v>
      </c>
      <c r="Y604" s="43" t="str">
        <f>IF(CCUS_Projects_Database!$R604&lt;&gt;"",HYPERLINK(CCUS_Projects_Database!$R604,"Link 1"),"")</f>
        <v>Link 1</v>
      </c>
      <c r="Z604" s="43" t="str">
        <f>IF(CCUS_Projects_Database!$S604&lt;&gt;"",HYPERLINK(CCUS_Projects_Database!$S604,"Link 2"),"")</f>
        <v>Link 2</v>
      </c>
      <c r="AA604" s="43" t="str">
        <f>IF(CCUS_Projects_Database!$T604&lt;&gt;"",HYPERLINK(CCUS_Projects_Database!$T604,"Link 3"),"")</f>
        <v>Link 3</v>
      </c>
      <c r="AB604" s="43" t="str">
        <f>IF(CCUS_Projects_Database!$U604&lt;&gt;"",HYPERLINK(CCUS_Projects_Database!$U604,"Link 4"),"")</f>
        <v/>
      </c>
      <c r="AC604" s="43" t="str">
        <f>IF(CCUS_Projects_Database!$V604&lt;&gt;"",HYPERLINK(CCUS_Projects_Database!$V604,"Link 5"),"")</f>
        <v/>
      </c>
      <c r="AD604" s="43" t="str">
        <f>IF(CCUS_Projects_Database!$W604&lt;&gt;"",HYPERLINK(CCUS_Projects_Database!$W604,"Link 6"),"")</f>
        <v/>
      </c>
      <c r="AE604" s="43" t="str">
        <f>IF(CCUS_Projects_Database!$X604&lt;&gt;"",HYPERLINK(CCUS_Projects_Database!$X604,"Link 7"),"")</f>
        <v/>
      </c>
    </row>
    <row r="605" ht="15.75" customHeight="1">
      <c r="A605" s="44" t="s">
        <v>2284</v>
      </c>
      <c r="B605" s="45">
        <v>905.0</v>
      </c>
      <c r="C605" s="45" t="s">
        <v>157</v>
      </c>
      <c r="D605" s="46" t="s">
        <v>2285</v>
      </c>
      <c r="E605" s="45" t="s">
        <v>8</v>
      </c>
      <c r="F605" s="45">
        <v>2023.0</v>
      </c>
      <c r="G605" s="45" t="s">
        <v>124</v>
      </c>
      <c r="H605" s="45" t="s">
        <v>124</v>
      </c>
      <c r="I605" s="45" t="s">
        <v>124</v>
      </c>
      <c r="J605" s="45" t="s">
        <v>28</v>
      </c>
      <c r="K605" s="47" t="s">
        <v>124</v>
      </c>
      <c r="L605" s="52">
        <v>0.1</v>
      </c>
      <c r="M605" s="47">
        <v>0.1</v>
      </c>
      <c r="N605" s="45" t="s">
        <v>46</v>
      </c>
      <c r="O605" s="48" t="s">
        <v>71</v>
      </c>
      <c r="P605" s="49" t="s">
        <v>124</v>
      </c>
      <c r="Q605" s="45" t="s">
        <v>125</v>
      </c>
      <c r="R605" s="49" t="s">
        <v>2286</v>
      </c>
      <c r="S605" s="49" t="s">
        <v>124</v>
      </c>
      <c r="T605" s="49" t="s">
        <v>124</v>
      </c>
      <c r="U605" s="49" t="s">
        <v>124</v>
      </c>
      <c r="V605" s="49" t="s">
        <v>124</v>
      </c>
      <c r="W605" s="49" t="s">
        <v>124</v>
      </c>
      <c r="X605" s="49" t="s">
        <v>124</v>
      </c>
      <c r="Y605" s="50" t="str">
        <f>IF(CCUS_Projects_Database!$R605&lt;&gt;"",HYPERLINK(CCUS_Projects_Database!$R605,"Link 1"),"")</f>
        <v>Link 1</v>
      </c>
      <c r="Z605" s="50" t="str">
        <f>IF(CCUS_Projects_Database!$S605&lt;&gt;"",HYPERLINK(CCUS_Projects_Database!$S605,"Link 2"),"")</f>
        <v/>
      </c>
      <c r="AA605" s="50" t="str">
        <f>IF(CCUS_Projects_Database!$T605&lt;&gt;"",HYPERLINK(CCUS_Projects_Database!$T605,"Link 3"),"")</f>
        <v/>
      </c>
      <c r="AB605" s="50" t="str">
        <f>IF(CCUS_Projects_Database!$U605&lt;&gt;"",HYPERLINK(CCUS_Projects_Database!$U605,"Link 4"),"")</f>
        <v/>
      </c>
      <c r="AC605" s="50" t="str">
        <f>IF(CCUS_Projects_Database!$V605&lt;&gt;"",HYPERLINK(CCUS_Projects_Database!$V605,"Link 5"),"")</f>
        <v/>
      </c>
      <c r="AD605" s="50" t="str">
        <f>IF(CCUS_Projects_Database!$W605&lt;&gt;"",HYPERLINK(CCUS_Projects_Database!$W605,"Link 6"),"")</f>
        <v/>
      </c>
      <c r="AE605" s="50" t="str">
        <f>IF(CCUS_Projects_Database!$X605&lt;&gt;"",HYPERLINK(CCUS_Projects_Database!$X605,"Link 7"),"")</f>
        <v/>
      </c>
    </row>
    <row r="606" ht="15.75" customHeight="1">
      <c r="A606" s="37" t="s">
        <v>2287</v>
      </c>
      <c r="B606" s="38">
        <v>722.0</v>
      </c>
      <c r="C606" s="38" t="s">
        <v>239</v>
      </c>
      <c r="D606" s="39" t="s">
        <v>2288</v>
      </c>
      <c r="E606" s="38" t="s">
        <v>8</v>
      </c>
      <c r="F606" s="38">
        <v>2022.0</v>
      </c>
      <c r="G606" s="38" t="s">
        <v>124</v>
      </c>
      <c r="H606" s="38">
        <v>2030.0</v>
      </c>
      <c r="I606" s="38" t="s">
        <v>124</v>
      </c>
      <c r="J606" s="38" t="s">
        <v>28</v>
      </c>
      <c r="K606" s="40" t="s">
        <v>124</v>
      </c>
      <c r="L606" s="51">
        <v>11.0</v>
      </c>
      <c r="M606" s="40">
        <v>12.0</v>
      </c>
      <c r="N606" s="38" t="s">
        <v>54</v>
      </c>
      <c r="O606" s="41" t="s">
        <v>71</v>
      </c>
      <c r="P606" s="42" t="s">
        <v>2289</v>
      </c>
      <c r="Q606" s="38" t="s">
        <v>143</v>
      </c>
      <c r="R606" s="42" t="s">
        <v>464</v>
      </c>
      <c r="S606" s="42" t="s">
        <v>2290</v>
      </c>
      <c r="T606" s="42" t="s">
        <v>2291</v>
      </c>
      <c r="U606" s="42" t="s">
        <v>2292</v>
      </c>
      <c r="V606" s="42" t="s">
        <v>2293</v>
      </c>
      <c r="W606" s="42" t="s">
        <v>124</v>
      </c>
      <c r="X606" s="42" t="s">
        <v>124</v>
      </c>
      <c r="Y606" s="43" t="str">
        <f>IF(CCUS_Projects_Database!$R606&lt;&gt;"",HYPERLINK(CCUS_Projects_Database!$R606,"Link 1"),"")</f>
        <v>Link 1</v>
      </c>
      <c r="Z606" s="43" t="str">
        <f>IF(CCUS_Projects_Database!$S606&lt;&gt;"",HYPERLINK(CCUS_Projects_Database!$S606,"Link 2"),"")</f>
        <v>Link 2</v>
      </c>
      <c r="AA606" s="43" t="str">
        <f>IF(CCUS_Projects_Database!$T606&lt;&gt;"",HYPERLINK(CCUS_Projects_Database!$T606,"Link 3"),"")</f>
        <v>Link 3</v>
      </c>
      <c r="AB606" s="43" t="str">
        <f>IF(CCUS_Projects_Database!$U606&lt;&gt;"",HYPERLINK(CCUS_Projects_Database!$U606,"Link 4"),"")</f>
        <v>Link 4</v>
      </c>
      <c r="AC606" s="43" t="str">
        <f>IF(CCUS_Projects_Database!$V606&lt;&gt;"",HYPERLINK(CCUS_Projects_Database!$V606,"Link 5"),"")</f>
        <v>Link 5</v>
      </c>
      <c r="AD606" s="43" t="str">
        <f>IF(CCUS_Projects_Database!$W606&lt;&gt;"",HYPERLINK(CCUS_Projects_Database!$W606,"Link 6"),"")</f>
        <v/>
      </c>
      <c r="AE606" s="43" t="str">
        <f>IF(CCUS_Projects_Database!$X606&lt;&gt;"",HYPERLINK(CCUS_Projects_Database!$X606,"Link 7"),"")</f>
        <v/>
      </c>
    </row>
    <row r="607" ht="15.75" customHeight="1">
      <c r="A607" s="44" t="s">
        <v>2294</v>
      </c>
      <c r="B607" s="45">
        <v>506.0</v>
      </c>
      <c r="C607" s="45" t="s">
        <v>239</v>
      </c>
      <c r="D607" s="46" t="s">
        <v>2288</v>
      </c>
      <c r="E607" s="45" t="s">
        <v>14</v>
      </c>
      <c r="F607" s="45">
        <v>2022.0</v>
      </c>
      <c r="G607" s="45" t="s">
        <v>124</v>
      </c>
      <c r="H607" s="45">
        <v>2030.0</v>
      </c>
      <c r="I607" s="45" t="s">
        <v>124</v>
      </c>
      <c r="J607" s="45" t="s">
        <v>28</v>
      </c>
      <c r="K607" s="47" t="s">
        <v>124</v>
      </c>
      <c r="L607" s="52">
        <v>11.0</v>
      </c>
      <c r="M607" s="47">
        <v>12.0</v>
      </c>
      <c r="N607" s="45" t="s">
        <v>14</v>
      </c>
      <c r="O607" s="48" t="s">
        <v>71</v>
      </c>
      <c r="P607" s="49" t="s">
        <v>2294</v>
      </c>
      <c r="Q607" s="45" t="s">
        <v>143</v>
      </c>
      <c r="R607" s="49" t="s">
        <v>464</v>
      </c>
      <c r="S607" s="49" t="s">
        <v>2290</v>
      </c>
      <c r="T607" s="49" t="s">
        <v>2291</v>
      </c>
      <c r="U607" s="49" t="s">
        <v>2292</v>
      </c>
      <c r="V607" s="49" t="s">
        <v>2293</v>
      </c>
      <c r="W607" s="49" t="s">
        <v>124</v>
      </c>
      <c r="X607" s="49" t="s">
        <v>124</v>
      </c>
      <c r="Y607" s="50" t="str">
        <f>IF(CCUS_Projects_Database!$R607&lt;&gt;"",HYPERLINK(CCUS_Projects_Database!$R607,"Link 1"),"")</f>
        <v>Link 1</v>
      </c>
      <c r="Z607" s="50" t="str">
        <f>IF(CCUS_Projects_Database!$S607&lt;&gt;"",HYPERLINK(CCUS_Projects_Database!$S607,"Link 2"),"")</f>
        <v>Link 2</v>
      </c>
      <c r="AA607" s="50" t="str">
        <f>IF(CCUS_Projects_Database!$T607&lt;&gt;"",HYPERLINK(CCUS_Projects_Database!$T607,"Link 3"),"")</f>
        <v>Link 3</v>
      </c>
      <c r="AB607" s="50" t="str">
        <f>IF(CCUS_Projects_Database!$U607&lt;&gt;"",HYPERLINK(CCUS_Projects_Database!$U607,"Link 4"),"")</f>
        <v>Link 4</v>
      </c>
      <c r="AC607" s="50" t="str">
        <f>IF(CCUS_Projects_Database!$V607&lt;&gt;"",HYPERLINK(CCUS_Projects_Database!$V607,"Link 5"),"")</f>
        <v>Link 5</v>
      </c>
      <c r="AD607" s="50" t="str">
        <f>IF(CCUS_Projects_Database!$W607&lt;&gt;"",HYPERLINK(CCUS_Projects_Database!$W607,"Link 6"),"")</f>
        <v/>
      </c>
      <c r="AE607" s="50" t="str">
        <f>IF(CCUS_Projects_Database!$X607&lt;&gt;"",HYPERLINK(CCUS_Projects_Database!$X607,"Link 7"),"")</f>
        <v/>
      </c>
    </row>
    <row r="608" ht="15.75" customHeight="1">
      <c r="A608" s="37" t="s">
        <v>2295</v>
      </c>
      <c r="B608" s="38">
        <v>304.0</v>
      </c>
      <c r="C608" s="38" t="s">
        <v>141</v>
      </c>
      <c r="D608" s="39" t="s">
        <v>2296</v>
      </c>
      <c r="E608" s="38" t="s">
        <v>8</v>
      </c>
      <c r="F608" s="38">
        <v>2022.0</v>
      </c>
      <c r="G608" s="38">
        <v>2024.0</v>
      </c>
      <c r="H608" s="38">
        <v>2027.0</v>
      </c>
      <c r="I608" s="38" t="s">
        <v>124</v>
      </c>
      <c r="J608" s="38" t="s">
        <v>28</v>
      </c>
      <c r="K608" s="40" t="s">
        <v>124</v>
      </c>
      <c r="L608" s="51">
        <v>1.5</v>
      </c>
      <c r="M608" s="40">
        <v>1.8</v>
      </c>
      <c r="N608" s="38" t="s">
        <v>136</v>
      </c>
      <c r="O608" s="41" t="s">
        <v>71</v>
      </c>
      <c r="P608" s="42" t="s">
        <v>368</v>
      </c>
      <c r="Q608" s="38" t="s">
        <v>143</v>
      </c>
      <c r="R608" s="42" t="s">
        <v>2297</v>
      </c>
      <c r="S608" s="42" t="s">
        <v>124</v>
      </c>
      <c r="T608" s="42" t="s">
        <v>124</v>
      </c>
      <c r="U608" s="42" t="s">
        <v>124</v>
      </c>
      <c r="V608" s="42" t="s">
        <v>124</v>
      </c>
      <c r="W608" s="42" t="s">
        <v>124</v>
      </c>
      <c r="X608" s="42" t="s">
        <v>124</v>
      </c>
      <c r="Y608" s="43" t="str">
        <f>IF(CCUS_Projects_Database!$R608&lt;&gt;"",HYPERLINK(CCUS_Projects_Database!$R608,"Link 1"),"")</f>
        <v>Link 1</v>
      </c>
      <c r="Z608" s="43" t="str">
        <f>IF(CCUS_Projects_Database!$S608&lt;&gt;"",HYPERLINK(CCUS_Projects_Database!$S608,"Link 2"),"")</f>
        <v/>
      </c>
      <c r="AA608" s="43" t="str">
        <f>IF(CCUS_Projects_Database!$T608&lt;&gt;"",HYPERLINK(CCUS_Projects_Database!$T608,"Link 3"),"")</f>
        <v/>
      </c>
      <c r="AB608" s="43" t="str">
        <f>IF(CCUS_Projects_Database!$U608&lt;&gt;"",HYPERLINK(CCUS_Projects_Database!$U608,"Link 4"),"")</f>
        <v/>
      </c>
      <c r="AC608" s="43" t="str">
        <f>IF(CCUS_Projects_Database!$V608&lt;&gt;"",HYPERLINK(CCUS_Projects_Database!$V608,"Link 5"),"")</f>
        <v/>
      </c>
      <c r="AD608" s="43" t="str">
        <f>IF(CCUS_Projects_Database!$W608&lt;&gt;"",HYPERLINK(CCUS_Projects_Database!$W608,"Link 6"),"")</f>
        <v/>
      </c>
      <c r="AE608" s="43" t="str">
        <f>IF(CCUS_Projects_Database!$X608&lt;&gt;"",HYPERLINK(CCUS_Projects_Database!$X608,"Link 7"),"")</f>
        <v/>
      </c>
    </row>
    <row r="609" ht="15.75" customHeight="1">
      <c r="A609" s="44" t="s">
        <v>2298</v>
      </c>
      <c r="B609" s="45">
        <v>305.0</v>
      </c>
      <c r="C609" s="45" t="s">
        <v>141</v>
      </c>
      <c r="D609" s="46" t="s">
        <v>2296</v>
      </c>
      <c r="E609" s="45" t="s">
        <v>6</v>
      </c>
      <c r="F609" s="45">
        <v>2011.0</v>
      </c>
      <c r="G609" s="45">
        <v>2011.0</v>
      </c>
      <c r="H609" s="45">
        <v>2013.0</v>
      </c>
      <c r="I609" s="45" t="s">
        <v>124</v>
      </c>
      <c r="J609" s="45" t="s">
        <v>32</v>
      </c>
      <c r="K609" s="47" t="s">
        <v>124</v>
      </c>
      <c r="L609" s="52">
        <v>0.25</v>
      </c>
      <c r="M609" s="47">
        <v>0.3</v>
      </c>
      <c r="N609" s="45" t="s">
        <v>60</v>
      </c>
      <c r="O609" s="48" t="s">
        <v>73</v>
      </c>
      <c r="P609" s="49" t="s">
        <v>124</v>
      </c>
      <c r="Q609" s="45" t="s">
        <v>143</v>
      </c>
      <c r="R609" s="49" t="s">
        <v>2299</v>
      </c>
      <c r="S609" s="49" t="s">
        <v>2300</v>
      </c>
      <c r="T609" s="49" t="s">
        <v>2301</v>
      </c>
      <c r="U609" s="49" t="s">
        <v>2302</v>
      </c>
      <c r="V609" s="49" t="s">
        <v>124</v>
      </c>
      <c r="W609" s="49" t="s">
        <v>124</v>
      </c>
      <c r="X609" s="49" t="s">
        <v>124</v>
      </c>
      <c r="Y609" s="50" t="str">
        <f>IF(CCUS_Projects_Database!$R609&lt;&gt;"",HYPERLINK(CCUS_Projects_Database!$R609,"Link 1"),"")</f>
        <v>Link 1</v>
      </c>
      <c r="Z609" s="50" t="str">
        <f>IF(CCUS_Projects_Database!$S609&lt;&gt;"",HYPERLINK(CCUS_Projects_Database!$S609,"Link 2"),"")</f>
        <v>Link 2</v>
      </c>
      <c r="AA609" s="50" t="str">
        <f>IF(CCUS_Projects_Database!$T609&lt;&gt;"",HYPERLINK(CCUS_Projects_Database!$T609,"Link 3"),"")</f>
        <v>Link 3</v>
      </c>
      <c r="AB609" s="50" t="str">
        <f>IF(CCUS_Projects_Database!$U609&lt;&gt;"",HYPERLINK(CCUS_Projects_Database!$U609,"Link 4"),"")</f>
        <v>Link 4</v>
      </c>
      <c r="AC609" s="50" t="str">
        <f>IF(CCUS_Projects_Database!$V609&lt;&gt;"",HYPERLINK(CCUS_Projects_Database!$V609,"Link 5"),"")</f>
        <v/>
      </c>
      <c r="AD609" s="50" t="str">
        <f>IF(CCUS_Projects_Database!$W609&lt;&gt;"",HYPERLINK(CCUS_Projects_Database!$W609,"Link 6"),"")</f>
        <v/>
      </c>
      <c r="AE609" s="50" t="str">
        <f>IF(CCUS_Projects_Database!$X609&lt;&gt;"",HYPERLINK(CCUS_Projects_Database!$X609,"Link 7"),"")</f>
        <v/>
      </c>
    </row>
    <row r="610" ht="15.75" customHeight="1">
      <c r="A610" s="37" t="s">
        <v>2303</v>
      </c>
      <c r="B610" s="38">
        <v>768.0</v>
      </c>
      <c r="C610" s="38" t="s">
        <v>157</v>
      </c>
      <c r="D610" s="39" t="s">
        <v>2304</v>
      </c>
      <c r="E610" s="38" t="s">
        <v>10</v>
      </c>
      <c r="F610" s="38">
        <v>2023.0</v>
      </c>
      <c r="G610" s="38" t="s">
        <v>124</v>
      </c>
      <c r="H610" s="38">
        <v>2030.0</v>
      </c>
      <c r="I610" s="38" t="s">
        <v>124</v>
      </c>
      <c r="J610" s="38" t="s">
        <v>28</v>
      </c>
      <c r="K610" s="40" t="s">
        <v>124</v>
      </c>
      <c r="L610" s="51">
        <v>3.0</v>
      </c>
      <c r="M610" s="40">
        <v>3.0</v>
      </c>
      <c r="N610" s="38" t="s">
        <v>10</v>
      </c>
      <c r="O610" s="41" t="s">
        <v>71</v>
      </c>
      <c r="P610" s="42" t="s">
        <v>703</v>
      </c>
      <c r="Q610" s="38" t="s">
        <v>125</v>
      </c>
      <c r="R610" s="42" t="s">
        <v>2305</v>
      </c>
      <c r="S610" s="42" t="s">
        <v>2306</v>
      </c>
      <c r="T610" s="42" t="s">
        <v>124</v>
      </c>
      <c r="U610" s="42" t="s">
        <v>124</v>
      </c>
      <c r="V610" s="42" t="s">
        <v>124</v>
      </c>
      <c r="W610" s="42" t="s">
        <v>124</v>
      </c>
      <c r="X610" s="42" t="s">
        <v>124</v>
      </c>
      <c r="Y610" s="43" t="str">
        <f>IF(CCUS_Projects_Database!$R610&lt;&gt;"",HYPERLINK(CCUS_Projects_Database!$R610,"Link 1"),"")</f>
        <v>Link 1</v>
      </c>
      <c r="Z610" s="43" t="str">
        <f>IF(CCUS_Projects_Database!$S610&lt;&gt;"",HYPERLINK(CCUS_Projects_Database!$S610,"Link 2"),"")</f>
        <v>Link 2</v>
      </c>
      <c r="AA610" s="43" t="str">
        <f>IF(CCUS_Projects_Database!$T610&lt;&gt;"",HYPERLINK(CCUS_Projects_Database!$T610,"Link 3"),"")</f>
        <v/>
      </c>
      <c r="AB610" s="43" t="str">
        <f>IF(CCUS_Projects_Database!$U610&lt;&gt;"",HYPERLINK(CCUS_Projects_Database!$U610,"Link 4"),"")</f>
        <v/>
      </c>
      <c r="AC610" s="43" t="str">
        <f>IF(CCUS_Projects_Database!$V610&lt;&gt;"",HYPERLINK(CCUS_Projects_Database!$V610,"Link 5"),"")</f>
        <v/>
      </c>
      <c r="AD610" s="43" t="str">
        <f>IF(CCUS_Projects_Database!$W610&lt;&gt;"",HYPERLINK(CCUS_Projects_Database!$W610,"Link 6"),"")</f>
        <v/>
      </c>
      <c r="AE610" s="43" t="str">
        <f>IF(CCUS_Projects_Database!$X610&lt;&gt;"",HYPERLINK(CCUS_Projects_Database!$X610,"Link 7"),"")</f>
        <v/>
      </c>
    </row>
    <row r="611" ht="15.75" customHeight="1">
      <c r="A611" s="44" t="s">
        <v>2307</v>
      </c>
      <c r="B611" s="45">
        <v>451.0</v>
      </c>
      <c r="C611" s="45" t="s">
        <v>141</v>
      </c>
      <c r="D611" s="46" t="s">
        <v>2308</v>
      </c>
      <c r="E611" s="45" t="s">
        <v>8</v>
      </c>
      <c r="F611" s="45">
        <v>2021.0</v>
      </c>
      <c r="G611" s="45" t="s">
        <v>124</v>
      </c>
      <c r="H611" s="45" t="s">
        <v>124</v>
      </c>
      <c r="I611" s="45" t="s">
        <v>124</v>
      </c>
      <c r="J611" s="45" t="s">
        <v>28</v>
      </c>
      <c r="K611" s="47" t="s">
        <v>124</v>
      </c>
      <c r="L611" s="47"/>
      <c r="M611" s="47" t="s">
        <v>124</v>
      </c>
      <c r="N611" s="45" t="s">
        <v>54</v>
      </c>
      <c r="O611" s="48" t="s">
        <v>73</v>
      </c>
      <c r="P611" s="49" t="s">
        <v>124</v>
      </c>
      <c r="Q611" s="45" t="s">
        <v>143</v>
      </c>
      <c r="R611" s="49" t="s">
        <v>2309</v>
      </c>
      <c r="S611" s="49" t="s">
        <v>124</v>
      </c>
      <c r="T611" s="49" t="s">
        <v>124</v>
      </c>
      <c r="U611" s="49" t="s">
        <v>124</v>
      </c>
      <c r="V611" s="49" t="s">
        <v>124</v>
      </c>
      <c r="W611" s="49" t="s">
        <v>124</v>
      </c>
      <c r="X611" s="49" t="s">
        <v>124</v>
      </c>
      <c r="Y611" s="50" t="str">
        <f>IF(CCUS_Projects_Database!$R611&lt;&gt;"",HYPERLINK(CCUS_Projects_Database!$R611,"Link 1"),"")</f>
        <v>Link 1</v>
      </c>
      <c r="Z611" s="50" t="str">
        <f>IF(CCUS_Projects_Database!$S611&lt;&gt;"",HYPERLINK(CCUS_Projects_Database!$S611,"Link 2"),"")</f>
        <v/>
      </c>
      <c r="AA611" s="50" t="str">
        <f>IF(CCUS_Projects_Database!$T611&lt;&gt;"",HYPERLINK(CCUS_Projects_Database!$T611,"Link 3"),"")</f>
        <v/>
      </c>
      <c r="AB611" s="50" t="str">
        <f>IF(CCUS_Projects_Database!$U611&lt;&gt;"",HYPERLINK(CCUS_Projects_Database!$U611,"Link 4"),"")</f>
        <v/>
      </c>
      <c r="AC611" s="50" t="str">
        <f>IF(CCUS_Projects_Database!$V611&lt;&gt;"",HYPERLINK(CCUS_Projects_Database!$V611,"Link 5"),"")</f>
        <v/>
      </c>
      <c r="AD611" s="50" t="str">
        <f>IF(CCUS_Projects_Database!$W611&lt;&gt;"",HYPERLINK(CCUS_Projects_Database!$W611,"Link 6"),"")</f>
        <v/>
      </c>
      <c r="AE611" s="50" t="str">
        <f>IF(CCUS_Projects_Database!$X611&lt;&gt;"",HYPERLINK(CCUS_Projects_Database!$X611,"Link 7"),"")</f>
        <v/>
      </c>
    </row>
    <row r="612" ht="15.75" customHeight="1">
      <c r="A612" s="37" t="s">
        <v>2310</v>
      </c>
      <c r="B612" s="38">
        <v>883.0</v>
      </c>
      <c r="C612" s="38" t="s">
        <v>141</v>
      </c>
      <c r="D612" s="39" t="s">
        <v>348</v>
      </c>
      <c r="E612" s="38" t="s">
        <v>12</v>
      </c>
      <c r="F612" s="38">
        <v>2022.0</v>
      </c>
      <c r="G612" s="38" t="s">
        <v>124</v>
      </c>
      <c r="H612" s="38">
        <v>2027.0</v>
      </c>
      <c r="I612" s="38" t="s">
        <v>124</v>
      </c>
      <c r="J612" s="38" t="s">
        <v>28</v>
      </c>
      <c r="K612" s="40" t="s">
        <v>124</v>
      </c>
      <c r="L612" s="51">
        <v>15.0</v>
      </c>
      <c r="M612" s="40">
        <v>10.0</v>
      </c>
      <c r="N612" s="38" t="s">
        <v>12</v>
      </c>
      <c r="O612" s="41" t="s">
        <v>77</v>
      </c>
      <c r="P612" s="42" t="s">
        <v>124</v>
      </c>
      <c r="Q612" s="38" t="s">
        <v>143</v>
      </c>
      <c r="R612" s="42" t="s">
        <v>349</v>
      </c>
      <c r="S612" s="42" t="s">
        <v>350</v>
      </c>
      <c r="T612" s="42" t="s">
        <v>124</v>
      </c>
      <c r="U612" s="42" t="s">
        <v>124</v>
      </c>
      <c r="V612" s="42" t="s">
        <v>124</v>
      </c>
      <c r="W612" s="42" t="s">
        <v>124</v>
      </c>
      <c r="X612" s="42" t="s">
        <v>124</v>
      </c>
      <c r="Y612" s="43" t="str">
        <f>IF(CCUS_Projects_Database!$R612&lt;&gt;"",HYPERLINK(CCUS_Projects_Database!$R612,"Link 1"),"")</f>
        <v>Link 1</v>
      </c>
      <c r="Z612" s="43" t="str">
        <f>IF(CCUS_Projects_Database!$S612&lt;&gt;"",HYPERLINK(CCUS_Projects_Database!$S612,"Link 2"),"")</f>
        <v>Link 2</v>
      </c>
      <c r="AA612" s="43" t="str">
        <f>IF(CCUS_Projects_Database!$T612&lt;&gt;"",HYPERLINK(CCUS_Projects_Database!$T612,"Link 3"),"")</f>
        <v/>
      </c>
      <c r="AB612" s="43" t="str">
        <f>IF(CCUS_Projects_Database!$U612&lt;&gt;"",HYPERLINK(CCUS_Projects_Database!$U612,"Link 4"),"")</f>
        <v/>
      </c>
      <c r="AC612" s="43" t="str">
        <f>IF(CCUS_Projects_Database!$V612&lt;&gt;"",HYPERLINK(CCUS_Projects_Database!$V612,"Link 5"),"")</f>
        <v/>
      </c>
      <c r="AD612" s="43" t="str">
        <f>IF(CCUS_Projects_Database!$W612&lt;&gt;"",HYPERLINK(CCUS_Projects_Database!$W612,"Link 6"),"")</f>
        <v/>
      </c>
      <c r="AE612" s="43" t="str">
        <f>IF(CCUS_Projects_Database!$X612&lt;&gt;"",HYPERLINK(CCUS_Projects_Database!$X612,"Link 7"),"")</f>
        <v/>
      </c>
    </row>
    <row r="613" ht="15.75" customHeight="1">
      <c r="A613" s="44" t="s">
        <v>2311</v>
      </c>
      <c r="B613" s="45">
        <v>900.0</v>
      </c>
      <c r="C613" s="45" t="s">
        <v>141</v>
      </c>
      <c r="D613" s="46" t="s">
        <v>2312</v>
      </c>
      <c r="E613" s="45" t="s">
        <v>135</v>
      </c>
      <c r="F613" s="45">
        <v>2023.0</v>
      </c>
      <c r="G613" s="45" t="s">
        <v>124</v>
      </c>
      <c r="H613" s="45" t="s">
        <v>124</v>
      </c>
      <c r="I613" s="45" t="s">
        <v>124</v>
      </c>
      <c r="J613" s="45" t="s">
        <v>28</v>
      </c>
      <c r="K613" s="47" t="s">
        <v>124</v>
      </c>
      <c r="L613" s="52">
        <v>2.0</v>
      </c>
      <c r="M613" s="47">
        <v>2.0</v>
      </c>
      <c r="N613" s="45" t="s">
        <v>50</v>
      </c>
      <c r="O613" s="48" t="s">
        <v>71</v>
      </c>
      <c r="P613" s="49" t="s">
        <v>124</v>
      </c>
      <c r="Q613" s="45" t="s">
        <v>143</v>
      </c>
      <c r="R613" s="49" t="s">
        <v>2313</v>
      </c>
      <c r="S613" s="49" t="s">
        <v>124</v>
      </c>
      <c r="T613" s="49" t="s">
        <v>124</v>
      </c>
      <c r="U613" s="49" t="s">
        <v>124</v>
      </c>
      <c r="V613" s="49" t="s">
        <v>124</v>
      </c>
      <c r="W613" s="49" t="s">
        <v>124</v>
      </c>
      <c r="X613" s="49" t="s">
        <v>124</v>
      </c>
      <c r="Y613" s="50" t="str">
        <f>IF(CCUS_Projects_Database!$R613&lt;&gt;"",HYPERLINK(CCUS_Projects_Database!$R613,"Link 1"),"")</f>
        <v>Link 1</v>
      </c>
      <c r="Z613" s="50" t="str">
        <f>IF(CCUS_Projects_Database!$S613&lt;&gt;"",HYPERLINK(CCUS_Projects_Database!$S613,"Link 2"),"")</f>
        <v/>
      </c>
      <c r="AA613" s="50" t="str">
        <f>IF(CCUS_Projects_Database!$T613&lt;&gt;"",HYPERLINK(CCUS_Projects_Database!$T613,"Link 3"),"")</f>
        <v/>
      </c>
      <c r="AB613" s="50" t="str">
        <f>IF(CCUS_Projects_Database!$U613&lt;&gt;"",HYPERLINK(CCUS_Projects_Database!$U613,"Link 4"),"")</f>
        <v/>
      </c>
      <c r="AC613" s="50" t="str">
        <f>IF(CCUS_Projects_Database!$V613&lt;&gt;"",HYPERLINK(CCUS_Projects_Database!$V613,"Link 5"),"")</f>
        <v/>
      </c>
      <c r="AD613" s="50" t="str">
        <f>IF(CCUS_Projects_Database!$W613&lt;&gt;"",HYPERLINK(CCUS_Projects_Database!$W613,"Link 6"),"")</f>
        <v/>
      </c>
      <c r="AE613" s="50" t="str">
        <f>IF(CCUS_Projects_Database!$X613&lt;&gt;"",HYPERLINK(CCUS_Projects_Database!$X613,"Link 7"),"")</f>
        <v/>
      </c>
    </row>
    <row r="614" ht="15.75" customHeight="1">
      <c r="A614" s="37" t="s">
        <v>2314</v>
      </c>
      <c r="B614" s="38">
        <v>815.0</v>
      </c>
      <c r="C614" s="38" t="s">
        <v>141</v>
      </c>
      <c r="D614" s="39" t="s">
        <v>2315</v>
      </c>
      <c r="E614" s="38" t="s">
        <v>12</v>
      </c>
      <c r="F614" s="38">
        <v>2022.0</v>
      </c>
      <c r="G614" s="38" t="s">
        <v>124</v>
      </c>
      <c r="H614" s="38">
        <v>2025.0</v>
      </c>
      <c r="I614" s="38" t="s">
        <v>124</v>
      </c>
      <c r="J614" s="38" t="s">
        <v>28</v>
      </c>
      <c r="K614" s="40" t="s">
        <v>124</v>
      </c>
      <c r="L614" s="51">
        <v>6.0</v>
      </c>
      <c r="M614" s="40">
        <v>6.0</v>
      </c>
      <c r="N614" s="38" t="s">
        <v>12</v>
      </c>
      <c r="O614" s="41" t="s">
        <v>71</v>
      </c>
      <c r="P614" s="42" t="s">
        <v>2316</v>
      </c>
      <c r="Q614" s="38" t="s">
        <v>143</v>
      </c>
      <c r="R614" s="42" t="s">
        <v>2317</v>
      </c>
      <c r="S614" s="42" t="s">
        <v>2318</v>
      </c>
      <c r="T614" s="42" t="s">
        <v>124</v>
      </c>
      <c r="U614" s="42" t="s">
        <v>124</v>
      </c>
      <c r="V614" s="42" t="s">
        <v>124</v>
      </c>
      <c r="W614" s="42" t="s">
        <v>124</v>
      </c>
      <c r="X614" s="42" t="s">
        <v>124</v>
      </c>
      <c r="Y614" s="43" t="str">
        <f>IF(CCUS_Projects_Database!$R614&lt;&gt;"",HYPERLINK(CCUS_Projects_Database!$R614,"Link 1"),"")</f>
        <v>Link 1</v>
      </c>
      <c r="Z614" s="43" t="str">
        <f>IF(CCUS_Projects_Database!$S614&lt;&gt;"",HYPERLINK(CCUS_Projects_Database!$S614,"Link 2"),"")</f>
        <v>Link 2</v>
      </c>
      <c r="AA614" s="43" t="str">
        <f>IF(CCUS_Projects_Database!$T614&lt;&gt;"",HYPERLINK(CCUS_Projects_Database!$T614,"Link 3"),"")</f>
        <v/>
      </c>
      <c r="AB614" s="43" t="str">
        <f>IF(CCUS_Projects_Database!$U614&lt;&gt;"",HYPERLINK(CCUS_Projects_Database!$U614,"Link 4"),"")</f>
        <v/>
      </c>
      <c r="AC614" s="43" t="str">
        <f>IF(CCUS_Projects_Database!$V614&lt;&gt;"",HYPERLINK(CCUS_Projects_Database!$V614,"Link 5"),"")</f>
        <v/>
      </c>
      <c r="AD614" s="43" t="str">
        <f>IF(CCUS_Projects_Database!$W614&lt;&gt;"",HYPERLINK(CCUS_Projects_Database!$W614,"Link 6"),"")</f>
        <v/>
      </c>
      <c r="AE614" s="43" t="str">
        <f>IF(CCUS_Projects_Database!$X614&lt;&gt;"",HYPERLINK(CCUS_Projects_Database!$X614,"Link 7"),"")</f>
        <v/>
      </c>
    </row>
    <row r="615" ht="15.75" customHeight="1">
      <c r="A615" s="44" t="s">
        <v>2319</v>
      </c>
      <c r="B615" s="45">
        <v>791.0</v>
      </c>
      <c r="C615" s="45" t="s">
        <v>239</v>
      </c>
      <c r="D615" s="46" t="s">
        <v>2320</v>
      </c>
      <c r="E615" s="45" t="s">
        <v>8</v>
      </c>
      <c r="F615" s="45">
        <v>2023.0</v>
      </c>
      <c r="G615" s="45" t="s">
        <v>124</v>
      </c>
      <c r="H615" s="45">
        <v>2027.0</v>
      </c>
      <c r="I615" s="45" t="s">
        <v>124</v>
      </c>
      <c r="J615" s="45" t="s">
        <v>28</v>
      </c>
      <c r="K615" s="47" t="s">
        <v>124</v>
      </c>
      <c r="L615" s="47"/>
      <c r="M615" s="47" t="s">
        <v>124</v>
      </c>
      <c r="N615" s="45" t="s">
        <v>136</v>
      </c>
      <c r="O615" s="48" t="s">
        <v>71</v>
      </c>
      <c r="P615" s="49" t="s">
        <v>266</v>
      </c>
      <c r="Q615" s="45" t="s">
        <v>143</v>
      </c>
      <c r="R615" s="49" t="s">
        <v>2321</v>
      </c>
      <c r="S615" s="49" t="s">
        <v>124</v>
      </c>
      <c r="T615" s="49" t="s">
        <v>124</v>
      </c>
      <c r="U615" s="49" t="s">
        <v>124</v>
      </c>
      <c r="V615" s="49" t="s">
        <v>124</v>
      </c>
      <c r="W615" s="49" t="s">
        <v>124</v>
      </c>
      <c r="X615" s="49" t="s">
        <v>124</v>
      </c>
      <c r="Y615" s="50" t="str">
        <f>IF(CCUS_Projects_Database!$R615&lt;&gt;"",HYPERLINK(CCUS_Projects_Database!$R615,"Link 1"),"")</f>
        <v>Link 1</v>
      </c>
      <c r="Z615" s="50" t="str">
        <f>IF(CCUS_Projects_Database!$S615&lt;&gt;"",HYPERLINK(CCUS_Projects_Database!$S615,"Link 2"),"")</f>
        <v/>
      </c>
      <c r="AA615" s="50" t="str">
        <f>IF(CCUS_Projects_Database!$T615&lt;&gt;"",HYPERLINK(CCUS_Projects_Database!$T615,"Link 3"),"")</f>
        <v/>
      </c>
      <c r="AB615" s="50" t="str">
        <f>IF(CCUS_Projects_Database!$U615&lt;&gt;"",HYPERLINK(CCUS_Projects_Database!$U615,"Link 4"),"")</f>
        <v/>
      </c>
      <c r="AC615" s="50" t="str">
        <f>IF(CCUS_Projects_Database!$V615&lt;&gt;"",HYPERLINK(CCUS_Projects_Database!$V615,"Link 5"),"")</f>
        <v/>
      </c>
      <c r="AD615" s="50" t="str">
        <f>IF(CCUS_Projects_Database!$W615&lt;&gt;"",HYPERLINK(CCUS_Projects_Database!$W615,"Link 6"),"")</f>
        <v/>
      </c>
      <c r="AE615" s="50" t="str">
        <f>IF(CCUS_Projects_Database!$X615&lt;&gt;"",HYPERLINK(CCUS_Projects_Database!$X615,"Link 7"),"")</f>
        <v/>
      </c>
    </row>
    <row r="616" ht="15.75" customHeight="1">
      <c r="A616" s="37" t="s">
        <v>2322</v>
      </c>
      <c r="B616" s="38">
        <v>515.0</v>
      </c>
      <c r="C616" s="38" t="s">
        <v>157</v>
      </c>
      <c r="D616" s="39" t="s">
        <v>2323</v>
      </c>
      <c r="E616" s="38" t="s">
        <v>8</v>
      </c>
      <c r="F616" s="38">
        <v>2022.0</v>
      </c>
      <c r="G616" s="38">
        <v>2024.0</v>
      </c>
      <c r="H616" s="38">
        <v>2040.0</v>
      </c>
      <c r="I616" s="38" t="s">
        <v>124</v>
      </c>
      <c r="J616" s="38" t="s">
        <v>28</v>
      </c>
      <c r="K616" s="40" t="s">
        <v>124</v>
      </c>
      <c r="L616" s="51">
        <v>5.149</v>
      </c>
      <c r="M616" s="40">
        <v>5.149</v>
      </c>
      <c r="N616" s="38" t="s">
        <v>46</v>
      </c>
      <c r="O616" s="41" t="s">
        <v>71</v>
      </c>
      <c r="P616" s="42" t="s">
        <v>124</v>
      </c>
      <c r="Q616" s="38" t="s">
        <v>125</v>
      </c>
      <c r="R616" s="42" t="s">
        <v>2324</v>
      </c>
      <c r="S616" s="42" t="s">
        <v>2325</v>
      </c>
      <c r="T616" s="42" t="s">
        <v>124</v>
      </c>
      <c r="U616" s="42" t="s">
        <v>124</v>
      </c>
      <c r="V616" s="42" t="s">
        <v>124</v>
      </c>
      <c r="W616" s="42" t="s">
        <v>124</v>
      </c>
      <c r="X616" s="42" t="s">
        <v>124</v>
      </c>
      <c r="Y616" s="43" t="str">
        <f>IF(CCUS_Projects_Database!$R616&lt;&gt;"",HYPERLINK(CCUS_Projects_Database!$R616,"Link 1"),"")</f>
        <v>Link 1</v>
      </c>
      <c r="Z616" s="43" t="str">
        <f>IF(CCUS_Projects_Database!$S616&lt;&gt;"",HYPERLINK(CCUS_Projects_Database!$S616,"Link 2"),"")</f>
        <v>Link 2</v>
      </c>
      <c r="AA616" s="43" t="str">
        <f>IF(CCUS_Projects_Database!$T616&lt;&gt;"",HYPERLINK(CCUS_Projects_Database!$T616,"Link 3"),"")</f>
        <v/>
      </c>
      <c r="AB616" s="43" t="str">
        <f>IF(CCUS_Projects_Database!$U616&lt;&gt;"",HYPERLINK(CCUS_Projects_Database!$U616,"Link 4"),"")</f>
        <v/>
      </c>
      <c r="AC616" s="43" t="str">
        <f>IF(CCUS_Projects_Database!$V616&lt;&gt;"",HYPERLINK(CCUS_Projects_Database!$V616,"Link 5"),"")</f>
        <v/>
      </c>
      <c r="AD616" s="43" t="str">
        <f>IF(CCUS_Projects_Database!$W616&lt;&gt;"",HYPERLINK(CCUS_Projects_Database!$W616,"Link 6"),"")</f>
        <v/>
      </c>
      <c r="AE616" s="43" t="str">
        <f>IF(CCUS_Projects_Database!$X616&lt;&gt;"",HYPERLINK(CCUS_Projects_Database!$X616,"Link 7"),"")</f>
        <v/>
      </c>
    </row>
    <row r="617" ht="15.75" customHeight="1">
      <c r="A617" s="44" t="s">
        <v>2326</v>
      </c>
      <c r="B617" s="45">
        <v>1084.0</v>
      </c>
      <c r="C617" s="45" t="s">
        <v>141</v>
      </c>
      <c r="D617" s="46" t="s">
        <v>2327</v>
      </c>
      <c r="E617" s="45" t="s">
        <v>14</v>
      </c>
      <c r="F617" s="45">
        <v>2023.0</v>
      </c>
      <c r="G617" s="45" t="s">
        <v>124</v>
      </c>
      <c r="H617" s="45" t="s">
        <v>124</v>
      </c>
      <c r="I617" s="45" t="s">
        <v>124</v>
      </c>
      <c r="J617" s="45" t="s">
        <v>28</v>
      </c>
      <c r="K617" s="47" t="s">
        <v>124</v>
      </c>
      <c r="L617" s="52">
        <v>2.0</v>
      </c>
      <c r="M617" s="47">
        <v>2.0</v>
      </c>
      <c r="N617" s="45" t="s">
        <v>14</v>
      </c>
      <c r="O617" s="48" t="s">
        <v>77</v>
      </c>
      <c r="P617" s="49" t="s">
        <v>2326</v>
      </c>
      <c r="Q617" s="45" t="s">
        <v>143</v>
      </c>
      <c r="R617" s="49" t="s">
        <v>389</v>
      </c>
      <c r="S617" s="49" t="s">
        <v>2328</v>
      </c>
      <c r="T617" s="49" t="s">
        <v>124</v>
      </c>
      <c r="U617" s="49" t="s">
        <v>124</v>
      </c>
      <c r="V617" s="49" t="s">
        <v>124</v>
      </c>
      <c r="W617" s="49" t="s">
        <v>124</v>
      </c>
      <c r="X617" s="49" t="s">
        <v>124</v>
      </c>
      <c r="Y617" s="50" t="str">
        <f>IF(CCUS_Projects_Database!$R617&lt;&gt;"",HYPERLINK(CCUS_Projects_Database!$R617,"Link 1"),"")</f>
        <v>Link 1</v>
      </c>
      <c r="Z617" s="50" t="str">
        <f>IF(CCUS_Projects_Database!$S617&lt;&gt;"",HYPERLINK(CCUS_Projects_Database!$S617,"Link 2"),"")</f>
        <v>Link 2</v>
      </c>
      <c r="AA617" s="50" t="str">
        <f>IF(CCUS_Projects_Database!$T617&lt;&gt;"",HYPERLINK(CCUS_Projects_Database!$T617,"Link 3"),"")</f>
        <v/>
      </c>
      <c r="AB617" s="50" t="str">
        <f>IF(CCUS_Projects_Database!$U617&lt;&gt;"",HYPERLINK(CCUS_Projects_Database!$U617,"Link 4"),"")</f>
        <v/>
      </c>
      <c r="AC617" s="50" t="str">
        <f>IF(CCUS_Projects_Database!$V617&lt;&gt;"",HYPERLINK(CCUS_Projects_Database!$V617,"Link 5"),"")</f>
        <v/>
      </c>
      <c r="AD617" s="50" t="str">
        <f>IF(CCUS_Projects_Database!$W617&lt;&gt;"",HYPERLINK(CCUS_Projects_Database!$W617,"Link 6"),"")</f>
        <v/>
      </c>
      <c r="AE617" s="50" t="str">
        <f>IF(CCUS_Projects_Database!$X617&lt;&gt;"",HYPERLINK(CCUS_Projects_Database!$X617,"Link 7"),"")</f>
        <v/>
      </c>
    </row>
    <row r="618" ht="15.75" customHeight="1">
      <c r="A618" s="37" t="s">
        <v>2329</v>
      </c>
      <c r="B618" s="38">
        <v>307.0</v>
      </c>
      <c r="C618" s="38" t="s">
        <v>157</v>
      </c>
      <c r="D618" s="39" t="s">
        <v>2330</v>
      </c>
      <c r="E618" s="38" t="s">
        <v>8</v>
      </c>
      <c r="F618" s="38">
        <v>2021.0</v>
      </c>
      <c r="G618" s="38">
        <v>2024.0</v>
      </c>
      <c r="H618" s="38">
        <v>2030.0</v>
      </c>
      <c r="I618" s="38" t="s">
        <v>124</v>
      </c>
      <c r="J618" s="38" t="s">
        <v>28</v>
      </c>
      <c r="K618" s="40" t="s">
        <v>124</v>
      </c>
      <c r="L618" s="51">
        <v>1.5</v>
      </c>
      <c r="M618" s="40">
        <v>1.5</v>
      </c>
      <c r="N618" s="38" t="s">
        <v>46</v>
      </c>
      <c r="O618" s="41" t="s">
        <v>71</v>
      </c>
      <c r="P618" s="42" t="s">
        <v>159</v>
      </c>
      <c r="Q618" s="38" t="s">
        <v>125</v>
      </c>
      <c r="R618" s="42" t="s">
        <v>2331</v>
      </c>
      <c r="S618" s="42" t="s">
        <v>2332</v>
      </c>
      <c r="T618" s="42" t="s">
        <v>2333</v>
      </c>
      <c r="U618" s="42" t="s">
        <v>124</v>
      </c>
      <c r="V618" s="42" t="s">
        <v>124</v>
      </c>
      <c r="W618" s="42" t="s">
        <v>124</v>
      </c>
      <c r="X618" s="42" t="s">
        <v>124</v>
      </c>
      <c r="Y618" s="43" t="str">
        <f>IF(CCUS_Projects_Database!$R618&lt;&gt;"",HYPERLINK(CCUS_Projects_Database!$R618,"Link 1"),"")</f>
        <v>Link 1</v>
      </c>
      <c r="Z618" s="43" t="str">
        <f>IF(CCUS_Projects_Database!$S618&lt;&gt;"",HYPERLINK(CCUS_Projects_Database!$S618,"Link 2"),"")</f>
        <v>Link 2</v>
      </c>
      <c r="AA618" s="43" t="str">
        <f>IF(CCUS_Projects_Database!$T618&lt;&gt;"",HYPERLINK(CCUS_Projects_Database!$T618,"Link 3"),"")</f>
        <v>Link 3</v>
      </c>
      <c r="AB618" s="43" t="str">
        <f>IF(CCUS_Projects_Database!$U618&lt;&gt;"",HYPERLINK(CCUS_Projects_Database!$U618,"Link 4"),"")</f>
        <v/>
      </c>
      <c r="AC618" s="43" t="str">
        <f>IF(CCUS_Projects_Database!$V618&lt;&gt;"",HYPERLINK(CCUS_Projects_Database!$V618,"Link 5"),"")</f>
        <v/>
      </c>
      <c r="AD618" s="43" t="str">
        <f>IF(CCUS_Projects_Database!$W618&lt;&gt;"",HYPERLINK(CCUS_Projects_Database!$W618,"Link 6"),"")</f>
        <v/>
      </c>
      <c r="AE618" s="43" t="str">
        <f>IF(CCUS_Projects_Database!$X618&lt;&gt;"",HYPERLINK(CCUS_Projects_Database!$X618,"Link 7"),"")</f>
        <v/>
      </c>
    </row>
    <row r="619" ht="15.75" customHeight="1">
      <c r="A619" s="44" t="s">
        <v>2334</v>
      </c>
      <c r="B619" s="45">
        <v>309.0</v>
      </c>
      <c r="C619" s="45" t="s">
        <v>141</v>
      </c>
      <c r="D619" s="46" t="s">
        <v>2335</v>
      </c>
      <c r="E619" s="45" t="s">
        <v>6</v>
      </c>
      <c r="F619" s="45">
        <v>2009.0</v>
      </c>
      <c r="G619" s="45">
        <v>2014.0</v>
      </c>
      <c r="H619" s="45">
        <v>2023.0</v>
      </c>
      <c r="I619" s="45">
        <v>2023.0</v>
      </c>
      <c r="J619" s="45" t="s">
        <v>32</v>
      </c>
      <c r="K619" s="47" t="s">
        <v>124</v>
      </c>
      <c r="L619" s="52">
        <v>1.4</v>
      </c>
      <c r="M619" s="47">
        <v>1.4</v>
      </c>
      <c r="N619" s="45" t="s">
        <v>46</v>
      </c>
      <c r="O619" s="48" t="s">
        <v>73</v>
      </c>
      <c r="P619" s="49" t="s">
        <v>124</v>
      </c>
      <c r="Q619" s="45" t="s">
        <v>143</v>
      </c>
      <c r="R619" s="49" t="s">
        <v>2336</v>
      </c>
      <c r="S619" s="49" t="s">
        <v>2337</v>
      </c>
      <c r="T619" s="49" t="s">
        <v>2338</v>
      </c>
      <c r="U619" s="49" t="s">
        <v>124</v>
      </c>
      <c r="V619" s="49" t="s">
        <v>124</v>
      </c>
      <c r="W619" s="49" t="s">
        <v>124</v>
      </c>
      <c r="X619" s="49" t="s">
        <v>124</v>
      </c>
      <c r="Y619" s="50" t="str">
        <f>IF(CCUS_Projects_Database!$R619&lt;&gt;"",HYPERLINK(CCUS_Projects_Database!$R619,"Link 1"),"")</f>
        <v>Link 1</v>
      </c>
      <c r="Z619" s="50" t="str">
        <f>IF(CCUS_Projects_Database!$S619&lt;&gt;"",HYPERLINK(CCUS_Projects_Database!$S619,"Link 2"),"")</f>
        <v>Link 2</v>
      </c>
      <c r="AA619" s="50" t="str">
        <f>IF(CCUS_Projects_Database!$T619&lt;&gt;"",HYPERLINK(CCUS_Projects_Database!$T619,"Link 3"),"")</f>
        <v>Link 3</v>
      </c>
      <c r="AB619" s="50" t="str">
        <f>IF(CCUS_Projects_Database!$U619&lt;&gt;"",HYPERLINK(CCUS_Projects_Database!$U619,"Link 4"),"")</f>
        <v/>
      </c>
      <c r="AC619" s="50" t="str">
        <f>IF(CCUS_Projects_Database!$V619&lt;&gt;"",HYPERLINK(CCUS_Projects_Database!$V619,"Link 5"),"")</f>
        <v/>
      </c>
      <c r="AD619" s="50" t="str">
        <f>IF(CCUS_Projects_Database!$W619&lt;&gt;"",HYPERLINK(CCUS_Projects_Database!$W619,"Link 6"),"")</f>
        <v/>
      </c>
      <c r="AE619" s="50" t="str">
        <f>IF(CCUS_Projects_Database!$X619&lt;&gt;"",HYPERLINK(CCUS_Projects_Database!$X619,"Link 7"),"")</f>
        <v/>
      </c>
    </row>
    <row r="620" ht="15.75" customHeight="1">
      <c r="A620" s="37" t="s">
        <v>2339</v>
      </c>
      <c r="B620" s="38">
        <v>310.0</v>
      </c>
      <c r="C620" s="38" t="s">
        <v>1302</v>
      </c>
      <c r="D620" s="39" t="s">
        <v>2340</v>
      </c>
      <c r="E620" s="38" t="s">
        <v>6</v>
      </c>
      <c r="F620" s="38">
        <v>2011.0</v>
      </c>
      <c r="G620" s="38" t="s">
        <v>124</v>
      </c>
      <c r="H620" s="38">
        <v>2013.0</v>
      </c>
      <c r="I620" s="38" t="s">
        <v>124</v>
      </c>
      <c r="J620" s="38" t="s">
        <v>32</v>
      </c>
      <c r="K620" s="40" t="s">
        <v>124</v>
      </c>
      <c r="L620" s="51">
        <v>6.8</v>
      </c>
      <c r="M620" s="40">
        <v>10.6</v>
      </c>
      <c r="N620" s="38" t="s">
        <v>48</v>
      </c>
      <c r="O620" s="41" t="s">
        <v>73</v>
      </c>
      <c r="P620" s="42" t="s">
        <v>124</v>
      </c>
      <c r="Q620" s="38" t="s">
        <v>1304</v>
      </c>
      <c r="R620" s="42" t="s">
        <v>2341</v>
      </c>
      <c r="S620" s="42" t="s">
        <v>2342</v>
      </c>
      <c r="T620" s="42" t="s">
        <v>2343</v>
      </c>
      <c r="U620" s="42" t="s">
        <v>2344</v>
      </c>
      <c r="V620" s="42" t="s">
        <v>124</v>
      </c>
      <c r="W620" s="42" t="s">
        <v>124</v>
      </c>
      <c r="X620" s="42" t="s">
        <v>124</v>
      </c>
      <c r="Y620" s="43" t="str">
        <f>IF(CCUS_Projects_Database!$R620&lt;&gt;"",HYPERLINK(CCUS_Projects_Database!$R620,"Link 1"),"")</f>
        <v>Link 1</v>
      </c>
      <c r="Z620" s="43" t="str">
        <f>IF(CCUS_Projects_Database!$S620&lt;&gt;"",HYPERLINK(CCUS_Projects_Database!$S620,"Link 2"),"")</f>
        <v>Link 2</v>
      </c>
      <c r="AA620" s="43" t="str">
        <f>IF(CCUS_Projects_Database!$T620&lt;&gt;"",HYPERLINK(CCUS_Projects_Database!$T620,"Link 3"),"")</f>
        <v>Link 3</v>
      </c>
      <c r="AB620" s="43" t="str">
        <f>IF(CCUS_Projects_Database!$U620&lt;&gt;"",HYPERLINK(CCUS_Projects_Database!$U620,"Link 4"),"")</f>
        <v>Link 4</v>
      </c>
      <c r="AC620" s="43" t="str">
        <f>IF(CCUS_Projects_Database!$V620&lt;&gt;"",HYPERLINK(CCUS_Projects_Database!$V620,"Link 5"),"")</f>
        <v/>
      </c>
      <c r="AD620" s="43" t="str">
        <f>IF(CCUS_Projects_Database!$W620&lt;&gt;"",HYPERLINK(CCUS_Projects_Database!$W620,"Link 6"),"")</f>
        <v/>
      </c>
      <c r="AE620" s="43" t="str">
        <f>IF(CCUS_Projects_Database!$X620&lt;&gt;"",HYPERLINK(CCUS_Projects_Database!$X620,"Link 7"),"")</f>
        <v/>
      </c>
    </row>
    <row r="621" ht="15.75" customHeight="1">
      <c r="A621" s="44" t="s">
        <v>2345</v>
      </c>
      <c r="B621" s="45">
        <v>311.0</v>
      </c>
      <c r="C621" s="45" t="s">
        <v>493</v>
      </c>
      <c r="D621" s="46" t="s">
        <v>2346</v>
      </c>
      <c r="E621" s="45" t="s">
        <v>6</v>
      </c>
      <c r="F621" s="45">
        <v>2020.0</v>
      </c>
      <c r="G621" s="45">
        <v>2022.0</v>
      </c>
      <c r="H621" s="45">
        <v>2025.0</v>
      </c>
      <c r="I621" s="45" t="s">
        <v>124</v>
      </c>
      <c r="J621" s="45" t="s">
        <v>30</v>
      </c>
      <c r="K621" s="47" t="s">
        <v>124</v>
      </c>
      <c r="L621" s="52">
        <v>3.3</v>
      </c>
      <c r="M621" s="47">
        <v>3.3</v>
      </c>
      <c r="N621" s="45" t="s">
        <v>48</v>
      </c>
      <c r="O621" s="48" t="s">
        <v>71</v>
      </c>
      <c r="P621" s="49" t="s">
        <v>124</v>
      </c>
      <c r="Q621" s="45" t="s">
        <v>148</v>
      </c>
      <c r="R621" s="49" t="s">
        <v>2347</v>
      </c>
      <c r="S621" s="49" t="s">
        <v>2348</v>
      </c>
      <c r="T621" s="49" t="s">
        <v>2349</v>
      </c>
      <c r="U621" s="49" t="s">
        <v>2350</v>
      </c>
      <c r="V621" s="49" t="s">
        <v>2351</v>
      </c>
      <c r="W621" s="49" t="s">
        <v>2352</v>
      </c>
      <c r="X621" s="49" t="s">
        <v>2353</v>
      </c>
      <c r="Y621" s="50" t="str">
        <f>IF(CCUS_Projects_Database!$R621&lt;&gt;"",HYPERLINK(CCUS_Projects_Database!$R621,"Link 1"),"")</f>
        <v>Link 1</v>
      </c>
      <c r="Z621" s="50" t="str">
        <f>IF(CCUS_Projects_Database!$S621&lt;&gt;"",HYPERLINK(CCUS_Projects_Database!$S621,"Link 2"),"")</f>
        <v>Link 2</v>
      </c>
      <c r="AA621" s="50" t="str">
        <f>IF(CCUS_Projects_Database!$T621&lt;&gt;"",HYPERLINK(CCUS_Projects_Database!$T621,"Link 3"),"")</f>
        <v>Link 3</v>
      </c>
      <c r="AB621" s="50" t="str">
        <f>IF(CCUS_Projects_Database!$U621&lt;&gt;"",HYPERLINK(CCUS_Projects_Database!$U621,"Link 4"),"")</f>
        <v>Link 4</v>
      </c>
      <c r="AC621" s="50" t="str">
        <f>IF(CCUS_Projects_Database!$V621&lt;&gt;"",HYPERLINK(CCUS_Projects_Database!$V621,"Link 5"),"")</f>
        <v>Link 5</v>
      </c>
      <c r="AD621" s="50" t="str">
        <f>IF(CCUS_Projects_Database!$W621&lt;&gt;"",HYPERLINK(CCUS_Projects_Database!$W621,"Link 6"),"")</f>
        <v>Link 6</v>
      </c>
      <c r="AE621" s="50" t="str">
        <f>IF(CCUS_Projects_Database!$X621&lt;&gt;"",HYPERLINK(CCUS_Projects_Database!$X621,"Link 7"),"")</f>
        <v>Link 7</v>
      </c>
    </row>
    <row r="622" ht="15.75" customHeight="1">
      <c r="A622" s="37" t="s">
        <v>2354</v>
      </c>
      <c r="B622" s="38">
        <v>312.0</v>
      </c>
      <c r="C622" s="38" t="s">
        <v>157</v>
      </c>
      <c r="D622" s="39" t="s">
        <v>2355</v>
      </c>
      <c r="E622" s="38" t="s">
        <v>8</v>
      </c>
      <c r="F622" s="38">
        <v>2021.0</v>
      </c>
      <c r="G622" s="38" t="s">
        <v>124</v>
      </c>
      <c r="H622" s="38">
        <v>2028.0</v>
      </c>
      <c r="I622" s="38" t="s">
        <v>124</v>
      </c>
      <c r="J622" s="38" t="s">
        <v>28</v>
      </c>
      <c r="K622" s="40" t="s">
        <v>124</v>
      </c>
      <c r="L622" s="51">
        <v>4.0</v>
      </c>
      <c r="M622" s="40">
        <v>4.0</v>
      </c>
      <c r="N622" s="38" t="s">
        <v>54</v>
      </c>
      <c r="O622" s="41" t="s">
        <v>71</v>
      </c>
      <c r="P622" s="42" t="s">
        <v>962</v>
      </c>
      <c r="Q622" s="38" t="s">
        <v>125</v>
      </c>
      <c r="R622" s="42" t="s">
        <v>2356</v>
      </c>
      <c r="S622" s="42" t="s">
        <v>2357</v>
      </c>
      <c r="T622" s="42" t="s">
        <v>2037</v>
      </c>
      <c r="U622" s="42" t="s">
        <v>2358</v>
      </c>
      <c r="V622" s="42" t="s">
        <v>2359</v>
      </c>
      <c r="W622" s="42" t="s">
        <v>124</v>
      </c>
      <c r="X622" s="42" t="s">
        <v>124</v>
      </c>
      <c r="Y622" s="43" t="str">
        <f>IF(CCUS_Projects_Database!$R622&lt;&gt;"",HYPERLINK(CCUS_Projects_Database!$R622,"Link 1"),"")</f>
        <v>Link 1</v>
      </c>
      <c r="Z622" s="43" t="str">
        <f>IF(CCUS_Projects_Database!$S622&lt;&gt;"",HYPERLINK(CCUS_Projects_Database!$S622,"Link 2"),"")</f>
        <v>Link 2</v>
      </c>
      <c r="AA622" s="43" t="str">
        <f>IF(CCUS_Projects_Database!$T622&lt;&gt;"",HYPERLINK(CCUS_Projects_Database!$T622,"Link 3"),"")</f>
        <v>Link 3</v>
      </c>
      <c r="AB622" s="43" t="str">
        <f>IF(CCUS_Projects_Database!$U622&lt;&gt;"",HYPERLINK(CCUS_Projects_Database!$U622,"Link 4"),"")</f>
        <v>Link 4</v>
      </c>
      <c r="AC622" s="43" t="str">
        <f>IF(CCUS_Projects_Database!$V622&lt;&gt;"",HYPERLINK(CCUS_Projects_Database!$V622,"Link 5"),"")</f>
        <v>Link 5</v>
      </c>
      <c r="AD622" s="43" t="str">
        <f>IF(CCUS_Projects_Database!$W622&lt;&gt;"",HYPERLINK(CCUS_Projects_Database!$W622,"Link 6"),"")</f>
        <v/>
      </c>
      <c r="AE622" s="43" t="str">
        <f>IF(CCUS_Projects_Database!$X622&lt;&gt;"",HYPERLINK(CCUS_Projects_Database!$X622,"Link 7"),"")</f>
        <v/>
      </c>
    </row>
    <row r="623" ht="15.75" customHeight="1">
      <c r="A623" s="44" t="s">
        <v>2360</v>
      </c>
      <c r="B623" s="45">
        <v>982.0</v>
      </c>
      <c r="C623" s="45" t="s">
        <v>141</v>
      </c>
      <c r="D623" s="46" t="s">
        <v>2361</v>
      </c>
      <c r="E623" s="45" t="s">
        <v>12</v>
      </c>
      <c r="F623" s="45">
        <v>2023.0</v>
      </c>
      <c r="G623" s="45" t="s">
        <v>124</v>
      </c>
      <c r="H623" s="45" t="s">
        <v>124</v>
      </c>
      <c r="I623" s="45" t="s">
        <v>124</v>
      </c>
      <c r="J623" s="45" t="s">
        <v>28</v>
      </c>
      <c r="K623" s="47" t="s">
        <v>124</v>
      </c>
      <c r="L623" s="47"/>
      <c r="M623" s="47" t="s">
        <v>124</v>
      </c>
      <c r="N623" s="45" t="s">
        <v>12</v>
      </c>
      <c r="O623" s="48" t="s">
        <v>71</v>
      </c>
      <c r="P623" s="49" t="s">
        <v>2360</v>
      </c>
      <c r="Q623" s="45" t="s">
        <v>143</v>
      </c>
      <c r="R623" s="49" t="s">
        <v>155</v>
      </c>
      <c r="S623" s="49" t="s">
        <v>124</v>
      </c>
      <c r="T623" s="49" t="s">
        <v>124</v>
      </c>
      <c r="U623" s="49" t="s">
        <v>124</v>
      </c>
      <c r="V623" s="49" t="s">
        <v>124</v>
      </c>
      <c r="W623" s="49" t="s">
        <v>124</v>
      </c>
      <c r="X623" s="49" t="s">
        <v>124</v>
      </c>
      <c r="Y623" s="50" t="str">
        <f>IF(CCUS_Projects_Database!$R623&lt;&gt;"",HYPERLINK(CCUS_Projects_Database!$R623,"Link 1"),"")</f>
        <v>Link 1</v>
      </c>
      <c r="Z623" s="50" t="str">
        <f>IF(CCUS_Projects_Database!$S623&lt;&gt;"",HYPERLINK(CCUS_Projects_Database!$S623,"Link 2"),"")</f>
        <v/>
      </c>
      <c r="AA623" s="50" t="str">
        <f>IF(CCUS_Projects_Database!$T623&lt;&gt;"",HYPERLINK(CCUS_Projects_Database!$T623,"Link 3"),"")</f>
        <v/>
      </c>
      <c r="AB623" s="50" t="str">
        <f>IF(CCUS_Projects_Database!$U623&lt;&gt;"",HYPERLINK(CCUS_Projects_Database!$U623,"Link 4"),"")</f>
        <v/>
      </c>
      <c r="AC623" s="50" t="str">
        <f>IF(CCUS_Projects_Database!$V623&lt;&gt;"",HYPERLINK(CCUS_Projects_Database!$V623,"Link 5"),"")</f>
        <v/>
      </c>
      <c r="AD623" s="50" t="str">
        <f>IF(CCUS_Projects_Database!$W623&lt;&gt;"",HYPERLINK(CCUS_Projects_Database!$W623,"Link 6"),"")</f>
        <v/>
      </c>
      <c r="AE623" s="50" t="str">
        <f>IF(CCUS_Projects_Database!$X623&lt;&gt;"",HYPERLINK(CCUS_Projects_Database!$X623,"Link 7"),"")</f>
        <v/>
      </c>
    </row>
    <row r="624" ht="15.75" customHeight="1">
      <c r="A624" s="37" t="s">
        <v>2362</v>
      </c>
      <c r="B624" s="38">
        <v>313.0</v>
      </c>
      <c r="C624" s="38" t="s">
        <v>239</v>
      </c>
      <c r="D624" s="39" t="s">
        <v>2363</v>
      </c>
      <c r="E624" s="38" t="s">
        <v>6</v>
      </c>
      <c r="F624" s="38">
        <v>2021.0</v>
      </c>
      <c r="G624" s="38" t="s">
        <v>124</v>
      </c>
      <c r="H624" s="38" t="s">
        <v>124</v>
      </c>
      <c r="I624" s="38" t="s">
        <v>124</v>
      </c>
      <c r="J624" s="38" t="s">
        <v>28</v>
      </c>
      <c r="K624" s="40">
        <v>1.0</v>
      </c>
      <c r="L624" s="51">
        <v>1.0</v>
      </c>
      <c r="M624" s="40">
        <v>1.0</v>
      </c>
      <c r="N624" s="38" t="s">
        <v>46</v>
      </c>
      <c r="O624" s="41" t="s">
        <v>71</v>
      </c>
      <c r="P624" s="42" t="s">
        <v>124</v>
      </c>
      <c r="Q624" s="38" t="s">
        <v>143</v>
      </c>
      <c r="R624" s="42" t="s">
        <v>2364</v>
      </c>
      <c r="S624" s="42" t="s">
        <v>2365</v>
      </c>
      <c r="T624" s="42" t="s">
        <v>124</v>
      </c>
      <c r="U624" s="42" t="s">
        <v>124</v>
      </c>
      <c r="V624" s="42" t="s">
        <v>124</v>
      </c>
      <c r="W624" s="42" t="s">
        <v>124</v>
      </c>
      <c r="X624" s="42" t="s">
        <v>124</v>
      </c>
      <c r="Y624" s="43" t="str">
        <f>IF(CCUS_Projects_Database!$R624&lt;&gt;"",HYPERLINK(CCUS_Projects_Database!$R624,"Link 1"),"")</f>
        <v>Link 1</v>
      </c>
      <c r="Z624" s="43" t="str">
        <f>IF(CCUS_Projects_Database!$S624&lt;&gt;"",HYPERLINK(CCUS_Projects_Database!$S624,"Link 2"),"")</f>
        <v>Link 2</v>
      </c>
      <c r="AA624" s="43" t="str">
        <f>IF(CCUS_Projects_Database!$T624&lt;&gt;"",HYPERLINK(CCUS_Projects_Database!$T624,"Link 3"),"")</f>
        <v/>
      </c>
      <c r="AB624" s="43" t="str">
        <f>IF(CCUS_Projects_Database!$U624&lt;&gt;"",HYPERLINK(CCUS_Projects_Database!$U624,"Link 4"),"")</f>
        <v/>
      </c>
      <c r="AC624" s="43" t="str">
        <f>IF(CCUS_Projects_Database!$V624&lt;&gt;"",HYPERLINK(CCUS_Projects_Database!$V624,"Link 5"),"")</f>
        <v/>
      </c>
      <c r="AD624" s="43" t="str">
        <f>IF(CCUS_Projects_Database!$W624&lt;&gt;"",HYPERLINK(CCUS_Projects_Database!$W624,"Link 6"),"")</f>
        <v/>
      </c>
      <c r="AE624" s="43" t="str">
        <f>IF(CCUS_Projects_Database!$X624&lt;&gt;"",HYPERLINK(CCUS_Projects_Database!$X624,"Link 7"),"")</f>
        <v/>
      </c>
    </row>
    <row r="625" ht="15.75" customHeight="1">
      <c r="A625" s="44" t="s">
        <v>2366</v>
      </c>
      <c r="B625" s="45">
        <v>314.0</v>
      </c>
      <c r="C625" s="45" t="s">
        <v>239</v>
      </c>
      <c r="D625" s="46" t="s">
        <v>2363</v>
      </c>
      <c r="E625" s="45" t="s">
        <v>6</v>
      </c>
      <c r="F625" s="45">
        <v>2021.0</v>
      </c>
      <c r="G625" s="45" t="s">
        <v>124</v>
      </c>
      <c r="H625" s="45" t="s">
        <v>124</v>
      </c>
      <c r="I625" s="45" t="s">
        <v>124</v>
      </c>
      <c r="J625" s="45" t="s">
        <v>28</v>
      </c>
      <c r="K625" s="47">
        <v>2.0</v>
      </c>
      <c r="L625" s="52">
        <v>2.0</v>
      </c>
      <c r="M625" s="47">
        <v>2.0</v>
      </c>
      <c r="N625" s="45" t="s">
        <v>46</v>
      </c>
      <c r="O625" s="48" t="s">
        <v>71</v>
      </c>
      <c r="P625" s="49" t="s">
        <v>124</v>
      </c>
      <c r="Q625" s="45" t="s">
        <v>143</v>
      </c>
      <c r="R625" s="49" t="s">
        <v>2364</v>
      </c>
      <c r="S625" s="49" t="s">
        <v>2365</v>
      </c>
      <c r="T625" s="49" t="s">
        <v>124</v>
      </c>
      <c r="U625" s="49" t="s">
        <v>124</v>
      </c>
      <c r="V625" s="49" t="s">
        <v>124</v>
      </c>
      <c r="W625" s="49" t="s">
        <v>124</v>
      </c>
      <c r="X625" s="49" t="s">
        <v>124</v>
      </c>
      <c r="Y625" s="50" t="str">
        <f>IF(CCUS_Projects_Database!$R625&lt;&gt;"",HYPERLINK(CCUS_Projects_Database!$R625,"Link 1"),"")</f>
        <v>Link 1</v>
      </c>
      <c r="Z625" s="50" t="str">
        <f>IF(CCUS_Projects_Database!$S625&lt;&gt;"",HYPERLINK(CCUS_Projects_Database!$S625,"Link 2"),"")</f>
        <v>Link 2</v>
      </c>
      <c r="AA625" s="50" t="str">
        <f>IF(CCUS_Projects_Database!$T625&lt;&gt;"",HYPERLINK(CCUS_Projects_Database!$T625,"Link 3"),"")</f>
        <v/>
      </c>
      <c r="AB625" s="50" t="str">
        <f>IF(CCUS_Projects_Database!$U625&lt;&gt;"",HYPERLINK(CCUS_Projects_Database!$U625,"Link 4"),"")</f>
        <v/>
      </c>
      <c r="AC625" s="50" t="str">
        <f>IF(CCUS_Projects_Database!$V625&lt;&gt;"",HYPERLINK(CCUS_Projects_Database!$V625,"Link 5"),"")</f>
        <v/>
      </c>
      <c r="AD625" s="50" t="str">
        <f>IF(CCUS_Projects_Database!$W625&lt;&gt;"",HYPERLINK(CCUS_Projects_Database!$W625,"Link 6"),"")</f>
        <v/>
      </c>
      <c r="AE625" s="50" t="str">
        <f>IF(CCUS_Projects_Database!$X625&lt;&gt;"",HYPERLINK(CCUS_Projects_Database!$X625,"Link 7"),"")</f>
        <v/>
      </c>
    </row>
    <row r="626" ht="15.75" customHeight="1">
      <c r="A626" s="37" t="s">
        <v>2367</v>
      </c>
      <c r="B626" s="38">
        <v>508.0</v>
      </c>
      <c r="C626" s="38" t="s">
        <v>239</v>
      </c>
      <c r="D626" s="39" t="s">
        <v>2368</v>
      </c>
      <c r="E626" s="38" t="s">
        <v>12</v>
      </c>
      <c r="F626" s="38">
        <v>2022.0</v>
      </c>
      <c r="G626" s="38" t="s">
        <v>124</v>
      </c>
      <c r="H626" s="38" t="s">
        <v>124</v>
      </c>
      <c r="I626" s="38" t="s">
        <v>124</v>
      </c>
      <c r="J626" s="38" t="s">
        <v>28</v>
      </c>
      <c r="K626" s="40" t="s">
        <v>124</v>
      </c>
      <c r="L626" s="51">
        <v>2.7</v>
      </c>
      <c r="M626" s="40">
        <v>2.7</v>
      </c>
      <c r="N626" s="38" t="s">
        <v>12</v>
      </c>
      <c r="O626" s="41" t="s">
        <v>71</v>
      </c>
      <c r="P626" s="42" t="s">
        <v>2367</v>
      </c>
      <c r="Q626" s="38" t="s">
        <v>143</v>
      </c>
      <c r="R626" s="42" t="s">
        <v>464</v>
      </c>
      <c r="S626" s="42" t="s">
        <v>2369</v>
      </c>
      <c r="T626" s="42" t="s">
        <v>124</v>
      </c>
      <c r="U626" s="42" t="s">
        <v>124</v>
      </c>
      <c r="V626" s="42" t="s">
        <v>124</v>
      </c>
      <c r="W626" s="42" t="s">
        <v>124</v>
      </c>
      <c r="X626" s="42" t="s">
        <v>124</v>
      </c>
      <c r="Y626" s="43" t="str">
        <f>IF(CCUS_Projects_Database!$R626&lt;&gt;"",HYPERLINK(CCUS_Projects_Database!$R626,"Link 1"),"")</f>
        <v>Link 1</v>
      </c>
      <c r="Z626" s="43" t="str">
        <f>IF(CCUS_Projects_Database!$S626&lt;&gt;"",HYPERLINK(CCUS_Projects_Database!$S626,"Link 2"),"")</f>
        <v>Link 2</v>
      </c>
      <c r="AA626" s="43" t="str">
        <f>IF(CCUS_Projects_Database!$T626&lt;&gt;"",HYPERLINK(CCUS_Projects_Database!$T626,"Link 3"),"")</f>
        <v/>
      </c>
      <c r="AB626" s="43" t="str">
        <f>IF(CCUS_Projects_Database!$U626&lt;&gt;"",HYPERLINK(CCUS_Projects_Database!$U626,"Link 4"),"")</f>
        <v/>
      </c>
      <c r="AC626" s="43" t="str">
        <f>IF(CCUS_Projects_Database!$V626&lt;&gt;"",HYPERLINK(CCUS_Projects_Database!$V626,"Link 5"),"")</f>
        <v/>
      </c>
      <c r="AD626" s="43" t="str">
        <f>IF(CCUS_Projects_Database!$W626&lt;&gt;"",HYPERLINK(CCUS_Projects_Database!$W626,"Link 6"),"")</f>
        <v/>
      </c>
      <c r="AE626" s="43" t="str">
        <f>IF(CCUS_Projects_Database!$X626&lt;&gt;"",HYPERLINK(CCUS_Projects_Database!$X626,"Link 7"),"")</f>
        <v/>
      </c>
    </row>
    <row r="627" ht="15.75" customHeight="1">
      <c r="A627" s="44" t="s">
        <v>2370</v>
      </c>
      <c r="B627" s="45">
        <v>315.0</v>
      </c>
      <c r="C627" s="45" t="s">
        <v>141</v>
      </c>
      <c r="D627" s="46" t="s">
        <v>2371</v>
      </c>
      <c r="E627" s="45" t="s">
        <v>8</v>
      </c>
      <c r="F627" s="45">
        <v>2021.0</v>
      </c>
      <c r="G627" s="45">
        <v>2024.0</v>
      </c>
      <c r="H627" s="45">
        <v>2024.0</v>
      </c>
      <c r="I627" s="45" t="s">
        <v>124</v>
      </c>
      <c r="J627" s="45" t="s">
        <v>28</v>
      </c>
      <c r="K627" s="47" t="s">
        <v>124</v>
      </c>
      <c r="L627" s="52">
        <v>0.21</v>
      </c>
      <c r="M627" s="47">
        <v>0.229</v>
      </c>
      <c r="N627" s="45" t="s">
        <v>50</v>
      </c>
      <c r="O627" s="48" t="s">
        <v>71</v>
      </c>
      <c r="P627" s="49" t="s">
        <v>567</v>
      </c>
      <c r="Q627" s="45" t="s">
        <v>143</v>
      </c>
      <c r="R627" s="49" t="s">
        <v>945</v>
      </c>
      <c r="S627" s="49" t="s">
        <v>946</v>
      </c>
      <c r="T627" s="49" t="s">
        <v>947</v>
      </c>
      <c r="U627" s="49" t="s">
        <v>124</v>
      </c>
      <c r="V627" s="49" t="s">
        <v>124</v>
      </c>
      <c r="W627" s="49" t="s">
        <v>124</v>
      </c>
      <c r="X627" s="49" t="s">
        <v>124</v>
      </c>
      <c r="Y627" s="50" t="str">
        <f>IF(CCUS_Projects_Database!$R627&lt;&gt;"",HYPERLINK(CCUS_Projects_Database!$R627,"Link 1"),"")</f>
        <v>Link 1</v>
      </c>
      <c r="Z627" s="50" t="str">
        <f>IF(CCUS_Projects_Database!$S627&lt;&gt;"",HYPERLINK(CCUS_Projects_Database!$S627,"Link 2"),"")</f>
        <v>Link 2</v>
      </c>
      <c r="AA627" s="50" t="str">
        <f>IF(CCUS_Projects_Database!$T627&lt;&gt;"",HYPERLINK(CCUS_Projects_Database!$T627,"Link 3"),"")</f>
        <v>Link 3</v>
      </c>
      <c r="AB627" s="50" t="str">
        <f>IF(CCUS_Projects_Database!$U627&lt;&gt;"",HYPERLINK(CCUS_Projects_Database!$U627,"Link 4"),"")</f>
        <v/>
      </c>
      <c r="AC627" s="50" t="str">
        <f>IF(CCUS_Projects_Database!$V627&lt;&gt;"",HYPERLINK(CCUS_Projects_Database!$V627,"Link 5"),"")</f>
        <v/>
      </c>
      <c r="AD627" s="50" t="str">
        <f>IF(CCUS_Projects_Database!$W627&lt;&gt;"",HYPERLINK(CCUS_Projects_Database!$W627,"Link 6"),"")</f>
        <v/>
      </c>
      <c r="AE627" s="50" t="str">
        <f>IF(CCUS_Projects_Database!$X627&lt;&gt;"",HYPERLINK(CCUS_Projects_Database!$X627,"Link 7"),"")</f>
        <v/>
      </c>
    </row>
    <row r="628" ht="15.75" customHeight="1">
      <c r="A628" s="37" t="s">
        <v>2372</v>
      </c>
      <c r="B628" s="38">
        <v>1049.0</v>
      </c>
      <c r="C628" s="38" t="s">
        <v>141</v>
      </c>
      <c r="D628" s="39" t="s">
        <v>2373</v>
      </c>
      <c r="E628" s="38" t="s">
        <v>12</v>
      </c>
      <c r="F628" s="38">
        <v>2023.0</v>
      </c>
      <c r="G628" s="38" t="s">
        <v>124</v>
      </c>
      <c r="H628" s="38" t="s">
        <v>124</v>
      </c>
      <c r="I628" s="38" t="s">
        <v>124</v>
      </c>
      <c r="J628" s="38" t="s">
        <v>28</v>
      </c>
      <c r="K628" s="40" t="s">
        <v>124</v>
      </c>
      <c r="L628" s="40"/>
      <c r="M628" s="40" t="s">
        <v>124</v>
      </c>
      <c r="N628" s="38" t="s">
        <v>12</v>
      </c>
      <c r="O628" s="41" t="s">
        <v>71</v>
      </c>
      <c r="P628" s="42" t="s">
        <v>2372</v>
      </c>
      <c r="Q628" s="38" t="s">
        <v>143</v>
      </c>
      <c r="R628" s="42" t="s">
        <v>194</v>
      </c>
      <c r="S628" s="42" t="s">
        <v>124</v>
      </c>
      <c r="T628" s="42" t="s">
        <v>124</v>
      </c>
      <c r="U628" s="42" t="s">
        <v>124</v>
      </c>
      <c r="V628" s="42" t="s">
        <v>124</v>
      </c>
      <c r="W628" s="42" t="s">
        <v>124</v>
      </c>
      <c r="X628" s="42" t="s">
        <v>124</v>
      </c>
      <c r="Y628" s="43" t="str">
        <f>IF(CCUS_Projects_Database!$R628&lt;&gt;"",HYPERLINK(CCUS_Projects_Database!$R628,"Link 1"),"")</f>
        <v>Link 1</v>
      </c>
      <c r="Z628" s="43" t="str">
        <f>IF(CCUS_Projects_Database!$S628&lt;&gt;"",HYPERLINK(CCUS_Projects_Database!$S628,"Link 2"),"")</f>
        <v/>
      </c>
      <c r="AA628" s="43" t="str">
        <f>IF(CCUS_Projects_Database!$T628&lt;&gt;"",HYPERLINK(CCUS_Projects_Database!$T628,"Link 3"),"")</f>
        <v/>
      </c>
      <c r="AB628" s="43" t="str">
        <f>IF(CCUS_Projects_Database!$U628&lt;&gt;"",HYPERLINK(CCUS_Projects_Database!$U628,"Link 4"),"")</f>
        <v/>
      </c>
      <c r="AC628" s="43" t="str">
        <f>IF(CCUS_Projects_Database!$V628&lt;&gt;"",HYPERLINK(CCUS_Projects_Database!$V628,"Link 5"),"")</f>
        <v/>
      </c>
      <c r="AD628" s="43" t="str">
        <f>IF(CCUS_Projects_Database!$W628&lt;&gt;"",HYPERLINK(CCUS_Projects_Database!$W628,"Link 6"),"")</f>
        <v/>
      </c>
      <c r="AE628" s="43" t="str">
        <f>IF(CCUS_Projects_Database!$X628&lt;&gt;"",HYPERLINK(CCUS_Projects_Database!$X628,"Link 7"),"")</f>
        <v/>
      </c>
    </row>
    <row r="629" ht="15.75" customHeight="1">
      <c r="A629" s="44" t="s">
        <v>2374</v>
      </c>
      <c r="B629" s="45">
        <v>316.0</v>
      </c>
      <c r="C629" s="45" t="s">
        <v>141</v>
      </c>
      <c r="D629" s="46" t="s">
        <v>2375</v>
      </c>
      <c r="E629" s="45" t="s">
        <v>8</v>
      </c>
      <c r="F629" s="45">
        <v>2019.0</v>
      </c>
      <c r="G629" s="45" t="s">
        <v>124</v>
      </c>
      <c r="H629" s="45">
        <v>2025.0</v>
      </c>
      <c r="I629" s="45" t="s">
        <v>124</v>
      </c>
      <c r="J629" s="45" t="s">
        <v>28</v>
      </c>
      <c r="K629" s="47" t="s">
        <v>124</v>
      </c>
      <c r="L629" s="52">
        <v>1.8</v>
      </c>
      <c r="M629" s="47">
        <v>1.8</v>
      </c>
      <c r="N629" s="45" t="s">
        <v>46</v>
      </c>
      <c r="O629" s="48" t="s">
        <v>71</v>
      </c>
      <c r="P629" s="49" t="s">
        <v>1135</v>
      </c>
      <c r="Q629" s="45" t="s">
        <v>143</v>
      </c>
      <c r="R629" s="49" t="s">
        <v>637</v>
      </c>
      <c r="S629" s="49" t="s">
        <v>2376</v>
      </c>
      <c r="T629" s="49" t="s">
        <v>124</v>
      </c>
      <c r="U629" s="49" t="s">
        <v>124</v>
      </c>
      <c r="V629" s="49" t="s">
        <v>124</v>
      </c>
      <c r="W629" s="49" t="s">
        <v>124</v>
      </c>
      <c r="X629" s="49" t="s">
        <v>124</v>
      </c>
      <c r="Y629" s="50" t="str">
        <f>IF(CCUS_Projects_Database!$R629&lt;&gt;"",HYPERLINK(CCUS_Projects_Database!$R629,"Link 1"),"")</f>
        <v>Link 1</v>
      </c>
      <c r="Z629" s="50" t="str">
        <f>IF(CCUS_Projects_Database!$S629&lt;&gt;"",HYPERLINK(CCUS_Projects_Database!$S629,"Link 2"),"")</f>
        <v>Link 2</v>
      </c>
      <c r="AA629" s="50" t="str">
        <f>IF(CCUS_Projects_Database!$T629&lt;&gt;"",HYPERLINK(CCUS_Projects_Database!$T629,"Link 3"),"")</f>
        <v/>
      </c>
      <c r="AB629" s="50" t="str">
        <f>IF(CCUS_Projects_Database!$U629&lt;&gt;"",HYPERLINK(CCUS_Projects_Database!$U629,"Link 4"),"")</f>
        <v/>
      </c>
      <c r="AC629" s="50" t="str">
        <f>IF(CCUS_Projects_Database!$V629&lt;&gt;"",HYPERLINK(CCUS_Projects_Database!$V629,"Link 5"),"")</f>
        <v/>
      </c>
      <c r="AD629" s="50" t="str">
        <f>IF(CCUS_Projects_Database!$W629&lt;&gt;"",HYPERLINK(CCUS_Projects_Database!$W629,"Link 6"),"")</f>
        <v/>
      </c>
      <c r="AE629" s="50" t="str">
        <f>IF(CCUS_Projects_Database!$X629&lt;&gt;"",HYPERLINK(CCUS_Projects_Database!$X629,"Link 7"),"")</f>
        <v/>
      </c>
    </row>
    <row r="630" ht="15.75" customHeight="1">
      <c r="A630" s="37" t="s">
        <v>2377</v>
      </c>
      <c r="B630" s="38">
        <v>1034.0</v>
      </c>
      <c r="C630" s="38" t="s">
        <v>1388</v>
      </c>
      <c r="D630" s="39" t="s">
        <v>2378</v>
      </c>
      <c r="E630" s="38" t="s">
        <v>8</v>
      </c>
      <c r="F630" s="38">
        <v>2023.0</v>
      </c>
      <c r="G630" s="38" t="s">
        <v>124</v>
      </c>
      <c r="H630" s="38">
        <v>2027.0</v>
      </c>
      <c r="I630" s="38" t="s">
        <v>124</v>
      </c>
      <c r="J630" s="38" t="s">
        <v>28</v>
      </c>
      <c r="K630" s="40" t="s">
        <v>124</v>
      </c>
      <c r="L630" s="51">
        <v>1.0</v>
      </c>
      <c r="M630" s="40">
        <v>1.0</v>
      </c>
      <c r="N630" s="38" t="s">
        <v>60</v>
      </c>
      <c r="O630" s="41" t="s">
        <v>71</v>
      </c>
      <c r="P630" s="42" t="s">
        <v>1125</v>
      </c>
      <c r="Q630" s="38" t="s">
        <v>125</v>
      </c>
      <c r="R630" s="42" t="s">
        <v>1123</v>
      </c>
      <c r="S630" s="42" t="s">
        <v>124</v>
      </c>
      <c r="T630" s="42" t="s">
        <v>124</v>
      </c>
      <c r="U630" s="42" t="s">
        <v>124</v>
      </c>
      <c r="V630" s="42" t="s">
        <v>124</v>
      </c>
      <c r="W630" s="42" t="s">
        <v>124</v>
      </c>
      <c r="X630" s="42" t="s">
        <v>124</v>
      </c>
      <c r="Y630" s="43" t="str">
        <f>IF(CCUS_Projects_Database!$R630&lt;&gt;"",HYPERLINK(CCUS_Projects_Database!$R630,"Link 1"),"")</f>
        <v>Link 1</v>
      </c>
      <c r="Z630" s="43" t="str">
        <f>IF(CCUS_Projects_Database!$S630&lt;&gt;"",HYPERLINK(CCUS_Projects_Database!$S630,"Link 2"),"")</f>
        <v/>
      </c>
      <c r="AA630" s="43" t="str">
        <f>IF(CCUS_Projects_Database!$T630&lt;&gt;"",HYPERLINK(CCUS_Projects_Database!$T630,"Link 3"),"")</f>
        <v/>
      </c>
      <c r="AB630" s="43" t="str">
        <f>IF(CCUS_Projects_Database!$U630&lt;&gt;"",HYPERLINK(CCUS_Projects_Database!$U630,"Link 4"),"")</f>
        <v/>
      </c>
      <c r="AC630" s="43" t="str">
        <f>IF(CCUS_Projects_Database!$V630&lt;&gt;"",HYPERLINK(CCUS_Projects_Database!$V630,"Link 5"),"")</f>
        <v/>
      </c>
      <c r="AD630" s="43" t="str">
        <f>IF(CCUS_Projects_Database!$W630&lt;&gt;"",HYPERLINK(CCUS_Projects_Database!$W630,"Link 6"),"")</f>
        <v/>
      </c>
      <c r="AE630" s="43" t="str">
        <f>IF(CCUS_Projects_Database!$X630&lt;&gt;"",HYPERLINK(CCUS_Projects_Database!$X630,"Link 7"),"")</f>
        <v/>
      </c>
    </row>
    <row r="631" ht="15.75" customHeight="1">
      <c r="A631" s="44" t="s">
        <v>2379</v>
      </c>
      <c r="B631" s="45">
        <v>317.0</v>
      </c>
      <c r="C631" s="45" t="s">
        <v>141</v>
      </c>
      <c r="D631" s="46" t="s">
        <v>2380</v>
      </c>
      <c r="E631" s="45" t="s">
        <v>8</v>
      </c>
      <c r="F631" s="45">
        <v>2021.0</v>
      </c>
      <c r="G631" s="45">
        <v>2024.0</v>
      </c>
      <c r="H631" s="45">
        <v>2024.0</v>
      </c>
      <c r="I631" s="45" t="s">
        <v>124</v>
      </c>
      <c r="J631" s="45" t="s">
        <v>28</v>
      </c>
      <c r="K631" s="47" t="s">
        <v>124</v>
      </c>
      <c r="L631" s="52">
        <v>0.145</v>
      </c>
      <c r="M631" s="47">
        <v>0.157</v>
      </c>
      <c r="N631" s="45" t="s">
        <v>50</v>
      </c>
      <c r="O631" s="48" t="s">
        <v>71</v>
      </c>
      <c r="P631" s="49" t="s">
        <v>567</v>
      </c>
      <c r="Q631" s="45" t="s">
        <v>143</v>
      </c>
      <c r="R631" s="49" t="s">
        <v>945</v>
      </c>
      <c r="S631" s="49" t="s">
        <v>946</v>
      </c>
      <c r="T631" s="49" t="s">
        <v>947</v>
      </c>
      <c r="U631" s="49" t="s">
        <v>124</v>
      </c>
      <c r="V631" s="49" t="s">
        <v>124</v>
      </c>
      <c r="W631" s="49" t="s">
        <v>124</v>
      </c>
      <c r="X631" s="49" t="s">
        <v>124</v>
      </c>
      <c r="Y631" s="50" t="str">
        <f>IF(CCUS_Projects_Database!$R631&lt;&gt;"",HYPERLINK(CCUS_Projects_Database!$R631,"Link 1"),"")</f>
        <v>Link 1</v>
      </c>
      <c r="Z631" s="50" t="str">
        <f>IF(CCUS_Projects_Database!$S631&lt;&gt;"",HYPERLINK(CCUS_Projects_Database!$S631,"Link 2"),"")</f>
        <v>Link 2</v>
      </c>
      <c r="AA631" s="50" t="str">
        <f>IF(CCUS_Projects_Database!$T631&lt;&gt;"",HYPERLINK(CCUS_Projects_Database!$T631,"Link 3"),"")</f>
        <v>Link 3</v>
      </c>
      <c r="AB631" s="50" t="str">
        <f>IF(CCUS_Projects_Database!$U631&lt;&gt;"",HYPERLINK(CCUS_Projects_Database!$U631,"Link 4"),"")</f>
        <v/>
      </c>
      <c r="AC631" s="50" t="str">
        <f>IF(CCUS_Projects_Database!$V631&lt;&gt;"",HYPERLINK(CCUS_Projects_Database!$V631,"Link 5"),"")</f>
        <v/>
      </c>
      <c r="AD631" s="50" t="str">
        <f>IF(CCUS_Projects_Database!$W631&lt;&gt;"",HYPERLINK(CCUS_Projects_Database!$W631,"Link 6"),"")</f>
        <v/>
      </c>
      <c r="AE631" s="50" t="str">
        <f>IF(CCUS_Projects_Database!$X631&lt;&gt;"",HYPERLINK(CCUS_Projects_Database!$X631,"Link 7"),"")</f>
        <v/>
      </c>
    </row>
    <row r="632" ht="15.75" customHeight="1">
      <c r="A632" s="37" t="s">
        <v>2381</v>
      </c>
      <c r="B632" s="38">
        <v>318.0</v>
      </c>
      <c r="C632" s="38" t="s">
        <v>141</v>
      </c>
      <c r="D632" s="39" t="s">
        <v>2382</v>
      </c>
      <c r="E632" s="38" t="s">
        <v>8</v>
      </c>
      <c r="F632" s="38">
        <v>2021.0</v>
      </c>
      <c r="G632" s="38" t="s">
        <v>124</v>
      </c>
      <c r="H632" s="38">
        <v>2025.0</v>
      </c>
      <c r="I632" s="38" t="s">
        <v>124</v>
      </c>
      <c r="J632" s="38" t="s">
        <v>28</v>
      </c>
      <c r="K632" s="40" t="s">
        <v>124</v>
      </c>
      <c r="L632" s="51">
        <v>5.0</v>
      </c>
      <c r="M632" s="40">
        <v>5.0</v>
      </c>
      <c r="N632" s="38" t="s">
        <v>50</v>
      </c>
      <c r="O632" s="41" t="s">
        <v>71</v>
      </c>
      <c r="P632" s="42" t="s">
        <v>567</v>
      </c>
      <c r="Q632" s="38" t="s">
        <v>143</v>
      </c>
      <c r="R632" s="42" t="s">
        <v>2383</v>
      </c>
      <c r="S632" s="42" t="s">
        <v>2384</v>
      </c>
      <c r="T632" s="42" t="s">
        <v>124</v>
      </c>
      <c r="U632" s="42" t="s">
        <v>124</v>
      </c>
      <c r="V632" s="42" t="s">
        <v>124</v>
      </c>
      <c r="W632" s="42" t="s">
        <v>124</v>
      </c>
      <c r="X632" s="42" t="s">
        <v>124</v>
      </c>
      <c r="Y632" s="43" t="str">
        <f>IF(CCUS_Projects_Database!$R632&lt;&gt;"",HYPERLINK(CCUS_Projects_Database!$R632,"Link 1"),"")</f>
        <v>Link 1</v>
      </c>
      <c r="Z632" s="43" t="str">
        <f>IF(CCUS_Projects_Database!$S632&lt;&gt;"",HYPERLINK(CCUS_Projects_Database!$S632,"Link 2"),"")</f>
        <v>Link 2</v>
      </c>
      <c r="AA632" s="43" t="str">
        <f>IF(CCUS_Projects_Database!$T632&lt;&gt;"",HYPERLINK(CCUS_Projects_Database!$T632,"Link 3"),"")</f>
        <v/>
      </c>
      <c r="AB632" s="43" t="str">
        <f>IF(CCUS_Projects_Database!$U632&lt;&gt;"",HYPERLINK(CCUS_Projects_Database!$U632,"Link 4"),"")</f>
        <v/>
      </c>
      <c r="AC632" s="43" t="str">
        <f>IF(CCUS_Projects_Database!$V632&lt;&gt;"",HYPERLINK(CCUS_Projects_Database!$V632,"Link 5"),"")</f>
        <v/>
      </c>
      <c r="AD632" s="43" t="str">
        <f>IF(CCUS_Projects_Database!$W632&lt;&gt;"",HYPERLINK(CCUS_Projects_Database!$W632,"Link 6"),"")</f>
        <v/>
      </c>
      <c r="AE632" s="43" t="str">
        <f>IF(CCUS_Projects_Database!$X632&lt;&gt;"",HYPERLINK(CCUS_Projects_Database!$X632,"Link 7"),"")</f>
        <v/>
      </c>
    </row>
    <row r="633" ht="15.75" customHeight="1">
      <c r="A633" s="44" t="s">
        <v>2385</v>
      </c>
      <c r="B633" s="45">
        <v>322.0</v>
      </c>
      <c r="C633" s="45" t="s">
        <v>284</v>
      </c>
      <c r="D633" s="46" t="s">
        <v>2386</v>
      </c>
      <c r="E633" s="45" t="s">
        <v>12</v>
      </c>
      <c r="F633" s="45">
        <v>2021.0</v>
      </c>
      <c r="G633" s="45">
        <v>2024.0</v>
      </c>
      <c r="H633" s="45">
        <v>2028.0</v>
      </c>
      <c r="I633" s="45" t="s">
        <v>124</v>
      </c>
      <c r="J633" s="45" t="s">
        <v>28</v>
      </c>
      <c r="K633" s="47" t="s">
        <v>124</v>
      </c>
      <c r="L633" s="52">
        <v>6.0</v>
      </c>
      <c r="M633" s="47">
        <v>8.0</v>
      </c>
      <c r="N633" s="45" t="s">
        <v>12</v>
      </c>
      <c r="O633" s="48" t="s">
        <v>71</v>
      </c>
      <c r="P633" s="49" t="s">
        <v>2385</v>
      </c>
      <c r="Q633" s="45" t="s">
        <v>125</v>
      </c>
      <c r="R633" s="49" t="s">
        <v>2387</v>
      </c>
      <c r="S633" s="49" t="s">
        <v>2388</v>
      </c>
      <c r="T633" s="49" t="s">
        <v>2389</v>
      </c>
      <c r="U633" s="49" t="s">
        <v>2390</v>
      </c>
      <c r="V633" s="49" t="s">
        <v>2391</v>
      </c>
      <c r="W633" s="49" t="s">
        <v>124</v>
      </c>
      <c r="X633" s="49" t="s">
        <v>124</v>
      </c>
      <c r="Y633" s="50" t="str">
        <f>IF(CCUS_Projects_Database!$R633&lt;&gt;"",HYPERLINK(CCUS_Projects_Database!$R633,"Link 1"),"")</f>
        <v>Link 1</v>
      </c>
      <c r="Z633" s="50" t="str">
        <f>IF(CCUS_Projects_Database!$S633&lt;&gt;"",HYPERLINK(CCUS_Projects_Database!$S633,"Link 2"),"")</f>
        <v>Link 2</v>
      </c>
      <c r="AA633" s="50" t="str">
        <f>IF(CCUS_Projects_Database!$T633&lt;&gt;"",HYPERLINK(CCUS_Projects_Database!$T633,"Link 3"),"")</f>
        <v>Link 3</v>
      </c>
      <c r="AB633" s="50" t="str">
        <f>IF(CCUS_Projects_Database!$U633&lt;&gt;"",HYPERLINK(CCUS_Projects_Database!$U633,"Link 4"),"")</f>
        <v>Link 4</v>
      </c>
      <c r="AC633" s="50" t="str">
        <f>IF(CCUS_Projects_Database!$V633&lt;&gt;"",HYPERLINK(CCUS_Projects_Database!$V633,"Link 5"),"")</f>
        <v>Link 5</v>
      </c>
      <c r="AD633" s="50" t="str">
        <f>IF(CCUS_Projects_Database!$W633&lt;&gt;"",HYPERLINK(CCUS_Projects_Database!$W633,"Link 6"),"")</f>
        <v/>
      </c>
      <c r="AE633" s="50" t="str">
        <f>IF(CCUS_Projects_Database!$X633&lt;&gt;"",HYPERLINK(CCUS_Projects_Database!$X633,"Link 7"),"")</f>
        <v/>
      </c>
    </row>
    <row r="634" ht="15.75" customHeight="1">
      <c r="A634" s="37" t="s">
        <v>2392</v>
      </c>
      <c r="B634" s="38">
        <v>1021.0</v>
      </c>
      <c r="C634" s="38" t="s">
        <v>141</v>
      </c>
      <c r="D634" s="39" t="s">
        <v>2393</v>
      </c>
      <c r="E634" s="38" t="s">
        <v>12</v>
      </c>
      <c r="F634" s="38">
        <v>2022.0</v>
      </c>
      <c r="G634" s="38" t="s">
        <v>124</v>
      </c>
      <c r="H634" s="38" t="s">
        <v>124</v>
      </c>
      <c r="I634" s="38" t="s">
        <v>124</v>
      </c>
      <c r="J634" s="38" t="s">
        <v>28</v>
      </c>
      <c r="K634" s="40" t="s">
        <v>124</v>
      </c>
      <c r="L634" s="40"/>
      <c r="M634" s="40" t="s">
        <v>124</v>
      </c>
      <c r="N634" s="38" t="s">
        <v>12</v>
      </c>
      <c r="O634" s="41" t="s">
        <v>71</v>
      </c>
      <c r="P634" s="42" t="s">
        <v>2392</v>
      </c>
      <c r="Q634" s="38" t="s">
        <v>143</v>
      </c>
      <c r="R634" s="42" t="s">
        <v>506</v>
      </c>
      <c r="S634" s="42" t="s">
        <v>2394</v>
      </c>
      <c r="T634" s="42" t="s">
        <v>124</v>
      </c>
      <c r="U634" s="42" t="s">
        <v>124</v>
      </c>
      <c r="V634" s="42" t="s">
        <v>124</v>
      </c>
      <c r="W634" s="42" t="s">
        <v>124</v>
      </c>
      <c r="X634" s="42" t="s">
        <v>124</v>
      </c>
      <c r="Y634" s="43" t="str">
        <f>IF(CCUS_Projects_Database!$R634&lt;&gt;"",HYPERLINK(CCUS_Projects_Database!$R634,"Link 1"),"")</f>
        <v>Link 1</v>
      </c>
      <c r="Z634" s="43" t="str">
        <f>IF(CCUS_Projects_Database!$S634&lt;&gt;"",HYPERLINK(CCUS_Projects_Database!$S634,"Link 2"),"")</f>
        <v>Link 2</v>
      </c>
      <c r="AA634" s="43" t="str">
        <f>IF(CCUS_Projects_Database!$T634&lt;&gt;"",HYPERLINK(CCUS_Projects_Database!$T634,"Link 3"),"")</f>
        <v/>
      </c>
      <c r="AB634" s="43" t="str">
        <f>IF(CCUS_Projects_Database!$U634&lt;&gt;"",HYPERLINK(CCUS_Projects_Database!$U634,"Link 4"),"")</f>
        <v/>
      </c>
      <c r="AC634" s="43" t="str">
        <f>IF(CCUS_Projects_Database!$V634&lt;&gt;"",HYPERLINK(CCUS_Projects_Database!$V634,"Link 5"),"")</f>
        <v/>
      </c>
      <c r="AD634" s="43" t="str">
        <f>IF(CCUS_Projects_Database!$W634&lt;&gt;"",HYPERLINK(CCUS_Projects_Database!$W634,"Link 6"),"")</f>
        <v/>
      </c>
      <c r="AE634" s="43" t="str">
        <f>IF(CCUS_Projects_Database!$X634&lt;&gt;"",HYPERLINK(CCUS_Projects_Database!$X634,"Link 7"),"")</f>
        <v/>
      </c>
    </row>
    <row r="635" ht="15.75" customHeight="1">
      <c r="A635" s="44" t="s">
        <v>2395</v>
      </c>
      <c r="B635" s="45">
        <v>552.0</v>
      </c>
      <c r="C635" s="45" t="s">
        <v>141</v>
      </c>
      <c r="D635" s="46" t="s">
        <v>2396</v>
      </c>
      <c r="E635" s="45" t="s">
        <v>6</v>
      </c>
      <c r="F635" s="45">
        <v>2022.0</v>
      </c>
      <c r="G635" s="45" t="s">
        <v>124</v>
      </c>
      <c r="H635" s="45" t="s">
        <v>124</v>
      </c>
      <c r="I635" s="45" t="s">
        <v>124</v>
      </c>
      <c r="J635" s="45" t="s">
        <v>28</v>
      </c>
      <c r="K635" s="47" t="s">
        <v>124</v>
      </c>
      <c r="L635" s="52">
        <v>3.0</v>
      </c>
      <c r="M635" s="47">
        <v>3.0</v>
      </c>
      <c r="N635" s="45" t="s">
        <v>46</v>
      </c>
      <c r="O635" s="48" t="s">
        <v>71</v>
      </c>
      <c r="P635" s="49" t="s">
        <v>124</v>
      </c>
      <c r="Q635" s="45" t="s">
        <v>143</v>
      </c>
      <c r="R635" s="49" t="s">
        <v>740</v>
      </c>
      <c r="S635" s="49" t="s">
        <v>155</v>
      </c>
      <c r="T635" s="49" t="s">
        <v>124</v>
      </c>
      <c r="U635" s="49" t="s">
        <v>124</v>
      </c>
      <c r="V635" s="49" t="s">
        <v>124</v>
      </c>
      <c r="W635" s="49" t="s">
        <v>124</v>
      </c>
      <c r="X635" s="49" t="s">
        <v>124</v>
      </c>
      <c r="Y635" s="50" t="str">
        <f>IF(CCUS_Projects_Database!$R635&lt;&gt;"",HYPERLINK(CCUS_Projects_Database!$R635,"Link 1"),"")</f>
        <v>Link 1</v>
      </c>
      <c r="Z635" s="50" t="str">
        <f>IF(CCUS_Projects_Database!$S635&lt;&gt;"",HYPERLINK(CCUS_Projects_Database!$S635,"Link 2"),"")</f>
        <v>Link 2</v>
      </c>
      <c r="AA635" s="50" t="str">
        <f>IF(CCUS_Projects_Database!$T635&lt;&gt;"",HYPERLINK(CCUS_Projects_Database!$T635,"Link 3"),"")</f>
        <v/>
      </c>
      <c r="AB635" s="50" t="str">
        <f>IF(CCUS_Projects_Database!$U635&lt;&gt;"",HYPERLINK(CCUS_Projects_Database!$U635,"Link 4"),"")</f>
        <v/>
      </c>
      <c r="AC635" s="50" t="str">
        <f>IF(CCUS_Projects_Database!$V635&lt;&gt;"",HYPERLINK(CCUS_Projects_Database!$V635,"Link 5"),"")</f>
        <v/>
      </c>
      <c r="AD635" s="50" t="str">
        <f>IF(CCUS_Projects_Database!$W635&lt;&gt;"",HYPERLINK(CCUS_Projects_Database!$W635,"Link 6"),"")</f>
        <v/>
      </c>
      <c r="AE635" s="50" t="str">
        <f>IF(CCUS_Projects_Database!$X635&lt;&gt;"",HYPERLINK(CCUS_Projects_Database!$X635,"Link 7"),"")</f>
        <v/>
      </c>
    </row>
    <row r="636" ht="15.75" customHeight="1">
      <c r="A636" s="37" t="s">
        <v>2397</v>
      </c>
      <c r="B636" s="38">
        <v>672.0</v>
      </c>
      <c r="C636" s="38" t="s">
        <v>299</v>
      </c>
      <c r="D636" s="39" t="s">
        <v>2398</v>
      </c>
      <c r="E636" s="38" t="s">
        <v>10</v>
      </c>
      <c r="F636" s="38">
        <v>2022.0</v>
      </c>
      <c r="G636" s="38" t="s">
        <v>124</v>
      </c>
      <c r="H636" s="38">
        <v>2026.0</v>
      </c>
      <c r="I636" s="38" t="s">
        <v>124</v>
      </c>
      <c r="J636" s="38" t="s">
        <v>28</v>
      </c>
      <c r="K636" s="40" t="s">
        <v>124</v>
      </c>
      <c r="L636" s="51">
        <v>4.0</v>
      </c>
      <c r="M636" s="40">
        <v>4.0</v>
      </c>
      <c r="N636" s="38" t="s">
        <v>10</v>
      </c>
      <c r="O636" s="41" t="s">
        <v>71</v>
      </c>
      <c r="P636" s="42" t="s">
        <v>1329</v>
      </c>
      <c r="Q636" s="38" t="s">
        <v>125</v>
      </c>
      <c r="R636" s="42" t="s">
        <v>407</v>
      </c>
      <c r="S636" s="42" t="s">
        <v>1330</v>
      </c>
      <c r="T636" s="42" t="s">
        <v>2399</v>
      </c>
      <c r="U636" s="42" t="s">
        <v>1332</v>
      </c>
      <c r="V636" s="42" t="s">
        <v>2400</v>
      </c>
      <c r="W636" s="42" t="s">
        <v>124</v>
      </c>
      <c r="X636" s="42" t="s">
        <v>124</v>
      </c>
      <c r="Y636" s="43" t="str">
        <f>IF(CCUS_Projects_Database!$R636&lt;&gt;"",HYPERLINK(CCUS_Projects_Database!$R636,"Link 1"),"")</f>
        <v>Link 1</v>
      </c>
      <c r="Z636" s="43" t="str">
        <f>IF(CCUS_Projects_Database!$S636&lt;&gt;"",HYPERLINK(CCUS_Projects_Database!$S636,"Link 2"),"")</f>
        <v>Link 2</v>
      </c>
      <c r="AA636" s="43" t="str">
        <f>IF(CCUS_Projects_Database!$T636&lt;&gt;"",HYPERLINK(CCUS_Projects_Database!$T636,"Link 3"),"")</f>
        <v>Link 3</v>
      </c>
      <c r="AB636" s="43" t="str">
        <f>IF(CCUS_Projects_Database!$U636&lt;&gt;"",HYPERLINK(CCUS_Projects_Database!$U636,"Link 4"),"")</f>
        <v>Link 4</v>
      </c>
      <c r="AC636" s="43" t="str">
        <f>IF(CCUS_Projects_Database!$V636&lt;&gt;"",HYPERLINK(CCUS_Projects_Database!$V636,"Link 5"),"")</f>
        <v>Link 5</v>
      </c>
      <c r="AD636" s="43" t="str">
        <f>IF(CCUS_Projects_Database!$W636&lt;&gt;"",HYPERLINK(CCUS_Projects_Database!$W636,"Link 6"),"")</f>
        <v/>
      </c>
      <c r="AE636" s="43" t="str">
        <f>IF(CCUS_Projects_Database!$X636&lt;&gt;"",HYPERLINK(CCUS_Projects_Database!$X636,"Link 7"),"")</f>
        <v/>
      </c>
    </row>
    <row r="637" ht="15.75" customHeight="1">
      <c r="A637" s="44" t="s">
        <v>2401</v>
      </c>
      <c r="B637" s="45">
        <v>799.0</v>
      </c>
      <c r="C637" s="45" t="s">
        <v>141</v>
      </c>
      <c r="D637" s="46" t="s">
        <v>2402</v>
      </c>
      <c r="E637" s="45" t="s">
        <v>10</v>
      </c>
      <c r="F637" s="45">
        <v>2023.0</v>
      </c>
      <c r="G637" s="45" t="s">
        <v>124</v>
      </c>
      <c r="H637" s="45" t="s">
        <v>124</v>
      </c>
      <c r="I637" s="45" t="s">
        <v>124</v>
      </c>
      <c r="J637" s="45" t="s">
        <v>28</v>
      </c>
      <c r="K637" s="47" t="s">
        <v>124</v>
      </c>
      <c r="L637" s="52">
        <v>250.0</v>
      </c>
      <c r="M637" s="47">
        <v>250.0</v>
      </c>
      <c r="N637" s="45" t="s">
        <v>10</v>
      </c>
      <c r="O637" s="48" t="s">
        <v>77</v>
      </c>
      <c r="P637" s="49" t="s">
        <v>2403</v>
      </c>
      <c r="Q637" s="45" t="s">
        <v>143</v>
      </c>
      <c r="R637" s="49" t="s">
        <v>124</v>
      </c>
      <c r="S637" s="49" t="s">
        <v>124</v>
      </c>
      <c r="T637" s="49" t="s">
        <v>124</v>
      </c>
      <c r="U637" s="49" t="s">
        <v>124</v>
      </c>
      <c r="V637" s="49" t="s">
        <v>124</v>
      </c>
      <c r="W637" s="49" t="s">
        <v>124</v>
      </c>
      <c r="X637" s="49" t="s">
        <v>124</v>
      </c>
      <c r="Y637" s="50" t="str">
        <f>IF(CCUS_Projects_Database!$R637&lt;&gt;"",HYPERLINK(CCUS_Projects_Database!$R637,"Link 1"),"")</f>
        <v/>
      </c>
      <c r="Z637" s="50" t="str">
        <f>IF(CCUS_Projects_Database!$S637&lt;&gt;"",HYPERLINK(CCUS_Projects_Database!$S637,"Link 2"),"")</f>
        <v/>
      </c>
      <c r="AA637" s="50" t="str">
        <f>IF(CCUS_Projects_Database!$T637&lt;&gt;"",HYPERLINK(CCUS_Projects_Database!$T637,"Link 3"),"")</f>
        <v/>
      </c>
      <c r="AB637" s="50" t="str">
        <f>IF(CCUS_Projects_Database!$U637&lt;&gt;"",HYPERLINK(CCUS_Projects_Database!$U637,"Link 4"),"")</f>
        <v/>
      </c>
      <c r="AC637" s="50" t="str">
        <f>IF(CCUS_Projects_Database!$V637&lt;&gt;"",HYPERLINK(CCUS_Projects_Database!$V637,"Link 5"),"")</f>
        <v/>
      </c>
      <c r="AD637" s="50" t="str">
        <f>IF(CCUS_Projects_Database!$W637&lt;&gt;"",HYPERLINK(CCUS_Projects_Database!$W637,"Link 6"),"")</f>
        <v/>
      </c>
      <c r="AE637" s="50" t="str">
        <f>IF(CCUS_Projects_Database!$X637&lt;&gt;"",HYPERLINK(CCUS_Projects_Database!$X637,"Link 7"),"")</f>
        <v/>
      </c>
    </row>
    <row r="638" ht="15.75" customHeight="1">
      <c r="A638" s="37" t="s">
        <v>2404</v>
      </c>
      <c r="B638" s="38">
        <v>673.0</v>
      </c>
      <c r="C638" s="38" t="s">
        <v>299</v>
      </c>
      <c r="D638" s="39" t="s">
        <v>2405</v>
      </c>
      <c r="E638" s="38" t="s">
        <v>10</v>
      </c>
      <c r="F638" s="38">
        <v>2022.0</v>
      </c>
      <c r="G638" s="38" t="s">
        <v>124</v>
      </c>
      <c r="H638" s="38">
        <v>2026.0</v>
      </c>
      <c r="I638" s="38" t="s">
        <v>124</v>
      </c>
      <c r="J638" s="38" t="s">
        <v>28</v>
      </c>
      <c r="K638" s="40">
        <v>1.0</v>
      </c>
      <c r="L638" s="51">
        <v>4.0</v>
      </c>
      <c r="M638" s="40">
        <v>4.0</v>
      </c>
      <c r="N638" s="38" t="s">
        <v>10</v>
      </c>
      <c r="O638" s="41" t="s">
        <v>71</v>
      </c>
      <c r="P638" s="42" t="s">
        <v>1329</v>
      </c>
      <c r="Q638" s="38" t="s">
        <v>125</v>
      </c>
      <c r="R638" s="42" t="s">
        <v>407</v>
      </c>
      <c r="S638" s="42" t="s">
        <v>1330</v>
      </c>
      <c r="T638" s="42" t="s">
        <v>1332</v>
      </c>
      <c r="U638" s="42" t="s">
        <v>124</v>
      </c>
      <c r="V638" s="42" t="s">
        <v>124</v>
      </c>
      <c r="W638" s="42" t="s">
        <v>124</v>
      </c>
      <c r="X638" s="42" t="s">
        <v>124</v>
      </c>
      <c r="Y638" s="43" t="str">
        <f>IF(CCUS_Projects_Database!$R638&lt;&gt;"",HYPERLINK(CCUS_Projects_Database!$R638,"Link 1"),"")</f>
        <v>Link 1</v>
      </c>
      <c r="Z638" s="43" t="str">
        <f>IF(CCUS_Projects_Database!$S638&lt;&gt;"",HYPERLINK(CCUS_Projects_Database!$S638,"Link 2"),"")</f>
        <v>Link 2</v>
      </c>
      <c r="AA638" s="43" t="str">
        <f>IF(CCUS_Projects_Database!$T638&lt;&gt;"",HYPERLINK(CCUS_Projects_Database!$T638,"Link 3"),"")</f>
        <v>Link 3</v>
      </c>
      <c r="AB638" s="43" t="str">
        <f>IF(CCUS_Projects_Database!$U638&lt;&gt;"",HYPERLINK(CCUS_Projects_Database!$U638,"Link 4"),"")</f>
        <v/>
      </c>
      <c r="AC638" s="43" t="str">
        <f>IF(CCUS_Projects_Database!$V638&lt;&gt;"",HYPERLINK(CCUS_Projects_Database!$V638,"Link 5"),"")</f>
        <v/>
      </c>
      <c r="AD638" s="43" t="str">
        <f>IF(CCUS_Projects_Database!$W638&lt;&gt;"",HYPERLINK(CCUS_Projects_Database!$W638,"Link 6"),"")</f>
        <v/>
      </c>
      <c r="AE638" s="43" t="str">
        <f>IF(CCUS_Projects_Database!$X638&lt;&gt;"",HYPERLINK(CCUS_Projects_Database!$X638,"Link 7"),"")</f>
        <v/>
      </c>
    </row>
    <row r="639" ht="15.75" customHeight="1">
      <c r="A639" s="44" t="s">
        <v>2406</v>
      </c>
      <c r="B639" s="45">
        <v>674.0</v>
      </c>
      <c r="C639" s="45" t="s">
        <v>299</v>
      </c>
      <c r="D639" s="46" t="s">
        <v>2405</v>
      </c>
      <c r="E639" s="45" t="s">
        <v>10</v>
      </c>
      <c r="F639" s="45">
        <v>2022.0</v>
      </c>
      <c r="G639" s="45" t="s">
        <v>124</v>
      </c>
      <c r="H639" s="45">
        <v>2030.0</v>
      </c>
      <c r="I639" s="45" t="s">
        <v>124</v>
      </c>
      <c r="J639" s="45" t="s">
        <v>28</v>
      </c>
      <c r="K639" s="47">
        <v>2.0</v>
      </c>
      <c r="L639" s="52">
        <v>8.0</v>
      </c>
      <c r="M639" s="47">
        <v>8.0</v>
      </c>
      <c r="N639" s="45" t="s">
        <v>10</v>
      </c>
      <c r="O639" s="48" t="s">
        <v>71</v>
      </c>
      <c r="P639" s="49" t="s">
        <v>1329</v>
      </c>
      <c r="Q639" s="45" t="s">
        <v>125</v>
      </c>
      <c r="R639" s="49" t="s">
        <v>407</v>
      </c>
      <c r="S639" s="49" t="s">
        <v>1330</v>
      </c>
      <c r="T639" s="49" t="s">
        <v>1332</v>
      </c>
      <c r="U639" s="49" t="s">
        <v>124</v>
      </c>
      <c r="V639" s="49" t="s">
        <v>124</v>
      </c>
      <c r="W639" s="49" t="s">
        <v>124</v>
      </c>
      <c r="X639" s="49" t="s">
        <v>124</v>
      </c>
      <c r="Y639" s="50" t="str">
        <f>IF(CCUS_Projects_Database!$R639&lt;&gt;"",HYPERLINK(CCUS_Projects_Database!$R639,"Link 1"),"")</f>
        <v>Link 1</v>
      </c>
      <c r="Z639" s="50" t="str">
        <f>IF(CCUS_Projects_Database!$S639&lt;&gt;"",HYPERLINK(CCUS_Projects_Database!$S639,"Link 2"),"")</f>
        <v>Link 2</v>
      </c>
      <c r="AA639" s="50" t="str">
        <f>IF(CCUS_Projects_Database!$T639&lt;&gt;"",HYPERLINK(CCUS_Projects_Database!$T639,"Link 3"),"")</f>
        <v>Link 3</v>
      </c>
      <c r="AB639" s="50" t="str">
        <f>IF(CCUS_Projects_Database!$U639&lt;&gt;"",HYPERLINK(CCUS_Projects_Database!$U639,"Link 4"),"")</f>
        <v/>
      </c>
      <c r="AC639" s="50" t="str">
        <f>IF(CCUS_Projects_Database!$V639&lt;&gt;"",HYPERLINK(CCUS_Projects_Database!$V639,"Link 5"),"")</f>
        <v/>
      </c>
      <c r="AD639" s="50" t="str">
        <f>IF(CCUS_Projects_Database!$W639&lt;&gt;"",HYPERLINK(CCUS_Projects_Database!$W639,"Link 6"),"")</f>
        <v/>
      </c>
      <c r="AE639" s="50" t="str">
        <f>IF(CCUS_Projects_Database!$X639&lt;&gt;"",HYPERLINK(CCUS_Projects_Database!$X639,"Link 7"),"")</f>
        <v/>
      </c>
    </row>
    <row r="640" ht="15.75" customHeight="1">
      <c r="A640" s="37" t="s">
        <v>2407</v>
      </c>
      <c r="B640" s="38">
        <v>325.0</v>
      </c>
      <c r="C640" s="38" t="s">
        <v>204</v>
      </c>
      <c r="D640" s="39" t="s">
        <v>2408</v>
      </c>
      <c r="E640" s="38" t="s">
        <v>14</v>
      </c>
      <c r="F640" s="38">
        <v>2018.0</v>
      </c>
      <c r="G640" s="38">
        <v>2023.0</v>
      </c>
      <c r="H640" s="38">
        <v>2026.0</v>
      </c>
      <c r="I640" s="38" t="s">
        <v>124</v>
      </c>
      <c r="J640" s="38" t="s">
        <v>30</v>
      </c>
      <c r="K640" s="40">
        <v>1.0</v>
      </c>
      <c r="L640" s="51">
        <v>2.5</v>
      </c>
      <c r="M640" s="40">
        <v>2.5</v>
      </c>
      <c r="N640" s="38" t="s">
        <v>14</v>
      </c>
      <c r="O640" s="41" t="s">
        <v>71</v>
      </c>
      <c r="P640" s="42" t="s">
        <v>218</v>
      </c>
      <c r="Q640" s="38" t="s">
        <v>125</v>
      </c>
      <c r="R640" s="42" t="s">
        <v>2409</v>
      </c>
      <c r="S640" s="42" t="s">
        <v>2410</v>
      </c>
      <c r="T640" s="42" t="s">
        <v>124</v>
      </c>
      <c r="U640" s="42" t="s">
        <v>124</v>
      </c>
      <c r="V640" s="42" t="s">
        <v>124</v>
      </c>
      <c r="W640" s="42" t="s">
        <v>124</v>
      </c>
      <c r="X640" s="42" t="s">
        <v>124</v>
      </c>
      <c r="Y640" s="43" t="str">
        <f>IF(CCUS_Projects_Database!$R640&lt;&gt;"",HYPERLINK(CCUS_Projects_Database!$R640,"Link 1"),"")</f>
        <v>Link 1</v>
      </c>
      <c r="Z640" s="43" t="str">
        <f>IF(CCUS_Projects_Database!$S640&lt;&gt;"",HYPERLINK(CCUS_Projects_Database!$S640,"Link 2"),"")</f>
        <v>Link 2</v>
      </c>
      <c r="AA640" s="43" t="str">
        <f>IF(CCUS_Projects_Database!$T640&lt;&gt;"",HYPERLINK(CCUS_Projects_Database!$T640,"Link 3"),"")</f>
        <v/>
      </c>
      <c r="AB640" s="43" t="str">
        <f>IF(CCUS_Projects_Database!$U640&lt;&gt;"",HYPERLINK(CCUS_Projects_Database!$U640,"Link 4"),"")</f>
        <v/>
      </c>
      <c r="AC640" s="43" t="str">
        <f>IF(CCUS_Projects_Database!$V640&lt;&gt;"",HYPERLINK(CCUS_Projects_Database!$V640,"Link 5"),"")</f>
        <v/>
      </c>
      <c r="AD640" s="43" t="str">
        <f>IF(CCUS_Projects_Database!$W640&lt;&gt;"",HYPERLINK(CCUS_Projects_Database!$W640,"Link 6"),"")</f>
        <v/>
      </c>
      <c r="AE640" s="43" t="str">
        <f>IF(CCUS_Projects_Database!$X640&lt;&gt;"",HYPERLINK(CCUS_Projects_Database!$X640,"Link 7"),"")</f>
        <v/>
      </c>
    </row>
    <row r="641" ht="15.75" customHeight="1">
      <c r="A641" s="44" t="s">
        <v>2411</v>
      </c>
      <c r="B641" s="45">
        <v>249.0</v>
      </c>
      <c r="C641" s="45" t="s">
        <v>204</v>
      </c>
      <c r="D641" s="46" t="s">
        <v>2408</v>
      </c>
      <c r="E641" s="45" t="s">
        <v>10</v>
      </c>
      <c r="F641" s="45">
        <v>2018.0</v>
      </c>
      <c r="G641" s="45">
        <v>2023.0</v>
      </c>
      <c r="H641" s="45">
        <v>2026.0</v>
      </c>
      <c r="I641" s="45" t="s">
        <v>124</v>
      </c>
      <c r="J641" s="45" t="s">
        <v>30</v>
      </c>
      <c r="K641" s="47">
        <v>1.0</v>
      </c>
      <c r="L641" s="52">
        <v>10.0</v>
      </c>
      <c r="M641" s="47">
        <v>10.0</v>
      </c>
      <c r="N641" s="45" t="s">
        <v>10</v>
      </c>
      <c r="O641" s="48" t="s">
        <v>71</v>
      </c>
      <c r="P641" s="49" t="s">
        <v>218</v>
      </c>
      <c r="Q641" s="45" t="s">
        <v>125</v>
      </c>
      <c r="R641" s="49" t="s">
        <v>2409</v>
      </c>
      <c r="S641" s="49" t="s">
        <v>2410</v>
      </c>
      <c r="T641" s="49" t="s">
        <v>124</v>
      </c>
      <c r="U641" s="49" t="s">
        <v>124</v>
      </c>
      <c r="V641" s="49" t="s">
        <v>124</v>
      </c>
      <c r="W641" s="49" t="s">
        <v>124</v>
      </c>
      <c r="X641" s="49" t="s">
        <v>124</v>
      </c>
      <c r="Y641" s="50" t="str">
        <f>IF(CCUS_Projects_Database!$R641&lt;&gt;"",HYPERLINK(CCUS_Projects_Database!$R641,"Link 1"),"")</f>
        <v>Link 1</v>
      </c>
      <c r="Z641" s="50" t="str">
        <f>IF(CCUS_Projects_Database!$S641&lt;&gt;"",HYPERLINK(CCUS_Projects_Database!$S641,"Link 2"),"")</f>
        <v>Link 2</v>
      </c>
      <c r="AA641" s="50" t="str">
        <f>IF(CCUS_Projects_Database!$T641&lt;&gt;"",HYPERLINK(CCUS_Projects_Database!$T641,"Link 3"),"")</f>
        <v/>
      </c>
      <c r="AB641" s="50" t="str">
        <f>IF(CCUS_Projects_Database!$U641&lt;&gt;"",HYPERLINK(CCUS_Projects_Database!$U641,"Link 4"),"")</f>
        <v/>
      </c>
      <c r="AC641" s="50" t="str">
        <f>IF(CCUS_Projects_Database!$V641&lt;&gt;"",HYPERLINK(CCUS_Projects_Database!$V641,"Link 5"),"")</f>
        <v/>
      </c>
      <c r="AD641" s="50" t="str">
        <f>IF(CCUS_Projects_Database!$W641&lt;&gt;"",HYPERLINK(CCUS_Projects_Database!$W641,"Link 6"),"")</f>
        <v/>
      </c>
      <c r="AE641" s="50" t="str">
        <f>IF(CCUS_Projects_Database!$X641&lt;&gt;"",HYPERLINK(CCUS_Projects_Database!$X641,"Link 7"),"")</f>
        <v/>
      </c>
    </row>
    <row r="642" ht="15.75" customHeight="1">
      <c r="A642" s="37" t="s">
        <v>2412</v>
      </c>
      <c r="B642" s="38">
        <v>775.0</v>
      </c>
      <c r="C642" s="38" t="s">
        <v>284</v>
      </c>
      <c r="D642" s="39" t="s">
        <v>2413</v>
      </c>
      <c r="E642" s="38" t="s">
        <v>12</v>
      </c>
      <c r="F642" s="38">
        <v>2023.0</v>
      </c>
      <c r="G642" s="38">
        <v>2025.0</v>
      </c>
      <c r="H642" s="38" t="s">
        <v>124</v>
      </c>
      <c r="I642" s="38" t="s">
        <v>124</v>
      </c>
      <c r="J642" s="38" t="s">
        <v>28</v>
      </c>
      <c r="K642" s="40" t="s">
        <v>124</v>
      </c>
      <c r="L642" s="51">
        <v>5.0</v>
      </c>
      <c r="M642" s="40">
        <v>5.0</v>
      </c>
      <c r="N642" s="38" t="s">
        <v>12</v>
      </c>
      <c r="O642" s="41" t="s">
        <v>71</v>
      </c>
      <c r="P642" s="42" t="s">
        <v>2412</v>
      </c>
      <c r="Q642" s="38" t="s">
        <v>125</v>
      </c>
      <c r="R642" s="42" t="s">
        <v>2414</v>
      </c>
      <c r="S642" s="42" t="s">
        <v>2415</v>
      </c>
      <c r="T642" s="42" t="s">
        <v>411</v>
      </c>
      <c r="U642" s="42" t="s">
        <v>124</v>
      </c>
      <c r="V642" s="42" t="s">
        <v>124</v>
      </c>
      <c r="W642" s="42" t="s">
        <v>124</v>
      </c>
      <c r="X642" s="42" t="s">
        <v>124</v>
      </c>
      <c r="Y642" s="43" t="str">
        <f>IF(CCUS_Projects_Database!$R642&lt;&gt;"",HYPERLINK(CCUS_Projects_Database!$R642,"Link 1"),"")</f>
        <v>Link 1</v>
      </c>
      <c r="Z642" s="43" t="str">
        <f>IF(CCUS_Projects_Database!$S642&lt;&gt;"",HYPERLINK(CCUS_Projects_Database!$S642,"Link 2"),"")</f>
        <v>Link 2</v>
      </c>
      <c r="AA642" s="43" t="str">
        <f>IF(CCUS_Projects_Database!$T642&lt;&gt;"",HYPERLINK(CCUS_Projects_Database!$T642,"Link 3"),"")</f>
        <v>Link 3</v>
      </c>
      <c r="AB642" s="43" t="str">
        <f>IF(CCUS_Projects_Database!$U642&lt;&gt;"",HYPERLINK(CCUS_Projects_Database!$U642,"Link 4"),"")</f>
        <v/>
      </c>
      <c r="AC642" s="43" t="str">
        <f>IF(CCUS_Projects_Database!$V642&lt;&gt;"",HYPERLINK(CCUS_Projects_Database!$V642,"Link 5"),"")</f>
        <v/>
      </c>
      <c r="AD642" s="43" t="str">
        <f>IF(CCUS_Projects_Database!$W642&lt;&gt;"",HYPERLINK(CCUS_Projects_Database!$W642,"Link 6"),"")</f>
        <v/>
      </c>
      <c r="AE642" s="43" t="str">
        <f>IF(CCUS_Projects_Database!$X642&lt;&gt;"",HYPERLINK(CCUS_Projects_Database!$X642,"Link 7"),"")</f>
        <v/>
      </c>
    </row>
    <row r="643" ht="15.75" customHeight="1">
      <c r="A643" s="44" t="s">
        <v>2416</v>
      </c>
      <c r="B643" s="45">
        <v>327.0</v>
      </c>
      <c r="C643" s="45" t="s">
        <v>141</v>
      </c>
      <c r="D643" s="46" t="s">
        <v>2417</v>
      </c>
      <c r="E643" s="45" t="s">
        <v>8</v>
      </c>
      <c r="F643" s="45">
        <v>2019.0</v>
      </c>
      <c r="G643" s="45" t="s">
        <v>124</v>
      </c>
      <c r="H643" s="45">
        <v>2025.0</v>
      </c>
      <c r="I643" s="45" t="s">
        <v>124</v>
      </c>
      <c r="J643" s="45" t="s">
        <v>28</v>
      </c>
      <c r="K643" s="47" t="s">
        <v>124</v>
      </c>
      <c r="L643" s="52">
        <v>6.25</v>
      </c>
      <c r="M643" s="47">
        <v>6.05</v>
      </c>
      <c r="N643" s="45" t="s">
        <v>46</v>
      </c>
      <c r="O643" s="48" t="s">
        <v>71</v>
      </c>
      <c r="P643" s="49" t="s">
        <v>698</v>
      </c>
      <c r="Q643" s="45" t="s">
        <v>143</v>
      </c>
      <c r="R643" s="49" t="s">
        <v>2418</v>
      </c>
      <c r="S643" s="49" t="s">
        <v>2419</v>
      </c>
      <c r="T643" s="49" t="s">
        <v>124</v>
      </c>
      <c r="U643" s="49" t="s">
        <v>124</v>
      </c>
      <c r="V643" s="49" t="s">
        <v>124</v>
      </c>
      <c r="W643" s="49" t="s">
        <v>124</v>
      </c>
      <c r="X643" s="49" t="s">
        <v>124</v>
      </c>
      <c r="Y643" s="50" t="str">
        <f>IF(CCUS_Projects_Database!$R643&lt;&gt;"",HYPERLINK(CCUS_Projects_Database!$R643,"Link 1"),"")</f>
        <v>Link 1</v>
      </c>
      <c r="Z643" s="50" t="str">
        <f>IF(CCUS_Projects_Database!$S643&lt;&gt;"",HYPERLINK(CCUS_Projects_Database!$S643,"Link 2"),"")</f>
        <v>Link 2</v>
      </c>
      <c r="AA643" s="50" t="str">
        <f>IF(CCUS_Projects_Database!$T643&lt;&gt;"",HYPERLINK(CCUS_Projects_Database!$T643,"Link 3"),"")</f>
        <v/>
      </c>
      <c r="AB643" s="50" t="str">
        <f>IF(CCUS_Projects_Database!$U643&lt;&gt;"",HYPERLINK(CCUS_Projects_Database!$U643,"Link 4"),"")</f>
        <v/>
      </c>
      <c r="AC643" s="50" t="str">
        <f>IF(CCUS_Projects_Database!$V643&lt;&gt;"",HYPERLINK(CCUS_Projects_Database!$V643,"Link 5"),"")</f>
        <v/>
      </c>
      <c r="AD643" s="50" t="str">
        <f>IF(CCUS_Projects_Database!$W643&lt;&gt;"",HYPERLINK(CCUS_Projects_Database!$W643,"Link 6"),"")</f>
        <v/>
      </c>
      <c r="AE643" s="50" t="str">
        <f>IF(CCUS_Projects_Database!$X643&lt;&gt;"",HYPERLINK(CCUS_Projects_Database!$X643,"Link 7"),"")</f>
        <v/>
      </c>
    </row>
    <row r="644" ht="15.75" customHeight="1">
      <c r="A644" s="37" t="s">
        <v>2420</v>
      </c>
      <c r="B644" s="38">
        <v>328.0</v>
      </c>
      <c r="C644" s="38" t="s">
        <v>157</v>
      </c>
      <c r="D644" s="39" t="s">
        <v>2421</v>
      </c>
      <c r="E644" s="38" t="s">
        <v>8</v>
      </c>
      <c r="F644" s="38">
        <v>2021.0</v>
      </c>
      <c r="G644" s="38" t="s">
        <v>124</v>
      </c>
      <c r="H644" s="38">
        <v>2027.0</v>
      </c>
      <c r="I644" s="38" t="s">
        <v>124</v>
      </c>
      <c r="J644" s="38" t="s">
        <v>28</v>
      </c>
      <c r="K644" s="40">
        <v>1.0</v>
      </c>
      <c r="L644" s="51">
        <v>0.55</v>
      </c>
      <c r="M644" s="40">
        <v>0.55</v>
      </c>
      <c r="N644" s="38" t="s">
        <v>54</v>
      </c>
      <c r="O644" s="41" t="s">
        <v>71</v>
      </c>
      <c r="P644" s="42" t="s">
        <v>962</v>
      </c>
      <c r="Q644" s="38" t="s">
        <v>125</v>
      </c>
      <c r="R644" s="42" t="s">
        <v>2422</v>
      </c>
      <c r="S644" s="42" t="s">
        <v>124</v>
      </c>
      <c r="T644" s="42" t="s">
        <v>124</v>
      </c>
      <c r="U644" s="42" t="s">
        <v>124</v>
      </c>
      <c r="V644" s="42" t="s">
        <v>124</v>
      </c>
      <c r="W644" s="42" t="s">
        <v>124</v>
      </c>
      <c r="X644" s="42" t="s">
        <v>124</v>
      </c>
      <c r="Y644" s="43" t="str">
        <f>IF(CCUS_Projects_Database!$R644&lt;&gt;"",HYPERLINK(CCUS_Projects_Database!$R644,"Link 1"),"")</f>
        <v>Link 1</v>
      </c>
      <c r="Z644" s="43" t="str">
        <f>IF(CCUS_Projects_Database!$S644&lt;&gt;"",HYPERLINK(CCUS_Projects_Database!$S644,"Link 2"),"")</f>
        <v/>
      </c>
      <c r="AA644" s="43" t="str">
        <f>IF(CCUS_Projects_Database!$T644&lt;&gt;"",HYPERLINK(CCUS_Projects_Database!$T644,"Link 3"),"")</f>
        <v/>
      </c>
      <c r="AB644" s="43" t="str">
        <f>IF(CCUS_Projects_Database!$U644&lt;&gt;"",HYPERLINK(CCUS_Projects_Database!$U644,"Link 4"),"")</f>
        <v/>
      </c>
      <c r="AC644" s="43" t="str">
        <f>IF(CCUS_Projects_Database!$V644&lt;&gt;"",HYPERLINK(CCUS_Projects_Database!$V644,"Link 5"),"")</f>
        <v/>
      </c>
      <c r="AD644" s="43" t="str">
        <f>IF(CCUS_Projects_Database!$W644&lt;&gt;"",HYPERLINK(CCUS_Projects_Database!$W644,"Link 6"),"")</f>
        <v/>
      </c>
      <c r="AE644" s="43" t="str">
        <f>IF(CCUS_Projects_Database!$X644&lt;&gt;"",HYPERLINK(CCUS_Projects_Database!$X644,"Link 7"),"")</f>
        <v/>
      </c>
    </row>
    <row r="645" ht="15.75" customHeight="1">
      <c r="A645" s="44" t="s">
        <v>2423</v>
      </c>
      <c r="B645" s="45">
        <v>329.0</v>
      </c>
      <c r="C645" s="45" t="s">
        <v>157</v>
      </c>
      <c r="D645" s="46" t="s">
        <v>2421</v>
      </c>
      <c r="E645" s="45" t="s">
        <v>8</v>
      </c>
      <c r="F645" s="45">
        <v>2021.0</v>
      </c>
      <c r="G645" s="45" t="s">
        <v>124</v>
      </c>
      <c r="H645" s="45">
        <v>2029.0</v>
      </c>
      <c r="I645" s="45" t="s">
        <v>124</v>
      </c>
      <c r="J645" s="45" t="s">
        <v>28</v>
      </c>
      <c r="K645" s="47">
        <v>2.0</v>
      </c>
      <c r="L645" s="52">
        <v>0.55</v>
      </c>
      <c r="M645" s="47">
        <v>0.55</v>
      </c>
      <c r="N645" s="45" t="s">
        <v>54</v>
      </c>
      <c r="O645" s="48" t="s">
        <v>71</v>
      </c>
      <c r="P645" s="49" t="s">
        <v>962</v>
      </c>
      <c r="Q645" s="45" t="s">
        <v>125</v>
      </c>
      <c r="R645" s="49" t="s">
        <v>2422</v>
      </c>
      <c r="S645" s="49" t="s">
        <v>124</v>
      </c>
      <c r="T645" s="49" t="s">
        <v>124</v>
      </c>
      <c r="U645" s="49" t="s">
        <v>124</v>
      </c>
      <c r="V645" s="49" t="s">
        <v>124</v>
      </c>
      <c r="W645" s="49" t="s">
        <v>124</v>
      </c>
      <c r="X645" s="49" t="s">
        <v>124</v>
      </c>
      <c r="Y645" s="50" t="str">
        <f>IF(CCUS_Projects_Database!$R645&lt;&gt;"",HYPERLINK(CCUS_Projects_Database!$R645,"Link 1"),"")</f>
        <v>Link 1</v>
      </c>
      <c r="Z645" s="50" t="str">
        <f>IF(CCUS_Projects_Database!$S645&lt;&gt;"",HYPERLINK(CCUS_Projects_Database!$S645,"Link 2"),"")</f>
        <v/>
      </c>
      <c r="AA645" s="50" t="str">
        <f>IF(CCUS_Projects_Database!$T645&lt;&gt;"",HYPERLINK(CCUS_Projects_Database!$T645,"Link 3"),"")</f>
        <v/>
      </c>
      <c r="AB645" s="50" t="str">
        <f>IF(CCUS_Projects_Database!$U645&lt;&gt;"",HYPERLINK(CCUS_Projects_Database!$U645,"Link 4"),"")</f>
        <v/>
      </c>
      <c r="AC645" s="50" t="str">
        <f>IF(CCUS_Projects_Database!$V645&lt;&gt;"",HYPERLINK(CCUS_Projects_Database!$V645,"Link 5"),"")</f>
        <v/>
      </c>
      <c r="AD645" s="50" t="str">
        <f>IF(CCUS_Projects_Database!$W645&lt;&gt;"",HYPERLINK(CCUS_Projects_Database!$W645,"Link 6"),"")</f>
        <v/>
      </c>
      <c r="AE645" s="50" t="str">
        <f>IF(CCUS_Projects_Database!$X645&lt;&gt;"",HYPERLINK(CCUS_Projects_Database!$X645,"Link 7"),"")</f>
        <v/>
      </c>
    </row>
    <row r="646" ht="15.75" customHeight="1">
      <c r="A646" s="37" t="s">
        <v>2424</v>
      </c>
      <c r="B646" s="38">
        <v>330.0</v>
      </c>
      <c r="C646" s="38" t="s">
        <v>257</v>
      </c>
      <c r="D646" s="39" t="s">
        <v>2425</v>
      </c>
      <c r="E646" s="38" t="s">
        <v>8</v>
      </c>
      <c r="F646" s="38">
        <v>2018.0</v>
      </c>
      <c r="G646" s="38" t="s">
        <v>124</v>
      </c>
      <c r="H646" s="38">
        <v>2025.0</v>
      </c>
      <c r="I646" s="38" t="s">
        <v>124</v>
      </c>
      <c r="J646" s="38" t="s">
        <v>28</v>
      </c>
      <c r="K646" s="40" t="s">
        <v>124</v>
      </c>
      <c r="L646" s="51">
        <v>0.5</v>
      </c>
      <c r="M646" s="40">
        <v>0.5</v>
      </c>
      <c r="N646" s="38" t="s">
        <v>54</v>
      </c>
      <c r="O646" s="41" t="s">
        <v>71</v>
      </c>
      <c r="P646" s="42" t="s">
        <v>375</v>
      </c>
      <c r="Q646" s="38" t="s">
        <v>125</v>
      </c>
      <c r="R646" s="42" t="s">
        <v>2426</v>
      </c>
      <c r="S646" s="42" t="s">
        <v>124</v>
      </c>
      <c r="T646" s="42" t="s">
        <v>124</v>
      </c>
      <c r="U646" s="42" t="s">
        <v>124</v>
      </c>
      <c r="V646" s="42" t="s">
        <v>124</v>
      </c>
      <c r="W646" s="42" t="s">
        <v>124</v>
      </c>
      <c r="X646" s="42" t="s">
        <v>124</v>
      </c>
      <c r="Y646" s="43" t="str">
        <f>IF(CCUS_Projects_Database!$R646&lt;&gt;"",HYPERLINK(CCUS_Projects_Database!$R646,"Link 1"),"")</f>
        <v>Link 1</v>
      </c>
      <c r="Z646" s="43" t="str">
        <f>IF(CCUS_Projects_Database!$S646&lt;&gt;"",HYPERLINK(CCUS_Projects_Database!$S646,"Link 2"),"")</f>
        <v/>
      </c>
      <c r="AA646" s="43" t="str">
        <f>IF(CCUS_Projects_Database!$T646&lt;&gt;"",HYPERLINK(CCUS_Projects_Database!$T646,"Link 3"),"")</f>
        <v/>
      </c>
      <c r="AB646" s="43" t="str">
        <f>IF(CCUS_Projects_Database!$U646&lt;&gt;"",HYPERLINK(CCUS_Projects_Database!$U646,"Link 4"),"")</f>
        <v/>
      </c>
      <c r="AC646" s="43" t="str">
        <f>IF(CCUS_Projects_Database!$V646&lt;&gt;"",HYPERLINK(CCUS_Projects_Database!$V646,"Link 5"),"")</f>
        <v/>
      </c>
      <c r="AD646" s="43" t="str">
        <f>IF(CCUS_Projects_Database!$W646&lt;&gt;"",HYPERLINK(CCUS_Projects_Database!$W646,"Link 6"),"")</f>
        <v/>
      </c>
      <c r="AE646" s="43" t="str">
        <f>IF(CCUS_Projects_Database!$X646&lt;&gt;"",HYPERLINK(CCUS_Projects_Database!$X646,"Link 7"),"")</f>
        <v/>
      </c>
    </row>
    <row r="647" ht="15.75" customHeight="1">
      <c r="A647" s="44" t="s">
        <v>2427</v>
      </c>
      <c r="B647" s="45">
        <v>688.0</v>
      </c>
      <c r="C647" s="45" t="s">
        <v>1174</v>
      </c>
      <c r="D647" s="46" t="s">
        <v>2428</v>
      </c>
      <c r="E647" s="45" t="s">
        <v>14</v>
      </c>
      <c r="F647" s="45">
        <v>2021.0</v>
      </c>
      <c r="G647" s="45" t="s">
        <v>124</v>
      </c>
      <c r="H647" s="45">
        <v>2025.0</v>
      </c>
      <c r="I647" s="45" t="s">
        <v>124</v>
      </c>
      <c r="J647" s="45" t="s">
        <v>28</v>
      </c>
      <c r="K647" s="47">
        <v>1.0</v>
      </c>
      <c r="L647" s="52">
        <v>1.0</v>
      </c>
      <c r="M647" s="47">
        <v>1.0</v>
      </c>
      <c r="N647" s="45" t="s">
        <v>14</v>
      </c>
      <c r="O647" s="48" t="s">
        <v>71</v>
      </c>
      <c r="P647" s="49" t="s">
        <v>1176</v>
      </c>
      <c r="Q647" s="45" t="s">
        <v>125</v>
      </c>
      <c r="R647" s="49" t="s">
        <v>2429</v>
      </c>
      <c r="S647" s="49" t="s">
        <v>1178</v>
      </c>
      <c r="T647" s="49" t="s">
        <v>407</v>
      </c>
      <c r="U647" s="49" t="s">
        <v>124</v>
      </c>
      <c r="V647" s="49" t="s">
        <v>124</v>
      </c>
      <c r="W647" s="49" t="s">
        <v>124</v>
      </c>
      <c r="X647" s="49" t="s">
        <v>124</v>
      </c>
      <c r="Y647" s="50" t="str">
        <f>IF(CCUS_Projects_Database!$R647&lt;&gt;"",HYPERLINK(CCUS_Projects_Database!$R647,"Link 1"),"")</f>
        <v>Link 1</v>
      </c>
      <c r="Z647" s="50" t="str">
        <f>IF(CCUS_Projects_Database!$S647&lt;&gt;"",HYPERLINK(CCUS_Projects_Database!$S647,"Link 2"),"")</f>
        <v>Link 2</v>
      </c>
      <c r="AA647" s="50" t="str">
        <f>IF(CCUS_Projects_Database!$T647&lt;&gt;"",HYPERLINK(CCUS_Projects_Database!$T647,"Link 3"),"")</f>
        <v>Link 3</v>
      </c>
      <c r="AB647" s="50" t="str">
        <f>IF(CCUS_Projects_Database!$U647&lt;&gt;"",HYPERLINK(CCUS_Projects_Database!$U647,"Link 4"),"")</f>
        <v/>
      </c>
      <c r="AC647" s="50" t="str">
        <f>IF(CCUS_Projects_Database!$V647&lt;&gt;"",HYPERLINK(CCUS_Projects_Database!$V647,"Link 5"),"")</f>
        <v/>
      </c>
      <c r="AD647" s="50" t="str">
        <f>IF(CCUS_Projects_Database!$W647&lt;&gt;"",HYPERLINK(CCUS_Projects_Database!$W647,"Link 6"),"")</f>
        <v/>
      </c>
      <c r="AE647" s="50" t="str">
        <f>IF(CCUS_Projects_Database!$X647&lt;&gt;"",HYPERLINK(CCUS_Projects_Database!$X647,"Link 7"),"")</f>
        <v/>
      </c>
    </row>
    <row r="648" ht="15.75" customHeight="1">
      <c r="A648" s="37" t="s">
        <v>2430</v>
      </c>
      <c r="B648" s="38">
        <v>689.0</v>
      </c>
      <c r="C648" s="38" t="s">
        <v>1174</v>
      </c>
      <c r="D648" s="39" t="s">
        <v>2428</v>
      </c>
      <c r="E648" s="38" t="s">
        <v>14</v>
      </c>
      <c r="F648" s="38">
        <v>2021.0</v>
      </c>
      <c r="G648" s="38" t="s">
        <v>124</v>
      </c>
      <c r="H648" s="38">
        <v>2027.0</v>
      </c>
      <c r="I648" s="38" t="s">
        <v>124</v>
      </c>
      <c r="J648" s="38" t="s">
        <v>28</v>
      </c>
      <c r="K648" s="40">
        <v>2.0</v>
      </c>
      <c r="L648" s="51">
        <v>2.5</v>
      </c>
      <c r="M648" s="40">
        <v>2.5</v>
      </c>
      <c r="N648" s="38" t="s">
        <v>14</v>
      </c>
      <c r="O648" s="41" t="s">
        <v>71</v>
      </c>
      <c r="P648" s="42" t="s">
        <v>1176</v>
      </c>
      <c r="Q648" s="38" t="s">
        <v>125</v>
      </c>
      <c r="R648" s="42" t="s">
        <v>2429</v>
      </c>
      <c r="S648" s="42" t="s">
        <v>1178</v>
      </c>
      <c r="T648" s="42" t="s">
        <v>407</v>
      </c>
      <c r="U648" s="42" t="s">
        <v>2431</v>
      </c>
      <c r="V648" s="42" t="s">
        <v>124</v>
      </c>
      <c r="W648" s="42" t="s">
        <v>124</v>
      </c>
      <c r="X648" s="42" t="s">
        <v>124</v>
      </c>
      <c r="Y648" s="43" t="str">
        <f>IF(CCUS_Projects_Database!$R648&lt;&gt;"",HYPERLINK(CCUS_Projects_Database!$R648,"Link 1"),"")</f>
        <v>Link 1</v>
      </c>
      <c r="Z648" s="43" t="str">
        <f>IF(CCUS_Projects_Database!$S648&lt;&gt;"",HYPERLINK(CCUS_Projects_Database!$S648,"Link 2"),"")</f>
        <v>Link 2</v>
      </c>
      <c r="AA648" s="43" t="str">
        <f>IF(CCUS_Projects_Database!$T648&lt;&gt;"",HYPERLINK(CCUS_Projects_Database!$T648,"Link 3"),"")</f>
        <v>Link 3</v>
      </c>
      <c r="AB648" s="43" t="str">
        <f>IF(CCUS_Projects_Database!$U648&lt;&gt;"",HYPERLINK(CCUS_Projects_Database!$U648,"Link 4"),"")</f>
        <v>Link 4</v>
      </c>
      <c r="AC648" s="43" t="str">
        <f>IF(CCUS_Projects_Database!$V648&lt;&gt;"",HYPERLINK(CCUS_Projects_Database!$V648,"Link 5"),"")</f>
        <v/>
      </c>
      <c r="AD648" s="43" t="str">
        <f>IF(CCUS_Projects_Database!$W648&lt;&gt;"",HYPERLINK(CCUS_Projects_Database!$W648,"Link 6"),"")</f>
        <v/>
      </c>
      <c r="AE648" s="43" t="str">
        <f>IF(CCUS_Projects_Database!$X648&lt;&gt;"",HYPERLINK(CCUS_Projects_Database!$X648,"Link 7"),"")</f>
        <v/>
      </c>
    </row>
    <row r="649" ht="15.75" customHeight="1">
      <c r="A649" s="44" t="s">
        <v>2432</v>
      </c>
      <c r="B649" s="45">
        <v>690.0</v>
      </c>
      <c r="C649" s="45" t="s">
        <v>1174</v>
      </c>
      <c r="D649" s="46" t="s">
        <v>2428</v>
      </c>
      <c r="E649" s="45" t="s">
        <v>8</v>
      </c>
      <c r="F649" s="45">
        <v>2022.0</v>
      </c>
      <c r="G649" s="45" t="s">
        <v>124</v>
      </c>
      <c r="H649" s="45">
        <v>2025.0</v>
      </c>
      <c r="I649" s="45" t="s">
        <v>124</v>
      </c>
      <c r="J649" s="45" t="s">
        <v>28</v>
      </c>
      <c r="K649" s="47" t="s">
        <v>124</v>
      </c>
      <c r="L649" s="52">
        <v>1.0</v>
      </c>
      <c r="M649" s="47">
        <v>1.0</v>
      </c>
      <c r="N649" s="45" t="s">
        <v>48</v>
      </c>
      <c r="O649" s="48" t="s">
        <v>71</v>
      </c>
      <c r="P649" s="49" t="s">
        <v>1176</v>
      </c>
      <c r="Q649" s="45" t="s">
        <v>125</v>
      </c>
      <c r="R649" s="49" t="s">
        <v>407</v>
      </c>
      <c r="S649" s="49" t="s">
        <v>2431</v>
      </c>
      <c r="T649" s="49" t="s">
        <v>124</v>
      </c>
      <c r="U649" s="49" t="s">
        <v>124</v>
      </c>
      <c r="V649" s="49" t="s">
        <v>124</v>
      </c>
      <c r="W649" s="49" t="s">
        <v>124</v>
      </c>
      <c r="X649" s="49" t="s">
        <v>124</v>
      </c>
      <c r="Y649" s="50" t="str">
        <f>IF(CCUS_Projects_Database!$R649&lt;&gt;"",HYPERLINK(CCUS_Projects_Database!$R649,"Link 1"),"")</f>
        <v>Link 1</v>
      </c>
      <c r="Z649" s="50" t="str">
        <f>IF(CCUS_Projects_Database!$S649&lt;&gt;"",HYPERLINK(CCUS_Projects_Database!$S649,"Link 2"),"")</f>
        <v>Link 2</v>
      </c>
      <c r="AA649" s="50" t="str">
        <f>IF(CCUS_Projects_Database!$T649&lt;&gt;"",HYPERLINK(CCUS_Projects_Database!$T649,"Link 3"),"")</f>
        <v/>
      </c>
      <c r="AB649" s="50" t="str">
        <f>IF(CCUS_Projects_Database!$U649&lt;&gt;"",HYPERLINK(CCUS_Projects_Database!$U649,"Link 4"),"")</f>
        <v/>
      </c>
      <c r="AC649" s="50" t="str">
        <f>IF(CCUS_Projects_Database!$V649&lt;&gt;"",HYPERLINK(CCUS_Projects_Database!$V649,"Link 5"),"")</f>
        <v/>
      </c>
      <c r="AD649" s="50" t="str">
        <f>IF(CCUS_Projects_Database!$W649&lt;&gt;"",HYPERLINK(CCUS_Projects_Database!$W649,"Link 6"),"")</f>
        <v/>
      </c>
      <c r="AE649" s="50" t="str">
        <f>IF(CCUS_Projects_Database!$X649&lt;&gt;"",HYPERLINK(CCUS_Projects_Database!$X649,"Link 7"),"")</f>
        <v/>
      </c>
    </row>
    <row r="650" ht="15.75" customHeight="1">
      <c r="A650" s="37" t="s">
        <v>2433</v>
      </c>
      <c r="B650" s="38">
        <v>563.0</v>
      </c>
      <c r="C650" s="38" t="s">
        <v>257</v>
      </c>
      <c r="D650" s="39" t="s">
        <v>2434</v>
      </c>
      <c r="E650" s="38" t="s">
        <v>16</v>
      </c>
      <c r="F650" s="38">
        <v>2020.0</v>
      </c>
      <c r="G650" s="38" t="s">
        <v>124</v>
      </c>
      <c r="H650" s="38">
        <v>2027.0</v>
      </c>
      <c r="I650" s="38" t="s">
        <v>124</v>
      </c>
      <c r="J650" s="38" t="s">
        <v>28</v>
      </c>
      <c r="K650" s="40" t="s">
        <v>124</v>
      </c>
      <c r="L650" s="51">
        <v>0.406</v>
      </c>
      <c r="M650" s="40">
        <v>0.406</v>
      </c>
      <c r="N650" s="38" t="s">
        <v>60</v>
      </c>
      <c r="O650" s="41" t="s">
        <v>75</v>
      </c>
      <c r="P650" s="42" t="s">
        <v>124</v>
      </c>
      <c r="Q650" s="38" t="s">
        <v>125</v>
      </c>
      <c r="R650" s="42" t="s">
        <v>590</v>
      </c>
      <c r="S650" s="42" t="s">
        <v>2435</v>
      </c>
      <c r="T650" s="42" t="s">
        <v>2436</v>
      </c>
      <c r="U650" s="42" t="s">
        <v>2437</v>
      </c>
      <c r="V650" s="42" t="s">
        <v>2438</v>
      </c>
      <c r="W650" s="42" t="s">
        <v>124</v>
      </c>
      <c r="X650" s="42" t="s">
        <v>2439</v>
      </c>
      <c r="Y650" s="43" t="str">
        <f>IF(CCUS_Projects_Database!$R650&lt;&gt;"",HYPERLINK(CCUS_Projects_Database!$R650,"Link 1"),"")</f>
        <v>Link 1</v>
      </c>
      <c r="Z650" s="43" t="str">
        <f>IF(CCUS_Projects_Database!$S650&lt;&gt;"",HYPERLINK(CCUS_Projects_Database!$S650,"Link 2"),"")</f>
        <v>Link 2</v>
      </c>
      <c r="AA650" s="43" t="str">
        <f>IF(CCUS_Projects_Database!$T650&lt;&gt;"",HYPERLINK(CCUS_Projects_Database!$T650,"Link 3"),"")</f>
        <v>Link 3</v>
      </c>
      <c r="AB650" s="43" t="str">
        <f>IF(CCUS_Projects_Database!$U650&lt;&gt;"",HYPERLINK(CCUS_Projects_Database!$U650,"Link 4"),"")</f>
        <v>Link 4</v>
      </c>
      <c r="AC650" s="43" t="str">
        <f>IF(CCUS_Projects_Database!$V650&lt;&gt;"",HYPERLINK(CCUS_Projects_Database!$V650,"Link 5"),"")</f>
        <v>Link 5</v>
      </c>
      <c r="AD650" s="43" t="str">
        <f>IF(CCUS_Projects_Database!$W650&lt;&gt;"",HYPERLINK(CCUS_Projects_Database!$W650,"Link 6"),"")</f>
        <v/>
      </c>
      <c r="AE650" s="43" t="str">
        <f>IF(CCUS_Projects_Database!$X650&lt;&gt;"",HYPERLINK(CCUS_Projects_Database!$X650,"Link 7"),"")</f>
        <v>Link 7</v>
      </c>
    </row>
    <row r="651" ht="15.75" customHeight="1">
      <c r="A651" s="44" t="s">
        <v>2440</v>
      </c>
      <c r="B651" s="45">
        <v>331.0</v>
      </c>
      <c r="C651" s="45" t="s">
        <v>299</v>
      </c>
      <c r="D651" s="46" t="s">
        <v>2441</v>
      </c>
      <c r="E651" s="45" t="s">
        <v>14</v>
      </c>
      <c r="F651" s="45">
        <v>2021.0</v>
      </c>
      <c r="G651" s="45" t="s">
        <v>124</v>
      </c>
      <c r="H651" s="45">
        <v>2030.0</v>
      </c>
      <c r="I651" s="45" t="s">
        <v>124</v>
      </c>
      <c r="J651" s="45" t="s">
        <v>28</v>
      </c>
      <c r="K651" s="47">
        <v>1.0</v>
      </c>
      <c r="L651" s="52">
        <v>2.5</v>
      </c>
      <c r="M651" s="47">
        <v>3.0</v>
      </c>
      <c r="N651" s="45" t="s">
        <v>14</v>
      </c>
      <c r="O651" s="48" t="s">
        <v>71</v>
      </c>
      <c r="P651" s="49" t="s">
        <v>2442</v>
      </c>
      <c r="Q651" s="45" t="s">
        <v>125</v>
      </c>
      <c r="R651" s="49" t="s">
        <v>2443</v>
      </c>
      <c r="S651" s="49" t="s">
        <v>2444</v>
      </c>
      <c r="T651" s="49" t="s">
        <v>2445</v>
      </c>
      <c r="U651" s="49" t="s">
        <v>2446</v>
      </c>
      <c r="V651" s="49" t="s">
        <v>124</v>
      </c>
      <c r="W651" s="49" t="s">
        <v>124</v>
      </c>
      <c r="X651" s="49" t="s">
        <v>124</v>
      </c>
      <c r="Y651" s="50" t="str">
        <f>IF(CCUS_Projects_Database!$R651&lt;&gt;"",HYPERLINK(CCUS_Projects_Database!$R651,"Link 1"),"")</f>
        <v>Link 1</v>
      </c>
      <c r="Z651" s="50" t="str">
        <f>IF(CCUS_Projects_Database!$S651&lt;&gt;"",HYPERLINK(CCUS_Projects_Database!$S651,"Link 2"),"")</f>
        <v>Link 2</v>
      </c>
      <c r="AA651" s="50" t="str">
        <f>IF(CCUS_Projects_Database!$T651&lt;&gt;"",HYPERLINK(CCUS_Projects_Database!$T651,"Link 3"),"")</f>
        <v>Link 3</v>
      </c>
      <c r="AB651" s="50" t="str">
        <f>IF(CCUS_Projects_Database!$U651&lt;&gt;"",HYPERLINK(CCUS_Projects_Database!$U651,"Link 4"),"")</f>
        <v>Link 4</v>
      </c>
      <c r="AC651" s="50" t="str">
        <f>IF(CCUS_Projects_Database!$V651&lt;&gt;"",HYPERLINK(CCUS_Projects_Database!$V651,"Link 5"),"")</f>
        <v/>
      </c>
      <c r="AD651" s="50" t="str">
        <f>IF(CCUS_Projects_Database!$W651&lt;&gt;"",HYPERLINK(CCUS_Projects_Database!$W651,"Link 6"),"")</f>
        <v/>
      </c>
      <c r="AE651" s="50" t="str">
        <f>IF(CCUS_Projects_Database!$X651&lt;&gt;"",HYPERLINK(CCUS_Projects_Database!$X651,"Link 7"),"")</f>
        <v/>
      </c>
    </row>
    <row r="652" ht="15.75" customHeight="1">
      <c r="A652" s="37" t="s">
        <v>2447</v>
      </c>
      <c r="B652" s="38">
        <v>470.0</v>
      </c>
      <c r="C652" s="38" t="s">
        <v>141</v>
      </c>
      <c r="D652" s="39" t="s">
        <v>2448</v>
      </c>
      <c r="E652" s="38" t="s">
        <v>8</v>
      </c>
      <c r="F652" s="38">
        <v>2022.0</v>
      </c>
      <c r="G652" s="38" t="s">
        <v>124</v>
      </c>
      <c r="H652" s="38">
        <v>2024.0</v>
      </c>
      <c r="I652" s="38" t="s">
        <v>124</v>
      </c>
      <c r="J652" s="38" t="s">
        <v>28</v>
      </c>
      <c r="K652" s="40">
        <v>1.0</v>
      </c>
      <c r="L652" s="51">
        <v>0.01</v>
      </c>
      <c r="M652" s="40">
        <v>0.01</v>
      </c>
      <c r="N652" s="38" t="s">
        <v>64</v>
      </c>
      <c r="O652" s="41" t="s">
        <v>71</v>
      </c>
      <c r="P652" s="42" t="s">
        <v>2449</v>
      </c>
      <c r="Q652" s="38" t="s">
        <v>143</v>
      </c>
      <c r="R652" s="42" t="s">
        <v>2450</v>
      </c>
      <c r="S652" s="42" t="s">
        <v>124</v>
      </c>
      <c r="T652" s="42" t="s">
        <v>124</v>
      </c>
      <c r="U652" s="42" t="s">
        <v>124</v>
      </c>
      <c r="V652" s="42" t="s">
        <v>124</v>
      </c>
      <c r="W652" s="42" t="s">
        <v>124</v>
      </c>
      <c r="X652" s="42" t="s">
        <v>124</v>
      </c>
      <c r="Y652" s="43" t="str">
        <f>IF(CCUS_Projects_Database!$R652&lt;&gt;"",HYPERLINK(CCUS_Projects_Database!$R652,"Link 1"),"")</f>
        <v>Link 1</v>
      </c>
      <c r="Z652" s="43" t="str">
        <f>IF(CCUS_Projects_Database!$S652&lt;&gt;"",HYPERLINK(CCUS_Projects_Database!$S652,"Link 2"),"")</f>
        <v/>
      </c>
      <c r="AA652" s="43" t="str">
        <f>IF(CCUS_Projects_Database!$T652&lt;&gt;"",HYPERLINK(CCUS_Projects_Database!$T652,"Link 3"),"")</f>
        <v/>
      </c>
      <c r="AB652" s="43" t="str">
        <f>IF(CCUS_Projects_Database!$U652&lt;&gt;"",HYPERLINK(CCUS_Projects_Database!$U652,"Link 4"),"")</f>
        <v/>
      </c>
      <c r="AC652" s="43" t="str">
        <f>IF(CCUS_Projects_Database!$V652&lt;&gt;"",HYPERLINK(CCUS_Projects_Database!$V652,"Link 5"),"")</f>
        <v/>
      </c>
      <c r="AD652" s="43" t="str">
        <f>IF(CCUS_Projects_Database!$W652&lt;&gt;"",HYPERLINK(CCUS_Projects_Database!$W652,"Link 6"),"")</f>
        <v/>
      </c>
      <c r="AE652" s="43" t="str">
        <f>IF(CCUS_Projects_Database!$X652&lt;&gt;"",HYPERLINK(CCUS_Projects_Database!$X652,"Link 7"),"")</f>
        <v/>
      </c>
    </row>
    <row r="653" ht="15.75" customHeight="1">
      <c r="A653" s="44" t="s">
        <v>2451</v>
      </c>
      <c r="B653" s="45">
        <v>471.0</v>
      </c>
      <c r="C653" s="45" t="s">
        <v>141</v>
      </c>
      <c r="D653" s="46" t="s">
        <v>2448</v>
      </c>
      <c r="E653" s="45" t="s">
        <v>8</v>
      </c>
      <c r="F653" s="45">
        <v>2022.0</v>
      </c>
      <c r="G653" s="45" t="s">
        <v>124</v>
      </c>
      <c r="H653" s="45">
        <v>2026.0</v>
      </c>
      <c r="I653" s="45" t="s">
        <v>124</v>
      </c>
      <c r="J653" s="45" t="s">
        <v>28</v>
      </c>
      <c r="K653" s="47">
        <v>2.0</v>
      </c>
      <c r="L653" s="52">
        <v>0.2</v>
      </c>
      <c r="M653" s="47">
        <v>0.2</v>
      </c>
      <c r="N653" s="45" t="s">
        <v>64</v>
      </c>
      <c r="O653" s="48" t="s">
        <v>71</v>
      </c>
      <c r="P653" s="49" t="s">
        <v>2449</v>
      </c>
      <c r="Q653" s="45" t="s">
        <v>143</v>
      </c>
      <c r="R653" s="49" t="s">
        <v>2450</v>
      </c>
      <c r="S653" s="49" t="s">
        <v>124</v>
      </c>
      <c r="T653" s="49" t="s">
        <v>124</v>
      </c>
      <c r="U653" s="49" t="s">
        <v>124</v>
      </c>
      <c r="V653" s="49" t="s">
        <v>124</v>
      </c>
      <c r="W653" s="49" t="s">
        <v>124</v>
      </c>
      <c r="X653" s="49" t="s">
        <v>124</v>
      </c>
      <c r="Y653" s="50" t="str">
        <f>IF(CCUS_Projects_Database!$R653&lt;&gt;"",HYPERLINK(CCUS_Projects_Database!$R653,"Link 1"),"")</f>
        <v>Link 1</v>
      </c>
      <c r="Z653" s="50" t="str">
        <f>IF(CCUS_Projects_Database!$S653&lt;&gt;"",HYPERLINK(CCUS_Projects_Database!$S653,"Link 2"),"")</f>
        <v/>
      </c>
      <c r="AA653" s="50" t="str">
        <f>IF(CCUS_Projects_Database!$T653&lt;&gt;"",HYPERLINK(CCUS_Projects_Database!$T653,"Link 3"),"")</f>
        <v/>
      </c>
      <c r="AB653" s="50" t="str">
        <f>IF(CCUS_Projects_Database!$U653&lt;&gt;"",HYPERLINK(CCUS_Projects_Database!$U653,"Link 4"),"")</f>
        <v/>
      </c>
      <c r="AC653" s="50" t="str">
        <f>IF(CCUS_Projects_Database!$V653&lt;&gt;"",HYPERLINK(CCUS_Projects_Database!$V653,"Link 5"),"")</f>
        <v/>
      </c>
      <c r="AD653" s="50" t="str">
        <f>IF(CCUS_Projects_Database!$W653&lt;&gt;"",HYPERLINK(CCUS_Projects_Database!$W653,"Link 6"),"")</f>
        <v/>
      </c>
      <c r="AE653" s="50" t="str">
        <f>IF(CCUS_Projects_Database!$X653&lt;&gt;"",HYPERLINK(CCUS_Projects_Database!$X653,"Link 7"),"")</f>
        <v/>
      </c>
    </row>
    <row r="654" ht="15.75" customHeight="1">
      <c r="A654" s="37" t="s">
        <v>2452</v>
      </c>
      <c r="B654" s="38">
        <v>472.0</v>
      </c>
      <c r="C654" s="38" t="s">
        <v>141</v>
      </c>
      <c r="D654" s="39" t="s">
        <v>2448</v>
      </c>
      <c r="E654" s="38" t="s">
        <v>8</v>
      </c>
      <c r="F654" s="38">
        <v>2022.0</v>
      </c>
      <c r="G654" s="38" t="s">
        <v>124</v>
      </c>
      <c r="H654" s="38">
        <v>2028.0</v>
      </c>
      <c r="I654" s="38" t="s">
        <v>124</v>
      </c>
      <c r="J654" s="38" t="s">
        <v>28</v>
      </c>
      <c r="K654" s="40">
        <v>3.0</v>
      </c>
      <c r="L654" s="51">
        <v>0.8</v>
      </c>
      <c r="M654" s="40">
        <v>0.8</v>
      </c>
      <c r="N654" s="38" t="s">
        <v>64</v>
      </c>
      <c r="O654" s="41" t="s">
        <v>71</v>
      </c>
      <c r="P654" s="42" t="s">
        <v>2449</v>
      </c>
      <c r="Q654" s="38" t="s">
        <v>143</v>
      </c>
      <c r="R654" s="42" t="s">
        <v>2450</v>
      </c>
      <c r="S654" s="42" t="s">
        <v>124</v>
      </c>
      <c r="T654" s="42" t="s">
        <v>124</v>
      </c>
      <c r="U654" s="42" t="s">
        <v>124</v>
      </c>
      <c r="V654" s="42" t="s">
        <v>124</v>
      </c>
      <c r="W654" s="42" t="s">
        <v>124</v>
      </c>
      <c r="X654" s="42" t="s">
        <v>124</v>
      </c>
      <c r="Y654" s="43" t="str">
        <f>IF(CCUS_Projects_Database!$R654&lt;&gt;"",HYPERLINK(CCUS_Projects_Database!$R654,"Link 1"),"")</f>
        <v>Link 1</v>
      </c>
      <c r="Z654" s="43" t="str">
        <f>IF(CCUS_Projects_Database!$S654&lt;&gt;"",HYPERLINK(CCUS_Projects_Database!$S654,"Link 2"),"")</f>
        <v/>
      </c>
      <c r="AA654" s="43" t="str">
        <f>IF(CCUS_Projects_Database!$T654&lt;&gt;"",HYPERLINK(CCUS_Projects_Database!$T654,"Link 3"),"")</f>
        <v/>
      </c>
      <c r="AB654" s="43" t="str">
        <f>IF(CCUS_Projects_Database!$U654&lt;&gt;"",HYPERLINK(CCUS_Projects_Database!$U654,"Link 4"),"")</f>
        <v/>
      </c>
      <c r="AC654" s="43" t="str">
        <f>IF(CCUS_Projects_Database!$V654&lt;&gt;"",HYPERLINK(CCUS_Projects_Database!$V654,"Link 5"),"")</f>
        <v/>
      </c>
      <c r="AD654" s="43" t="str">
        <f>IF(CCUS_Projects_Database!$W654&lt;&gt;"",HYPERLINK(CCUS_Projects_Database!$W654,"Link 6"),"")</f>
        <v/>
      </c>
      <c r="AE654" s="43" t="str">
        <f>IF(CCUS_Projects_Database!$X654&lt;&gt;"",HYPERLINK(CCUS_Projects_Database!$X654,"Link 7"),"")</f>
        <v/>
      </c>
    </row>
    <row r="655" ht="15.75" customHeight="1">
      <c r="A655" s="44" t="s">
        <v>2453</v>
      </c>
      <c r="B655" s="45">
        <v>473.0</v>
      </c>
      <c r="C655" s="45" t="s">
        <v>141</v>
      </c>
      <c r="D655" s="46" t="s">
        <v>2448</v>
      </c>
      <c r="E655" s="45" t="s">
        <v>8</v>
      </c>
      <c r="F655" s="45">
        <v>2022.0</v>
      </c>
      <c r="G655" s="45" t="s">
        <v>124</v>
      </c>
      <c r="H655" s="45">
        <v>2028.0</v>
      </c>
      <c r="I655" s="45" t="s">
        <v>124</v>
      </c>
      <c r="J655" s="45" t="s">
        <v>28</v>
      </c>
      <c r="K655" s="47">
        <v>4.0</v>
      </c>
      <c r="L655" s="52">
        <v>4.0</v>
      </c>
      <c r="M655" s="47">
        <v>4.0</v>
      </c>
      <c r="N655" s="45" t="s">
        <v>64</v>
      </c>
      <c r="O655" s="48" t="s">
        <v>71</v>
      </c>
      <c r="P655" s="49" t="s">
        <v>2449</v>
      </c>
      <c r="Q655" s="45" t="s">
        <v>143</v>
      </c>
      <c r="R655" s="49" t="s">
        <v>2450</v>
      </c>
      <c r="S655" s="49" t="s">
        <v>124</v>
      </c>
      <c r="T655" s="49" t="s">
        <v>124</v>
      </c>
      <c r="U655" s="49" t="s">
        <v>124</v>
      </c>
      <c r="V655" s="49" t="s">
        <v>124</v>
      </c>
      <c r="W655" s="49" t="s">
        <v>124</v>
      </c>
      <c r="X655" s="49" t="s">
        <v>124</v>
      </c>
      <c r="Y655" s="50" t="str">
        <f>IF(CCUS_Projects_Database!$R655&lt;&gt;"",HYPERLINK(CCUS_Projects_Database!$R655,"Link 1"),"")</f>
        <v>Link 1</v>
      </c>
      <c r="Z655" s="50" t="str">
        <f>IF(CCUS_Projects_Database!$S655&lt;&gt;"",HYPERLINK(CCUS_Projects_Database!$S655,"Link 2"),"")</f>
        <v/>
      </c>
      <c r="AA655" s="50" t="str">
        <f>IF(CCUS_Projects_Database!$T655&lt;&gt;"",HYPERLINK(CCUS_Projects_Database!$T655,"Link 3"),"")</f>
        <v/>
      </c>
      <c r="AB655" s="50" t="str">
        <f>IF(CCUS_Projects_Database!$U655&lt;&gt;"",HYPERLINK(CCUS_Projects_Database!$U655,"Link 4"),"")</f>
        <v/>
      </c>
      <c r="AC655" s="50" t="str">
        <f>IF(CCUS_Projects_Database!$V655&lt;&gt;"",HYPERLINK(CCUS_Projects_Database!$V655,"Link 5"),"")</f>
        <v/>
      </c>
      <c r="AD655" s="50" t="str">
        <f>IF(CCUS_Projects_Database!$W655&lt;&gt;"",HYPERLINK(CCUS_Projects_Database!$W655,"Link 6"),"")</f>
        <v/>
      </c>
      <c r="AE655" s="50" t="str">
        <f>IF(CCUS_Projects_Database!$X655&lt;&gt;"",HYPERLINK(CCUS_Projects_Database!$X655,"Link 7"),"")</f>
        <v/>
      </c>
    </row>
    <row r="656" ht="15.75" customHeight="1">
      <c r="A656" s="37" t="s">
        <v>2454</v>
      </c>
      <c r="B656" s="38">
        <v>257.0</v>
      </c>
      <c r="C656" s="38" t="s">
        <v>141</v>
      </c>
      <c r="D656" s="39" t="s">
        <v>2455</v>
      </c>
      <c r="E656" s="38" t="s">
        <v>6</v>
      </c>
      <c r="F656" s="38">
        <v>2022.0</v>
      </c>
      <c r="G656" s="38" t="s">
        <v>124</v>
      </c>
      <c r="H656" s="38">
        <v>2025.0</v>
      </c>
      <c r="I656" s="38" t="s">
        <v>124</v>
      </c>
      <c r="J656" s="38" t="s">
        <v>28</v>
      </c>
      <c r="K656" s="40" t="s">
        <v>124</v>
      </c>
      <c r="L656" s="51">
        <v>0.45</v>
      </c>
      <c r="M656" s="40">
        <v>0.45</v>
      </c>
      <c r="N656" s="38" t="s">
        <v>136</v>
      </c>
      <c r="O656" s="41" t="s">
        <v>71</v>
      </c>
      <c r="P656" s="42" t="s">
        <v>124</v>
      </c>
      <c r="Q656" s="38" t="s">
        <v>143</v>
      </c>
      <c r="R656" s="42" t="s">
        <v>2456</v>
      </c>
      <c r="S656" s="42" t="s">
        <v>124</v>
      </c>
      <c r="T656" s="42" t="s">
        <v>124</v>
      </c>
      <c r="U656" s="42" t="s">
        <v>124</v>
      </c>
      <c r="V656" s="42" t="s">
        <v>124</v>
      </c>
      <c r="W656" s="42" t="s">
        <v>124</v>
      </c>
      <c r="X656" s="42" t="s">
        <v>124</v>
      </c>
      <c r="Y656" s="43" t="str">
        <f>IF(CCUS_Projects_Database!$R656&lt;&gt;"",HYPERLINK(CCUS_Projects_Database!$R656,"Link 1"),"")</f>
        <v>Link 1</v>
      </c>
      <c r="Z656" s="43" t="str">
        <f>IF(CCUS_Projects_Database!$S656&lt;&gt;"",HYPERLINK(CCUS_Projects_Database!$S656,"Link 2"),"")</f>
        <v/>
      </c>
      <c r="AA656" s="43" t="str">
        <f>IF(CCUS_Projects_Database!$T656&lt;&gt;"",HYPERLINK(CCUS_Projects_Database!$T656,"Link 3"),"")</f>
        <v/>
      </c>
      <c r="AB656" s="43" t="str">
        <f>IF(CCUS_Projects_Database!$U656&lt;&gt;"",HYPERLINK(CCUS_Projects_Database!$U656,"Link 4"),"")</f>
        <v/>
      </c>
      <c r="AC656" s="43" t="str">
        <f>IF(CCUS_Projects_Database!$V656&lt;&gt;"",HYPERLINK(CCUS_Projects_Database!$V656,"Link 5"),"")</f>
        <v/>
      </c>
      <c r="AD656" s="43" t="str">
        <f>IF(CCUS_Projects_Database!$W656&lt;&gt;"",HYPERLINK(CCUS_Projects_Database!$W656,"Link 6"),"")</f>
        <v/>
      </c>
      <c r="AE656" s="43" t="str">
        <f>IF(CCUS_Projects_Database!$X656&lt;&gt;"",HYPERLINK(CCUS_Projects_Database!$X656,"Link 7"),"")</f>
        <v/>
      </c>
    </row>
    <row r="657" ht="15.75" customHeight="1">
      <c r="A657" s="44" t="s">
        <v>2457</v>
      </c>
      <c r="B657" s="45">
        <v>332.0</v>
      </c>
      <c r="C657" s="45" t="s">
        <v>157</v>
      </c>
      <c r="D657" s="46" t="s">
        <v>2458</v>
      </c>
      <c r="E657" s="45" t="s">
        <v>8</v>
      </c>
      <c r="F657" s="45">
        <v>2021.0</v>
      </c>
      <c r="G657" s="45">
        <v>2024.0</v>
      </c>
      <c r="H657" s="45">
        <v>2026.0</v>
      </c>
      <c r="I657" s="45" t="s">
        <v>124</v>
      </c>
      <c r="J657" s="45" t="s">
        <v>28</v>
      </c>
      <c r="K657" s="47">
        <v>1.0</v>
      </c>
      <c r="L657" s="52">
        <v>1.2</v>
      </c>
      <c r="M657" s="47">
        <v>1.2</v>
      </c>
      <c r="N657" s="45" t="s">
        <v>136</v>
      </c>
      <c r="O657" s="48" t="s">
        <v>71</v>
      </c>
      <c r="P657" s="49" t="s">
        <v>159</v>
      </c>
      <c r="Q657" s="45" t="s">
        <v>125</v>
      </c>
      <c r="R657" s="49" t="s">
        <v>2459</v>
      </c>
      <c r="S657" s="49" t="s">
        <v>2460</v>
      </c>
      <c r="T657" s="49" t="s">
        <v>124</v>
      </c>
      <c r="U657" s="49" t="s">
        <v>124</v>
      </c>
      <c r="V657" s="49" t="s">
        <v>124</v>
      </c>
      <c r="W657" s="49" t="s">
        <v>124</v>
      </c>
      <c r="X657" s="49" t="s">
        <v>124</v>
      </c>
      <c r="Y657" s="50" t="str">
        <f>IF(CCUS_Projects_Database!$R657&lt;&gt;"",HYPERLINK(CCUS_Projects_Database!$R657,"Link 1"),"")</f>
        <v>Link 1</v>
      </c>
      <c r="Z657" s="50" t="str">
        <f>IF(CCUS_Projects_Database!$S657&lt;&gt;"",HYPERLINK(CCUS_Projects_Database!$S657,"Link 2"),"")</f>
        <v>Link 2</v>
      </c>
      <c r="AA657" s="50" t="str">
        <f>IF(CCUS_Projects_Database!$T657&lt;&gt;"",HYPERLINK(CCUS_Projects_Database!$T657,"Link 3"),"")</f>
        <v/>
      </c>
      <c r="AB657" s="50" t="str">
        <f>IF(CCUS_Projects_Database!$U657&lt;&gt;"",HYPERLINK(CCUS_Projects_Database!$U657,"Link 4"),"")</f>
        <v/>
      </c>
      <c r="AC657" s="50" t="str">
        <f>IF(CCUS_Projects_Database!$V657&lt;&gt;"",HYPERLINK(CCUS_Projects_Database!$V657,"Link 5"),"")</f>
        <v/>
      </c>
      <c r="AD657" s="50" t="str">
        <f>IF(CCUS_Projects_Database!$W657&lt;&gt;"",HYPERLINK(CCUS_Projects_Database!$W657,"Link 6"),"")</f>
        <v/>
      </c>
      <c r="AE657" s="50" t="str">
        <f>IF(CCUS_Projects_Database!$X657&lt;&gt;"",HYPERLINK(CCUS_Projects_Database!$X657,"Link 7"),"")</f>
        <v/>
      </c>
    </row>
    <row r="658" ht="15.75" customHeight="1">
      <c r="A658" s="37" t="s">
        <v>2461</v>
      </c>
      <c r="B658" s="38">
        <v>333.0</v>
      </c>
      <c r="C658" s="38" t="s">
        <v>157</v>
      </c>
      <c r="D658" s="39" t="s">
        <v>2458</v>
      </c>
      <c r="E658" s="38" t="s">
        <v>8</v>
      </c>
      <c r="F658" s="38">
        <v>2021.0</v>
      </c>
      <c r="G658" s="38">
        <v>2024.0</v>
      </c>
      <c r="H658" s="38">
        <v>2026.0</v>
      </c>
      <c r="I658" s="38" t="s">
        <v>124</v>
      </c>
      <c r="J658" s="38" t="s">
        <v>28</v>
      </c>
      <c r="K658" s="40">
        <v>2.0</v>
      </c>
      <c r="L658" s="51">
        <v>1.8</v>
      </c>
      <c r="M658" s="40">
        <v>1.8</v>
      </c>
      <c r="N658" s="38" t="s">
        <v>136</v>
      </c>
      <c r="O658" s="41" t="s">
        <v>71</v>
      </c>
      <c r="P658" s="42" t="s">
        <v>159</v>
      </c>
      <c r="Q658" s="38" t="s">
        <v>125</v>
      </c>
      <c r="R658" s="42" t="s">
        <v>2459</v>
      </c>
      <c r="S658" s="42" t="s">
        <v>2460</v>
      </c>
      <c r="T658" s="42" t="s">
        <v>124</v>
      </c>
      <c r="U658" s="42" t="s">
        <v>124</v>
      </c>
      <c r="V658" s="42" t="s">
        <v>124</v>
      </c>
      <c r="W658" s="42" t="s">
        <v>124</v>
      </c>
      <c r="X658" s="42" t="s">
        <v>124</v>
      </c>
      <c r="Y658" s="43" t="str">
        <f>IF(CCUS_Projects_Database!$R658&lt;&gt;"",HYPERLINK(CCUS_Projects_Database!$R658,"Link 1"),"")</f>
        <v>Link 1</v>
      </c>
      <c r="Z658" s="43" t="str">
        <f>IF(CCUS_Projects_Database!$S658&lt;&gt;"",HYPERLINK(CCUS_Projects_Database!$S658,"Link 2"),"")</f>
        <v>Link 2</v>
      </c>
      <c r="AA658" s="43" t="str">
        <f>IF(CCUS_Projects_Database!$T658&lt;&gt;"",HYPERLINK(CCUS_Projects_Database!$T658,"Link 3"),"")</f>
        <v/>
      </c>
      <c r="AB658" s="43" t="str">
        <f>IF(CCUS_Projects_Database!$U658&lt;&gt;"",HYPERLINK(CCUS_Projects_Database!$U658,"Link 4"),"")</f>
        <v/>
      </c>
      <c r="AC658" s="43" t="str">
        <f>IF(CCUS_Projects_Database!$V658&lt;&gt;"",HYPERLINK(CCUS_Projects_Database!$V658,"Link 5"),"")</f>
        <v/>
      </c>
      <c r="AD658" s="43" t="str">
        <f>IF(CCUS_Projects_Database!$W658&lt;&gt;"",HYPERLINK(CCUS_Projects_Database!$W658,"Link 6"),"")</f>
        <v/>
      </c>
      <c r="AE658" s="43" t="str">
        <f>IF(CCUS_Projects_Database!$X658&lt;&gt;"",HYPERLINK(CCUS_Projects_Database!$X658,"Link 7"),"")</f>
        <v/>
      </c>
    </row>
    <row r="659" ht="15.75" customHeight="1">
      <c r="A659" s="44" t="s">
        <v>2462</v>
      </c>
      <c r="B659" s="45">
        <v>509.0</v>
      </c>
      <c r="C659" s="45" t="s">
        <v>239</v>
      </c>
      <c r="D659" s="46" t="s">
        <v>2463</v>
      </c>
      <c r="E659" s="45" t="s">
        <v>8</v>
      </c>
      <c r="F659" s="45">
        <v>2022.0</v>
      </c>
      <c r="G659" s="45" t="s">
        <v>124</v>
      </c>
      <c r="H659" s="45" t="s">
        <v>124</v>
      </c>
      <c r="I659" s="45" t="s">
        <v>124</v>
      </c>
      <c r="J659" s="45" t="s">
        <v>28</v>
      </c>
      <c r="K659" s="47" t="s">
        <v>124</v>
      </c>
      <c r="L659" s="47"/>
      <c r="M659" s="47" t="s">
        <v>124</v>
      </c>
      <c r="N659" s="45" t="s">
        <v>46</v>
      </c>
      <c r="O659" s="48" t="s">
        <v>71</v>
      </c>
      <c r="P659" s="49" t="s">
        <v>2464</v>
      </c>
      <c r="Q659" s="45" t="s">
        <v>143</v>
      </c>
      <c r="R659" s="49" t="s">
        <v>464</v>
      </c>
      <c r="S659" s="49" t="s">
        <v>2465</v>
      </c>
      <c r="T659" s="49" t="s">
        <v>124</v>
      </c>
      <c r="U659" s="49" t="s">
        <v>124</v>
      </c>
      <c r="V659" s="49" t="s">
        <v>124</v>
      </c>
      <c r="W659" s="49" t="s">
        <v>124</v>
      </c>
      <c r="X659" s="49" t="s">
        <v>124</v>
      </c>
      <c r="Y659" s="50" t="str">
        <f>IF(CCUS_Projects_Database!$R659&lt;&gt;"",HYPERLINK(CCUS_Projects_Database!$R659,"Link 1"),"")</f>
        <v>Link 1</v>
      </c>
      <c r="Z659" s="50" t="str">
        <f>IF(CCUS_Projects_Database!$S659&lt;&gt;"",HYPERLINK(CCUS_Projects_Database!$S659,"Link 2"),"")</f>
        <v>Link 2</v>
      </c>
      <c r="AA659" s="50" t="str">
        <f>IF(CCUS_Projects_Database!$T659&lt;&gt;"",HYPERLINK(CCUS_Projects_Database!$T659,"Link 3"),"")</f>
        <v/>
      </c>
      <c r="AB659" s="50" t="str">
        <f>IF(CCUS_Projects_Database!$U659&lt;&gt;"",HYPERLINK(CCUS_Projects_Database!$U659,"Link 4"),"")</f>
        <v/>
      </c>
      <c r="AC659" s="50" t="str">
        <f>IF(CCUS_Projects_Database!$V659&lt;&gt;"",HYPERLINK(CCUS_Projects_Database!$V659,"Link 5"),"")</f>
        <v/>
      </c>
      <c r="AD659" s="50" t="str">
        <f>IF(CCUS_Projects_Database!$W659&lt;&gt;"",HYPERLINK(CCUS_Projects_Database!$W659,"Link 6"),"")</f>
        <v/>
      </c>
      <c r="AE659" s="50" t="str">
        <f>IF(CCUS_Projects_Database!$X659&lt;&gt;"",HYPERLINK(CCUS_Projects_Database!$X659,"Link 7"),"")</f>
        <v/>
      </c>
    </row>
    <row r="660" ht="15.75" customHeight="1">
      <c r="A660" s="37" t="s">
        <v>2464</v>
      </c>
      <c r="B660" s="38">
        <v>1126.0</v>
      </c>
      <c r="C660" s="38" t="s">
        <v>239</v>
      </c>
      <c r="D660" s="39" t="s">
        <v>2466</v>
      </c>
      <c r="E660" s="38" t="s">
        <v>14</v>
      </c>
      <c r="F660" s="38">
        <v>2022.0</v>
      </c>
      <c r="G660" s="38" t="s">
        <v>124</v>
      </c>
      <c r="H660" s="38" t="s">
        <v>124</v>
      </c>
      <c r="I660" s="38" t="s">
        <v>124</v>
      </c>
      <c r="J660" s="38" t="s">
        <v>28</v>
      </c>
      <c r="K660" s="40" t="s">
        <v>124</v>
      </c>
      <c r="L660" s="51">
        <v>3.0</v>
      </c>
      <c r="M660" s="40">
        <v>3.0</v>
      </c>
      <c r="N660" s="38" t="s">
        <v>14</v>
      </c>
      <c r="O660" s="41" t="s">
        <v>71</v>
      </c>
      <c r="P660" s="42" t="s">
        <v>2464</v>
      </c>
      <c r="Q660" s="38" t="s">
        <v>143</v>
      </c>
      <c r="R660" s="42" t="s">
        <v>2467</v>
      </c>
      <c r="S660" s="42" t="s">
        <v>2465</v>
      </c>
      <c r="T660" s="42" t="s">
        <v>124</v>
      </c>
      <c r="U660" s="42" t="s">
        <v>124</v>
      </c>
      <c r="V660" s="42" t="s">
        <v>124</v>
      </c>
      <c r="W660" s="42" t="s">
        <v>124</v>
      </c>
      <c r="X660" s="42" t="s">
        <v>124</v>
      </c>
      <c r="Y660" s="43" t="str">
        <f>IF(CCUS_Projects_Database!$R660&lt;&gt;"",HYPERLINK(CCUS_Projects_Database!$R660,"Link 1"),"")</f>
        <v>Link 1</v>
      </c>
      <c r="Z660" s="43" t="str">
        <f>IF(CCUS_Projects_Database!$S660&lt;&gt;"",HYPERLINK(CCUS_Projects_Database!$S660,"Link 2"),"")</f>
        <v>Link 2</v>
      </c>
      <c r="AA660" s="43" t="str">
        <f>IF(CCUS_Projects_Database!$T660&lt;&gt;"",HYPERLINK(CCUS_Projects_Database!$T660,"Link 3"),"")</f>
        <v/>
      </c>
      <c r="AB660" s="43" t="str">
        <f>IF(CCUS_Projects_Database!$U660&lt;&gt;"",HYPERLINK(CCUS_Projects_Database!$U660,"Link 4"),"")</f>
        <v/>
      </c>
      <c r="AC660" s="43" t="str">
        <f>IF(CCUS_Projects_Database!$V660&lt;&gt;"",HYPERLINK(CCUS_Projects_Database!$V660,"Link 5"),"")</f>
        <v/>
      </c>
      <c r="AD660" s="43" t="str">
        <f>IF(CCUS_Projects_Database!$W660&lt;&gt;"",HYPERLINK(CCUS_Projects_Database!$W660,"Link 6"),"")</f>
        <v/>
      </c>
      <c r="AE660" s="43" t="str">
        <f>IF(CCUS_Projects_Database!$X660&lt;&gt;"",HYPERLINK(CCUS_Projects_Database!$X660,"Link 7"),"")</f>
        <v/>
      </c>
    </row>
    <row r="661" ht="15.75" customHeight="1">
      <c r="A661" s="44" t="s">
        <v>2468</v>
      </c>
      <c r="B661" s="45">
        <v>979.0</v>
      </c>
      <c r="C661" s="45" t="s">
        <v>141</v>
      </c>
      <c r="D661" s="46" t="s">
        <v>2469</v>
      </c>
      <c r="E661" s="45" t="s">
        <v>14</v>
      </c>
      <c r="F661" s="45">
        <v>2023.0</v>
      </c>
      <c r="G661" s="45" t="s">
        <v>124</v>
      </c>
      <c r="H661" s="45" t="s">
        <v>124</v>
      </c>
      <c r="I661" s="45" t="s">
        <v>124</v>
      </c>
      <c r="J661" s="45" t="s">
        <v>28</v>
      </c>
      <c r="K661" s="47" t="s">
        <v>124</v>
      </c>
      <c r="L661" s="52">
        <v>23.0</v>
      </c>
      <c r="M661" s="47">
        <v>23.0</v>
      </c>
      <c r="N661" s="45" t="s">
        <v>14</v>
      </c>
      <c r="O661" s="48" t="s">
        <v>71</v>
      </c>
      <c r="P661" s="49" t="s">
        <v>2468</v>
      </c>
      <c r="Q661" s="45" t="s">
        <v>143</v>
      </c>
      <c r="R661" s="49" t="s">
        <v>155</v>
      </c>
      <c r="S661" s="49" t="s">
        <v>124</v>
      </c>
      <c r="T661" s="49" t="s">
        <v>124</v>
      </c>
      <c r="U661" s="49" t="s">
        <v>124</v>
      </c>
      <c r="V661" s="49" t="s">
        <v>124</v>
      </c>
      <c r="W661" s="49" t="s">
        <v>124</v>
      </c>
      <c r="X661" s="49" t="s">
        <v>124</v>
      </c>
      <c r="Y661" s="50" t="str">
        <f>IF(CCUS_Projects_Database!$R661&lt;&gt;"",HYPERLINK(CCUS_Projects_Database!$R661,"Link 1"),"")</f>
        <v>Link 1</v>
      </c>
      <c r="Z661" s="50" t="str">
        <f>IF(CCUS_Projects_Database!$S661&lt;&gt;"",HYPERLINK(CCUS_Projects_Database!$S661,"Link 2"),"")</f>
        <v/>
      </c>
      <c r="AA661" s="50" t="str">
        <f>IF(CCUS_Projects_Database!$T661&lt;&gt;"",HYPERLINK(CCUS_Projects_Database!$T661,"Link 3"),"")</f>
        <v/>
      </c>
      <c r="AB661" s="50" t="str">
        <f>IF(CCUS_Projects_Database!$U661&lt;&gt;"",HYPERLINK(CCUS_Projects_Database!$U661,"Link 4"),"")</f>
        <v/>
      </c>
      <c r="AC661" s="50" t="str">
        <f>IF(CCUS_Projects_Database!$V661&lt;&gt;"",HYPERLINK(CCUS_Projects_Database!$V661,"Link 5"),"")</f>
        <v/>
      </c>
      <c r="AD661" s="50" t="str">
        <f>IF(CCUS_Projects_Database!$W661&lt;&gt;"",HYPERLINK(CCUS_Projects_Database!$W661,"Link 6"),"")</f>
        <v/>
      </c>
      <c r="AE661" s="50" t="str">
        <f>IF(CCUS_Projects_Database!$X661&lt;&gt;"",HYPERLINK(CCUS_Projects_Database!$X661,"Link 7"),"")</f>
        <v/>
      </c>
    </row>
    <row r="662" ht="15.75" customHeight="1">
      <c r="A662" s="37" t="s">
        <v>2470</v>
      </c>
      <c r="B662" s="38">
        <v>335.0</v>
      </c>
      <c r="C662" s="38" t="s">
        <v>299</v>
      </c>
      <c r="D662" s="39" t="s">
        <v>2471</v>
      </c>
      <c r="E662" s="38" t="s">
        <v>14</v>
      </c>
      <c r="F662" s="38">
        <v>2020.0</v>
      </c>
      <c r="G662" s="38">
        <v>2024.0</v>
      </c>
      <c r="H662" s="38">
        <v>2026.0</v>
      </c>
      <c r="I662" s="38" t="s">
        <v>124</v>
      </c>
      <c r="J662" s="38" t="s">
        <v>28</v>
      </c>
      <c r="K662" s="40">
        <v>1.0</v>
      </c>
      <c r="L662" s="51">
        <v>1.5</v>
      </c>
      <c r="M662" s="40">
        <v>1.5</v>
      </c>
      <c r="N662" s="38" t="s">
        <v>14</v>
      </c>
      <c r="O662" s="41" t="s">
        <v>71</v>
      </c>
      <c r="P662" s="42" t="s">
        <v>2472</v>
      </c>
      <c r="Q662" s="38" t="s">
        <v>125</v>
      </c>
      <c r="R662" s="42" t="s">
        <v>2473</v>
      </c>
      <c r="S662" s="42" t="s">
        <v>2474</v>
      </c>
      <c r="T662" s="42" t="s">
        <v>2475</v>
      </c>
      <c r="U662" s="42" t="s">
        <v>2445</v>
      </c>
      <c r="V662" s="42" t="s">
        <v>2476</v>
      </c>
      <c r="W662" s="42" t="s">
        <v>2477</v>
      </c>
      <c r="X662" s="42" t="s">
        <v>124</v>
      </c>
      <c r="Y662" s="43" t="str">
        <f>IF(CCUS_Projects_Database!$R662&lt;&gt;"",HYPERLINK(CCUS_Projects_Database!$R662,"Link 1"),"")</f>
        <v>Link 1</v>
      </c>
      <c r="Z662" s="43" t="str">
        <f>IF(CCUS_Projects_Database!$S662&lt;&gt;"",HYPERLINK(CCUS_Projects_Database!$S662,"Link 2"),"")</f>
        <v>Link 2</v>
      </c>
      <c r="AA662" s="43" t="str">
        <f>IF(CCUS_Projects_Database!$T662&lt;&gt;"",HYPERLINK(CCUS_Projects_Database!$T662,"Link 3"),"")</f>
        <v>Link 3</v>
      </c>
      <c r="AB662" s="43" t="str">
        <f>IF(CCUS_Projects_Database!$U662&lt;&gt;"",HYPERLINK(CCUS_Projects_Database!$U662,"Link 4"),"")</f>
        <v>Link 4</v>
      </c>
      <c r="AC662" s="43" t="str">
        <f>IF(CCUS_Projects_Database!$V662&lt;&gt;"",HYPERLINK(CCUS_Projects_Database!$V662,"Link 5"),"")</f>
        <v>Link 5</v>
      </c>
      <c r="AD662" s="43" t="str">
        <f>IF(CCUS_Projects_Database!$W662&lt;&gt;"",HYPERLINK(CCUS_Projects_Database!$W662,"Link 6"),"")</f>
        <v>Link 6</v>
      </c>
      <c r="AE662" s="43" t="str">
        <f>IF(CCUS_Projects_Database!$X662&lt;&gt;"",HYPERLINK(CCUS_Projects_Database!$X662,"Link 7"),"")</f>
        <v/>
      </c>
    </row>
    <row r="663" ht="15.75" customHeight="1">
      <c r="A663" s="44" t="s">
        <v>2478</v>
      </c>
      <c r="B663" s="45">
        <v>336.0</v>
      </c>
      <c r="C663" s="45" t="s">
        <v>299</v>
      </c>
      <c r="D663" s="46" t="s">
        <v>2479</v>
      </c>
      <c r="E663" s="45" t="s">
        <v>14</v>
      </c>
      <c r="F663" s="45">
        <v>2020.0</v>
      </c>
      <c r="G663" s="45" t="s">
        <v>124</v>
      </c>
      <c r="H663" s="45">
        <v>2030.0</v>
      </c>
      <c r="I663" s="45" t="s">
        <v>124</v>
      </c>
      <c r="J663" s="45" t="s">
        <v>28</v>
      </c>
      <c r="K663" s="47">
        <v>2.0</v>
      </c>
      <c r="L663" s="52">
        <v>6.5</v>
      </c>
      <c r="M663" s="47">
        <v>6.5</v>
      </c>
      <c r="N663" s="45" t="s">
        <v>14</v>
      </c>
      <c r="O663" s="48" t="s">
        <v>71</v>
      </c>
      <c r="P663" s="49" t="s">
        <v>2472</v>
      </c>
      <c r="Q663" s="45" t="s">
        <v>125</v>
      </c>
      <c r="R663" s="49" t="s">
        <v>2473</v>
      </c>
      <c r="S663" s="49" t="s">
        <v>2474</v>
      </c>
      <c r="T663" s="49" t="s">
        <v>2475</v>
      </c>
      <c r="U663" s="49" t="s">
        <v>2445</v>
      </c>
      <c r="V663" s="49" t="s">
        <v>2476</v>
      </c>
      <c r="W663" s="49" t="s">
        <v>2477</v>
      </c>
      <c r="X663" s="49" t="s">
        <v>124</v>
      </c>
      <c r="Y663" s="50" t="str">
        <f>IF(CCUS_Projects_Database!$R663&lt;&gt;"",HYPERLINK(CCUS_Projects_Database!$R663,"Link 1"),"")</f>
        <v>Link 1</v>
      </c>
      <c r="Z663" s="50" t="str">
        <f>IF(CCUS_Projects_Database!$S663&lt;&gt;"",HYPERLINK(CCUS_Projects_Database!$S663,"Link 2"),"")</f>
        <v>Link 2</v>
      </c>
      <c r="AA663" s="50" t="str">
        <f>IF(CCUS_Projects_Database!$T663&lt;&gt;"",HYPERLINK(CCUS_Projects_Database!$T663,"Link 3"),"")</f>
        <v>Link 3</v>
      </c>
      <c r="AB663" s="50" t="str">
        <f>IF(CCUS_Projects_Database!$U663&lt;&gt;"",HYPERLINK(CCUS_Projects_Database!$U663,"Link 4"),"")</f>
        <v>Link 4</v>
      </c>
      <c r="AC663" s="50" t="str">
        <f>IF(CCUS_Projects_Database!$V663&lt;&gt;"",HYPERLINK(CCUS_Projects_Database!$V663,"Link 5"),"")</f>
        <v>Link 5</v>
      </c>
      <c r="AD663" s="50" t="str">
        <f>IF(CCUS_Projects_Database!$W663&lt;&gt;"",HYPERLINK(CCUS_Projects_Database!$W663,"Link 6"),"")</f>
        <v>Link 6</v>
      </c>
      <c r="AE663" s="50" t="str">
        <f>IF(CCUS_Projects_Database!$X663&lt;&gt;"",HYPERLINK(CCUS_Projects_Database!$X663,"Link 7"),"")</f>
        <v/>
      </c>
    </row>
    <row r="664" ht="15.75" customHeight="1">
      <c r="A664" s="37" t="s">
        <v>2480</v>
      </c>
      <c r="B664" s="38">
        <v>537.0</v>
      </c>
      <c r="C664" s="38" t="s">
        <v>2015</v>
      </c>
      <c r="D664" s="39" t="s">
        <v>2481</v>
      </c>
      <c r="E664" s="38" t="s">
        <v>6</v>
      </c>
      <c r="F664" s="38">
        <v>2022.0</v>
      </c>
      <c r="G664" s="38" t="s">
        <v>124</v>
      </c>
      <c r="H664" s="38">
        <v>2024.0</v>
      </c>
      <c r="I664" s="38" t="s">
        <v>124</v>
      </c>
      <c r="J664" s="38" t="s">
        <v>30</v>
      </c>
      <c r="K664" s="40" t="s">
        <v>124</v>
      </c>
      <c r="L664" s="51">
        <v>0.001</v>
      </c>
      <c r="M664" s="40">
        <v>0.001</v>
      </c>
      <c r="N664" s="38" t="s">
        <v>64</v>
      </c>
      <c r="O664" s="41" t="s">
        <v>71</v>
      </c>
      <c r="P664" s="42" t="s">
        <v>124</v>
      </c>
      <c r="Q664" s="38" t="s">
        <v>137</v>
      </c>
      <c r="R664" s="42" t="s">
        <v>2482</v>
      </c>
      <c r="S664" s="42" t="s">
        <v>124</v>
      </c>
      <c r="T664" s="42" t="s">
        <v>124</v>
      </c>
      <c r="U664" s="42" t="s">
        <v>124</v>
      </c>
      <c r="V664" s="42" t="s">
        <v>124</v>
      </c>
      <c r="W664" s="42" t="s">
        <v>124</v>
      </c>
      <c r="X664" s="42" t="s">
        <v>124</v>
      </c>
      <c r="Y664" s="43" t="str">
        <f>IF(CCUS_Projects_Database!$R664&lt;&gt;"",HYPERLINK(CCUS_Projects_Database!$R664,"Link 1"),"")</f>
        <v>Link 1</v>
      </c>
      <c r="Z664" s="43" t="str">
        <f>IF(CCUS_Projects_Database!$S664&lt;&gt;"",HYPERLINK(CCUS_Projects_Database!$S664,"Link 2"),"")</f>
        <v/>
      </c>
      <c r="AA664" s="43" t="str">
        <f>IF(CCUS_Projects_Database!$T664&lt;&gt;"",HYPERLINK(CCUS_Projects_Database!$T664,"Link 3"),"")</f>
        <v/>
      </c>
      <c r="AB664" s="43" t="str">
        <f>IF(CCUS_Projects_Database!$U664&lt;&gt;"",HYPERLINK(CCUS_Projects_Database!$U664,"Link 4"),"")</f>
        <v/>
      </c>
      <c r="AC664" s="43" t="str">
        <f>IF(CCUS_Projects_Database!$V664&lt;&gt;"",HYPERLINK(CCUS_Projects_Database!$V664,"Link 5"),"")</f>
        <v/>
      </c>
      <c r="AD664" s="43" t="str">
        <f>IF(CCUS_Projects_Database!$W664&lt;&gt;"",HYPERLINK(CCUS_Projects_Database!$W664,"Link 6"),"")</f>
        <v/>
      </c>
      <c r="AE664" s="43" t="str">
        <f>IF(CCUS_Projects_Database!$X664&lt;&gt;"",HYPERLINK(CCUS_Projects_Database!$X664,"Link 7"),"")</f>
        <v/>
      </c>
    </row>
    <row r="665" ht="15.75" customHeight="1">
      <c r="A665" s="44" t="s">
        <v>2483</v>
      </c>
      <c r="B665" s="45">
        <v>1077.0</v>
      </c>
      <c r="C665" s="45" t="s">
        <v>1428</v>
      </c>
      <c r="D665" s="46" t="s">
        <v>2484</v>
      </c>
      <c r="E665" s="45" t="s">
        <v>6</v>
      </c>
      <c r="F665" s="45" t="s">
        <v>124</v>
      </c>
      <c r="G665" s="45" t="s">
        <v>124</v>
      </c>
      <c r="H665" s="45">
        <v>2025.0</v>
      </c>
      <c r="I665" s="45" t="s">
        <v>124</v>
      </c>
      <c r="J665" s="45" t="s">
        <v>28</v>
      </c>
      <c r="K665" s="47">
        <v>1.0</v>
      </c>
      <c r="L665" s="52">
        <v>0.001</v>
      </c>
      <c r="M665" s="47">
        <v>0.001</v>
      </c>
      <c r="N665" s="45" t="s">
        <v>64</v>
      </c>
      <c r="O665" s="48" t="s">
        <v>71</v>
      </c>
      <c r="P665" s="49" t="s">
        <v>124</v>
      </c>
      <c r="Q665" s="45" t="s">
        <v>1430</v>
      </c>
      <c r="R665" s="49" t="s">
        <v>124</v>
      </c>
      <c r="S665" s="49" t="s">
        <v>124</v>
      </c>
      <c r="T665" s="49" t="s">
        <v>124</v>
      </c>
      <c r="U665" s="49" t="s">
        <v>124</v>
      </c>
      <c r="V665" s="49" t="s">
        <v>124</v>
      </c>
      <c r="W665" s="49" t="s">
        <v>124</v>
      </c>
      <c r="X665" s="49" t="s">
        <v>124</v>
      </c>
      <c r="Y665" s="50" t="str">
        <f>IF(CCUS_Projects_Database!$R665&lt;&gt;"",HYPERLINK(CCUS_Projects_Database!$R665,"Link 1"),"")</f>
        <v/>
      </c>
      <c r="Z665" s="50" t="str">
        <f>IF(CCUS_Projects_Database!$S665&lt;&gt;"",HYPERLINK(CCUS_Projects_Database!$S665,"Link 2"),"")</f>
        <v/>
      </c>
      <c r="AA665" s="50" t="str">
        <f>IF(CCUS_Projects_Database!$T665&lt;&gt;"",HYPERLINK(CCUS_Projects_Database!$T665,"Link 3"),"")</f>
        <v/>
      </c>
      <c r="AB665" s="50" t="str">
        <f>IF(CCUS_Projects_Database!$U665&lt;&gt;"",HYPERLINK(CCUS_Projects_Database!$U665,"Link 4"),"")</f>
        <v/>
      </c>
      <c r="AC665" s="50" t="str">
        <f>IF(CCUS_Projects_Database!$V665&lt;&gt;"",HYPERLINK(CCUS_Projects_Database!$V665,"Link 5"),"")</f>
        <v/>
      </c>
      <c r="AD665" s="50" t="str">
        <f>IF(CCUS_Projects_Database!$W665&lt;&gt;"",HYPERLINK(CCUS_Projects_Database!$W665,"Link 6"),"")</f>
        <v/>
      </c>
      <c r="AE665" s="50" t="str">
        <f>IF(CCUS_Projects_Database!$X665&lt;&gt;"",HYPERLINK(CCUS_Projects_Database!$X665,"Link 7"),"")</f>
        <v/>
      </c>
    </row>
    <row r="666" ht="15.75" customHeight="1">
      <c r="A666" s="37" t="s">
        <v>2485</v>
      </c>
      <c r="B666" s="38">
        <v>337.0</v>
      </c>
      <c r="C666" s="38" t="s">
        <v>141</v>
      </c>
      <c r="D666" s="39" t="s">
        <v>2486</v>
      </c>
      <c r="E666" s="38" t="s">
        <v>6</v>
      </c>
      <c r="F666" s="38">
        <v>2018.0</v>
      </c>
      <c r="G666" s="38" t="s">
        <v>124</v>
      </c>
      <c r="H666" s="38">
        <v>2024.0</v>
      </c>
      <c r="I666" s="38" t="s">
        <v>124</v>
      </c>
      <c r="J666" s="38" t="s">
        <v>28</v>
      </c>
      <c r="K666" s="40" t="s">
        <v>124</v>
      </c>
      <c r="L666" s="51">
        <v>0.35</v>
      </c>
      <c r="M666" s="40">
        <v>0.35</v>
      </c>
      <c r="N666" s="38" t="s">
        <v>50</v>
      </c>
      <c r="O666" s="41" t="s">
        <v>73</v>
      </c>
      <c r="P666" s="42" t="s">
        <v>124</v>
      </c>
      <c r="Q666" s="38" t="s">
        <v>143</v>
      </c>
      <c r="R666" s="42" t="s">
        <v>2487</v>
      </c>
      <c r="S666" s="42" t="s">
        <v>124</v>
      </c>
      <c r="T666" s="42" t="s">
        <v>124</v>
      </c>
      <c r="U666" s="42" t="s">
        <v>124</v>
      </c>
      <c r="V666" s="42" t="s">
        <v>124</v>
      </c>
      <c r="W666" s="42" t="s">
        <v>124</v>
      </c>
      <c r="X666" s="42" t="s">
        <v>124</v>
      </c>
      <c r="Y666" s="43" t="str">
        <f>IF(CCUS_Projects_Database!$R666&lt;&gt;"",HYPERLINK(CCUS_Projects_Database!$R666,"Link 1"),"")</f>
        <v>Link 1</v>
      </c>
      <c r="Z666" s="43" t="str">
        <f>IF(CCUS_Projects_Database!$S666&lt;&gt;"",HYPERLINK(CCUS_Projects_Database!$S666,"Link 2"),"")</f>
        <v/>
      </c>
      <c r="AA666" s="43" t="str">
        <f>IF(CCUS_Projects_Database!$T666&lt;&gt;"",HYPERLINK(CCUS_Projects_Database!$T666,"Link 3"),"")</f>
        <v/>
      </c>
      <c r="AB666" s="43" t="str">
        <f>IF(CCUS_Projects_Database!$U666&lt;&gt;"",HYPERLINK(CCUS_Projects_Database!$U666,"Link 4"),"")</f>
        <v/>
      </c>
      <c r="AC666" s="43" t="str">
        <f>IF(CCUS_Projects_Database!$V666&lt;&gt;"",HYPERLINK(CCUS_Projects_Database!$V666,"Link 5"),"")</f>
        <v/>
      </c>
      <c r="AD666" s="43" t="str">
        <f>IF(CCUS_Projects_Database!$W666&lt;&gt;"",HYPERLINK(CCUS_Projects_Database!$W666,"Link 6"),"")</f>
        <v/>
      </c>
      <c r="AE666" s="43" t="str">
        <f>IF(CCUS_Projects_Database!$X666&lt;&gt;"",HYPERLINK(CCUS_Projects_Database!$X666,"Link 7"),"")</f>
        <v/>
      </c>
    </row>
    <row r="667" ht="15.75" customHeight="1">
      <c r="A667" s="44" t="s">
        <v>2488</v>
      </c>
      <c r="B667" s="45">
        <v>338.0</v>
      </c>
      <c r="C667" s="45" t="s">
        <v>141</v>
      </c>
      <c r="D667" s="46" t="s">
        <v>2486</v>
      </c>
      <c r="E667" s="45" t="s">
        <v>6</v>
      </c>
      <c r="F667" s="45">
        <v>2018.0</v>
      </c>
      <c r="G667" s="45" t="s">
        <v>124</v>
      </c>
      <c r="H667" s="45">
        <v>2024.0</v>
      </c>
      <c r="I667" s="45" t="s">
        <v>124</v>
      </c>
      <c r="J667" s="45" t="s">
        <v>28</v>
      </c>
      <c r="K667" s="47" t="s">
        <v>124</v>
      </c>
      <c r="L667" s="52">
        <v>0.35</v>
      </c>
      <c r="M667" s="47">
        <v>0.35</v>
      </c>
      <c r="N667" s="45" t="s">
        <v>50</v>
      </c>
      <c r="O667" s="48" t="s">
        <v>73</v>
      </c>
      <c r="P667" s="49" t="s">
        <v>124</v>
      </c>
      <c r="Q667" s="45" t="s">
        <v>143</v>
      </c>
      <c r="R667" s="49" t="s">
        <v>2487</v>
      </c>
      <c r="S667" s="49" t="s">
        <v>124</v>
      </c>
      <c r="T667" s="49" t="s">
        <v>124</v>
      </c>
      <c r="U667" s="49" t="s">
        <v>124</v>
      </c>
      <c r="V667" s="49" t="s">
        <v>124</v>
      </c>
      <c r="W667" s="49" t="s">
        <v>124</v>
      </c>
      <c r="X667" s="49" t="s">
        <v>124</v>
      </c>
      <c r="Y667" s="50" t="str">
        <f>IF(CCUS_Projects_Database!$R667&lt;&gt;"",HYPERLINK(CCUS_Projects_Database!$R667,"Link 1"),"")</f>
        <v>Link 1</v>
      </c>
      <c r="Z667" s="50" t="str">
        <f>IF(CCUS_Projects_Database!$S667&lt;&gt;"",HYPERLINK(CCUS_Projects_Database!$S667,"Link 2"),"")</f>
        <v/>
      </c>
      <c r="AA667" s="50" t="str">
        <f>IF(CCUS_Projects_Database!$T667&lt;&gt;"",HYPERLINK(CCUS_Projects_Database!$T667,"Link 3"),"")</f>
        <v/>
      </c>
      <c r="AB667" s="50" t="str">
        <f>IF(CCUS_Projects_Database!$U667&lt;&gt;"",HYPERLINK(CCUS_Projects_Database!$U667,"Link 4"),"")</f>
        <v/>
      </c>
      <c r="AC667" s="50" t="str">
        <f>IF(CCUS_Projects_Database!$V667&lt;&gt;"",HYPERLINK(CCUS_Projects_Database!$V667,"Link 5"),"")</f>
        <v/>
      </c>
      <c r="AD667" s="50" t="str">
        <f>IF(CCUS_Projects_Database!$W667&lt;&gt;"",HYPERLINK(CCUS_Projects_Database!$W667,"Link 6"),"")</f>
        <v/>
      </c>
      <c r="AE667" s="50" t="str">
        <f>IF(CCUS_Projects_Database!$X667&lt;&gt;"",HYPERLINK(CCUS_Projects_Database!$X667,"Link 7"),"")</f>
        <v/>
      </c>
    </row>
    <row r="668" ht="15.75" customHeight="1">
      <c r="A668" s="37" t="s">
        <v>2489</v>
      </c>
      <c r="B668" s="38">
        <v>718.0</v>
      </c>
      <c r="C668" s="38" t="s">
        <v>141</v>
      </c>
      <c r="D668" s="39" t="s">
        <v>2490</v>
      </c>
      <c r="E668" s="38" t="s">
        <v>14</v>
      </c>
      <c r="F668" s="38">
        <v>2022.0</v>
      </c>
      <c r="G668" s="38" t="s">
        <v>124</v>
      </c>
      <c r="H668" s="38">
        <v>2030.0</v>
      </c>
      <c r="I668" s="38" t="s">
        <v>124</v>
      </c>
      <c r="J668" s="38" t="s">
        <v>28</v>
      </c>
      <c r="K668" s="40" t="s">
        <v>124</v>
      </c>
      <c r="L668" s="40"/>
      <c r="M668" s="40" t="s">
        <v>124</v>
      </c>
      <c r="N668" s="38" t="s">
        <v>14</v>
      </c>
      <c r="O668" s="41" t="s">
        <v>71</v>
      </c>
      <c r="P668" s="42" t="s">
        <v>2489</v>
      </c>
      <c r="Q668" s="38" t="s">
        <v>143</v>
      </c>
      <c r="R668" s="42" t="s">
        <v>613</v>
      </c>
      <c r="S668" s="42" t="s">
        <v>2491</v>
      </c>
      <c r="T668" s="42" t="s">
        <v>2492</v>
      </c>
      <c r="U668" s="42" t="s">
        <v>615</v>
      </c>
      <c r="V668" s="42" t="s">
        <v>124</v>
      </c>
      <c r="W668" s="42" t="s">
        <v>124</v>
      </c>
      <c r="X668" s="42" t="s">
        <v>124</v>
      </c>
      <c r="Y668" s="43" t="str">
        <f>IF(CCUS_Projects_Database!$R668&lt;&gt;"",HYPERLINK(CCUS_Projects_Database!$R668,"Link 1"),"")</f>
        <v>Link 1</v>
      </c>
      <c r="Z668" s="43" t="str">
        <f>IF(CCUS_Projects_Database!$S668&lt;&gt;"",HYPERLINK(CCUS_Projects_Database!$S668,"Link 2"),"")</f>
        <v>Link 2</v>
      </c>
      <c r="AA668" s="43" t="str">
        <f>IF(CCUS_Projects_Database!$T668&lt;&gt;"",HYPERLINK(CCUS_Projects_Database!$T668,"Link 3"),"")</f>
        <v>Link 3</v>
      </c>
      <c r="AB668" s="43" t="str">
        <f>IF(CCUS_Projects_Database!$U668&lt;&gt;"",HYPERLINK(CCUS_Projects_Database!$U668,"Link 4"),"")</f>
        <v>Link 4</v>
      </c>
      <c r="AC668" s="43" t="str">
        <f>IF(CCUS_Projects_Database!$V668&lt;&gt;"",HYPERLINK(CCUS_Projects_Database!$V668,"Link 5"),"")</f>
        <v/>
      </c>
      <c r="AD668" s="43" t="str">
        <f>IF(CCUS_Projects_Database!$W668&lt;&gt;"",HYPERLINK(CCUS_Projects_Database!$W668,"Link 6"),"")</f>
        <v/>
      </c>
      <c r="AE668" s="43" t="str">
        <f>IF(CCUS_Projects_Database!$X668&lt;&gt;"",HYPERLINK(CCUS_Projects_Database!$X668,"Link 7"),"")</f>
        <v/>
      </c>
    </row>
    <row r="669" ht="15.75" customHeight="1">
      <c r="A669" s="44" t="s">
        <v>2493</v>
      </c>
      <c r="B669" s="45">
        <v>717.0</v>
      </c>
      <c r="C669" s="45" t="s">
        <v>141</v>
      </c>
      <c r="D669" s="46" t="s">
        <v>387</v>
      </c>
      <c r="E669" s="45" t="s">
        <v>12</v>
      </c>
      <c r="F669" s="45">
        <v>2022.0</v>
      </c>
      <c r="G669" s="45" t="s">
        <v>124</v>
      </c>
      <c r="H669" s="45" t="s">
        <v>124</v>
      </c>
      <c r="I669" s="45" t="s">
        <v>124</v>
      </c>
      <c r="J669" s="45" t="s">
        <v>28</v>
      </c>
      <c r="K669" s="47" t="s">
        <v>124</v>
      </c>
      <c r="L669" s="47"/>
      <c r="M669" s="47" t="s">
        <v>124</v>
      </c>
      <c r="N669" s="45" t="s">
        <v>12</v>
      </c>
      <c r="O669" s="48" t="s">
        <v>71</v>
      </c>
      <c r="P669" s="49" t="s">
        <v>2493</v>
      </c>
      <c r="Q669" s="45" t="s">
        <v>143</v>
      </c>
      <c r="R669" s="49" t="s">
        <v>613</v>
      </c>
      <c r="S669" s="49" t="s">
        <v>124</v>
      </c>
      <c r="T669" s="49" t="s">
        <v>124</v>
      </c>
      <c r="U669" s="49" t="s">
        <v>124</v>
      </c>
      <c r="V669" s="49" t="s">
        <v>124</v>
      </c>
      <c r="W669" s="49" t="s">
        <v>124</v>
      </c>
      <c r="X669" s="49" t="s">
        <v>124</v>
      </c>
      <c r="Y669" s="50" t="str">
        <f>IF(CCUS_Projects_Database!$R669&lt;&gt;"",HYPERLINK(CCUS_Projects_Database!$R669,"Link 1"),"")</f>
        <v>Link 1</v>
      </c>
      <c r="Z669" s="50" t="str">
        <f>IF(CCUS_Projects_Database!$S669&lt;&gt;"",HYPERLINK(CCUS_Projects_Database!$S669,"Link 2"),"")</f>
        <v/>
      </c>
      <c r="AA669" s="50" t="str">
        <f>IF(CCUS_Projects_Database!$T669&lt;&gt;"",HYPERLINK(CCUS_Projects_Database!$T669,"Link 3"),"")</f>
        <v/>
      </c>
      <c r="AB669" s="50" t="str">
        <f>IF(CCUS_Projects_Database!$U669&lt;&gt;"",HYPERLINK(CCUS_Projects_Database!$U669,"Link 4"),"")</f>
        <v/>
      </c>
      <c r="AC669" s="50" t="str">
        <f>IF(CCUS_Projects_Database!$V669&lt;&gt;"",HYPERLINK(CCUS_Projects_Database!$V669,"Link 5"),"")</f>
        <v/>
      </c>
      <c r="AD669" s="50" t="str">
        <f>IF(CCUS_Projects_Database!$W669&lt;&gt;"",HYPERLINK(CCUS_Projects_Database!$W669,"Link 6"),"")</f>
        <v/>
      </c>
      <c r="AE669" s="50" t="str">
        <f>IF(CCUS_Projects_Database!$X669&lt;&gt;"",HYPERLINK(CCUS_Projects_Database!$X669,"Link 7"),"")</f>
        <v/>
      </c>
    </row>
    <row r="670" ht="15.75" customHeight="1">
      <c r="A670" s="37" t="s">
        <v>2494</v>
      </c>
      <c r="B670" s="38">
        <v>339.0</v>
      </c>
      <c r="C670" s="38" t="s">
        <v>141</v>
      </c>
      <c r="D670" s="39" t="s">
        <v>2495</v>
      </c>
      <c r="E670" s="38" t="s">
        <v>6</v>
      </c>
      <c r="F670" s="38">
        <v>2022.0</v>
      </c>
      <c r="G670" s="38" t="s">
        <v>124</v>
      </c>
      <c r="H670" s="38" t="s">
        <v>124</v>
      </c>
      <c r="I670" s="38" t="s">
        <v>124</v>
      </c>
      <c r="J670" s="38" t="s">
        <v>28</v>
      </c>
      <c r="K670" s="40" t="s">
        <v>124</v>
      </c>
      <c r="L670" s="40"/>
      <c r="M670" s="40" t="s">
        <v>124</v>
      </c>
      <c r="N670" s="38" t="s">
        <v>136</v>
      </c>
      <c r="O670" s="41" t="s">
        <v>77</v>
      </c>
      <c r="P670" s="42" t="s">
        <v>124</v>
      </c>
      <c r="Q670" s="38" t="s">
        <v>143</v>
      </c>
      <c r="R670" s="42" t="s">
        <v>124</v>
      </c>
      <c r="S670" s="42" t="s">
        <v>124</v>
      </c>
      <c r="T670" s="42" t="s">
        <v>124</v>
      </c>
      <c r="U670" s="42" t="s">
        <v>124</v>
      </c>
      <c r="V670" s="42" t="s">
        <v>124</v>
      </c>
      <c r="W670" s="42" t="s">
        <v>124</v>
      </c>
      <c r="X670" s="42" t="s">
        <v>124</v>
      </c>
      <c r="Y670" s="43" t="str">
        <f>IF(CCUS_Projects_Database!$R670&lt;&gt;"",HYPERLINK(CCUS_Projects_Database!$R670,"Link 1"),"")</f>
        <v/>
      </c>
      <c r="Z670" s="43" t="str">
        <f>IF(CCUS_Projects_Database!$S670&lt;&gt;"",HYPERLINK(CCUS_Projects_Database!$S670,"Link 2"),"")</f>
        <v/>
      </c>
      <c r="AA670" s="43" t="str">
        <f>IF(CCUS_Projects_Database!$T670&lt;&gt;"",HYPERLINK(CCUS_Projects_Database!$T670,"Link 3"),"")</f>
        <v/>
      </c>
      <c r="AB670" s="43" t="str">
        <f>IF(CCUS_Projects_Database!$U670&lt;&gt;"",HYPERLINK(CCUS_Projects_Database!$U670,"Link 4"),"")</f>
        <v/>
      </c>
      <c r="AC670" s="43" t="str">
        <f>IF(CCUS_Projects_Database!$V670&lt;&gt;"",HYPERLINK(CCUS_Projects_Database!$V670,"Link 5"),"")</f>
        <v/>
      </c>
      <c r="AD670" s="43" t="str">
        <f>IF(CCUS_Projects_Database!$W670&lt;&gt;"",HYPERLINK(CCUS_Projects_Database!$W670,"Link 6"),"")</f>
        <v/>
      </c>
      <c r="AE670" s="43" t="str">
        <f>IF(CCUS_Projects_Database!$X670&lt;&gt;"",HYPERLINK(CCUS_Projects_Database!$X670,"Link 7"),"")</f>
        <v/>
      </c>
    </row>
    <row r="671" ht="15.75" customHeight="1">
      <c r="A671" s="44" t="s">
        <v>2496</v>
      </c>
      <c r="B671" s="45">
        <v>340.0</v>
      </c>
      <c r="C671" s="45" t="s">
        <v>2497</v>
      </c>
      <c r="D671" s="46" t="s">
        <v>2498</v>
      </c>
      <c r="E671" s="45" t="s">
        <v>6</v>
      </c>
      <c r="F671" s="45">
        <v>2018.0</v>
      </c>
      <c r="G671" s="45" t="s">
        <v>124</v>
      </c>
      <c r="H671" s="45">
        <v>2024.0</v>
      </c>
      <c r="I671" s="45" t="s">
        <v>124</v>
      </c>
      <c r="J671" s="45" t="s">
        <v>28</v>
      </c>
      <c r="K671" s="47" t="s">
        <v>124</v>
      </c>
      <c r="L671" s="52">
        <v>1.0</v>
      </c>
      <c r="M671" s="47">
        <v>1.0</v>
      </c>
      <c r="N671" s="45" t="s">
        <v>136</v>
      </c>
      <c r="O671" s="48" t="s">
        <v>77</v>
      </c>
      <c r="P671" s="49" t="s">
        <v>124</v>
      </c>
      <c r="Q671" s="45" t="s">
        <v>184</v>
      </c>
      <c r="R671" s="49" t="s">
        <v>2499</v>
      </c>
      <c r="S671" s="49" t="s">
        <v>124</v>
      </c>
      <c r="T671" s="49" t="s">
        <v>124</v>
      </c>
      <c r="U671" s="49" t="s">
        <v>124</v>
      </c>
      <c r="V671" s="49" t="s">
        <v>124</v>
      </c>
      <c r="W671" s="49" t="s">
        <v>124</v>
      </c>
      <c r="X671" s="49" t="s">
        <v>124</v>
      </c>
      <c r="Y671" s="50" t="str">
        <f>IF(CCUS_Projects_Database!$R671&lt;&gt;"",HYPERLINK(CCUS_Projects_Database!$R671,"Link 1"),"")</f>
        <v>Link 1</v>
      </c>
      <c r="Z671" s="50" t="str">
        <f>IF(CCUS_Projects_Database!$S671&lt;&gt;"",HYPERLINK(CCUS_Projects_Database!$S671,"Link 2"),"")</f>
        <v/>
      </c>
      <c r="AA671" s="50" t="str">
        <f>IF(CCUS_Projects_Database!$T671&lt;&gt;"",HYPERLINK(CCUS_Projects_Database!$T671,"Link 3"),"")</f>
        <v/>
      </c>
      <c r="AB671" s="50" t="str">
        <f>IF(CCUS_Projects_Database!$U671&lt;&gt;"",HYPERLINK(CCUS_Projects_Database!$U671,"Link 4"),"")</f>
        <v/>
      </c>
      <c r="AC671" s="50" t="str">
        <f>IF(CCUS_Projects_Database!$V671&lt;&gt;"",HYPERLINK(CCUS_Projects_Database!$V671,"Link 5"),"")</f>
        <v/>
      </c>
      <c r="AD671" s="50" t="str">
        <f>IF(CCUS_Projects_Database!$W671&lt;&gt;"",HYPERLINK(CCUS_Projects_Database!$W671,"Link 6"),"")</f>
        <v/>
      </c>
      <c r="AE671" s="50" t="str">
        <f>IF(CCUS_Projects_Database!$X671&lt;&gt;"",HYPERLINK(CCUS_Projects_Database!$X671,"Link 7"),"")</f>
        <v/>
      </c>
    </row>
    <row r="672" ht="15.75" customHeight="1">
      <c r="A672" s="37" t="s">
        <v>2500</v>
      </c>
      <c r="B672" s="38">
        <v>784.0</v>
      </c>
      <c r="C672" s="38" t="s">
        <v>299</v>
      </c>
      <c r="D672" s="39" t="s">
        <v>2501</v>
      </c>
      <c r="E672" s="38" t="s">
        <v>12</v>
      </c>
      <c r="F672" s="38">
        <v>2022.0</v>
      </c>
      <c r="G672" s="38">
        <v>2026.0</v>
      </c>
      <c r="H672" s="38">
        <v>2030.0</v>
      </c>
      <c r="I672" s="38" t="s">
        <v>124</v>
      </c>
      <c r="J672" s="38" t="s">
        <v>28</v>
      </c>
      <c r="K672" s="40">
        <v>1.0</v>
      </c>
      <c r="L672" s="51">
        <v>1.0</v>
      </c>
      <c r="M672" s="40">
        <v>1.0</v>
      </c>
      <c r="N672" s="38" t="s">
        <v>12</v>
      </c>
      <c r="O672" s="41" t="s">
        <v>71</v>
      </c>
      <c r="P672" s="42" t="s">
        <v>124</v>
      </c>
      <c r="Q672" s="38" t="s">
        <v>125</v>
      </c>
      <c r="R672" s="42" t="s">
        <v>2502</v>
      </c>
      <c r="S672" s="42" t="s">
        <v>2503</v>
      </c>
      <c r="T672" s="42" t="s">
        <v>124</v>
      </c>
      <c r="U672" s="42" t="s">
        <v>124</v>
      </c>
      <c r="V672" s="42" t="s">
        <v>124</v>
      </c>
      <c r="W672" s="42" t="s">
        <v>124</v>
      </c>
      <c r="X672" s="42" t="s">
        <v>124</v>
      </c>
      <c r="Y672" s="43" t="str">
        <f>IF(CCUS_Projects_Database!$R672&lt;&gt;"",HYPERLINK(CCUS_Projects_Database!$R672,"Link 1"),"")</f>
        <v>Link 1</v>
      </c>
      <c r="Z672" s="43" t="str">
        <f>IF(CCUS_Projects_Database!$S672&lt;&gt;"",HYPERLINK(CCUS_Projects_Database!$S672,"Link 2"),"")</f>
        <v>Link 2</v>
      </c>
      <c r="AA672" s="43" t="str">
        <f>IF(CCUS_Projects_Database!$T672&lt;&gt;"",HYPERLINK(CCUS_Projects_Database!$T672,"Link 3"),"")</f>
        <v/>
      </c>
      <c r="AB672" s="43" t="str">
        <f>IF(CCUS_Projects_Database!$U672&lt;&gt;"",HYPERLINK(CCUS_Projects_Database!$U672,"Link 4"),"")</f>
        <v/>
      </c>
      <c r="AC672" s="43" t="str">
        <f>IF(CCUS_Projects_Database!$V672&lt;&gt;"",HYPERLINK(CCUS_Projects_Database!$V672,"Link 5"),"")</f>
        <v/>
      </c>
      <c r="AD672" s="43" t="str">
        <f>IF(CCUS_Projects_Database!$W672&lt;&gt;"",HYPERLINK(CCUS_Projects_Database!$W672,"Link 6"),"")</f>
        <v/>
      </c>
      <c r="AE672" s="43" t="str">
        <f>IF(CCUS_Projects_Database!$X672&lt;&gt;"",HYPERLINK(CCUS_Projects_Database!$X672,"Link 7"),"")</f>
        <v/>
      </c>
    </row>
    <row r="673" ht="15.75" customHeight="1">
      <c r="A673" s="44" t="s">
        <v>2504</v>
      </c>
      <c r="B673" s="45">
        <v>785.0</v>
      </c>
      <c r="C673" s="45" t="s">
        <v>299</v>
      </c>
      <c r="D673" s="46" t="s">
        <v>2501</v>
      </c>
      <c r="E673" s="45" t="s">
        <v>12</v>
      </c>
      <c r="F673" s="45">
        <v>2022.0</v>
      </c>
      <c r="G673" s="45" t="s">
        <v>124</v>
      </c>
      <c r="H673" s="45" t="s">
        <v>124</v>
      </c>
      <c r="I673" s="45" t="s">
        <v>124</v>
      </c>
      <c r="J673" s="45" t="s">
        <v>28</v>
      </c>
      <c r="K673" s="47">
        <v>2.0</v>
      </c>
      <c r="L673" s="52">
        <v>6.5</v>
      </c>
      <c r="M673" s="47">
        <v>6.5</v>
      </c>
      <c r="N673" s="45" t="s">
        <v>12</v>
      </c>
      <c r="O673" s="48" t="s">
        <v>71</v>
      </c>
      <c r="P673" s="49" t="s">
        <v>124</v>
      </c>
      <c r="Q673" s="45" t="s">
        <v>125</v>
      </c>
      <c r="R673" s="49" t="s">
        <v>2502</v>
      </c>
      <c r="S673" s="49" t="s">
        <v>2503</v>
      </c>
      <c r="T673" s="49" t="s">
        <v>124</v>
      </c>
      <c r="U673" s="49" t="s">
        <v>124</v>
      </c>
      <c r="V673" s="49" t="s">
        <v>124</v>
      </c>
      <c r="W673" s="49" t="s">
        <v>124</v>
      </c>
      <c r="X673" s="49" t="s">
        <v>124</v>
      </c>
      <c r="Y673" s="50" t="str">
        <f>IF(CCUS_Projects_Database!$R673&lt;&gt;"",HYPERLINK(CCUS_Projects_Database!$R673,"Link 1"),"")</f>
        <v>Link 1</v>
      </c>
      <c r="Z673" s="50" t="str">
        <f>IF(CCUS_Projects_Database!$S673&lt;&gt;"",HYPERLINK(CCUS_Projects_Database!$S673,"Link 2"),"")</f>
        <v>Link 2</v>
      </c>
      <c r="AA673" s="50" t="str">
        <f>IF(CCUS_Projects_Database!$T673&lt;&gt;"",HYPERLINK(CCUS_Projects_Database!$T673,"Link 3"),"")</f>
        <v/>
      </c>
      <c r="AB673" s="50" t="str">
        <f>IF(CCUS_Projects_Database!$U673&lt;&gt;"",HYPERLINK(CCUS_Projects_Database!$U673,"Link 4"),"")</f>
        <v/>
      </c>
      <c r="AC673" s="50" t="str">
        <f>IF(CCUS_Projects_Database!$V673&lt;&gt;"",HYPERLINK(CCUS_Projects_Database!$V673,"Link 5"),"")</f>
        <v/>
      </c>
      <c r="AD673" s="50" t="str">
        <f>IF(CCUS_Projects_Database!$W673&lt;&gt;"",HYPERLINK(CCUS_Projects_Database!$W673,"Link 6"),"")</f>
        <v/>
      </c>
      <c r="AE673" s="50" t="str">
        <f>IF(CCUS_Projects_Database!$X673&lt;&gt;"",HYPERLINK(CCUS_Projects_Database!$X673,"Link 7"),"")</f>
        <v/>
      </c>
    </row>
    <row r="674" ht="15.75" customHeight="1">
      <c r="A674" s="37" t="s">
        <v>2505</v>
      </c>
      <c r="B674" s="38">
        <v>853.0</v>
      </c>
      <c r="C674" s="38" t="s">
        <v>157</v>
      </c>
      <c r="D674" s="39" t="s">
        <v>2506</v>
      </c>
      <c r="E674" s="38" t="s">
        <v>12</v>
      </c>
      <c r="F674" s="38">
        <v>2023.0</v>
      </c>
      <c r="G674" s="38">
        <v>2028.0</v>
      </c>
      <c r="H674" s="38">
        <v>2030.0</v>
      </c>
      <c r="I674" s="38" t="s">
        <v>124</v>
      </c>
      <c r="J674" s="38" t="s">
        <v>28</v>
      </c>
      <c r="K674" s="40" t="s">
        <v>124</v>
      </c>
      <c r="L674" s="51">
        <v>7.0</v>
      </c>
      <c r="M674" s="40">
        <v>10.0</v>
      </c>
      <c r="N674" s="38" t="s">
        <v>12</v>
      </c>
      <c r="O674" s="41" t="s">
        <v>71</v>
      </c>
      <c r="P674" s="42" t="s">
        <v>2507</v>
      </c>
      <c r="Q674" s="38" t="s">
        <v>125</v>
      </c>
      <c r="R674" s="42" t="s">
        <v>1204</v>
      </c>
      <c r="S674" s="42" t="s">
        <v>124</v>
      </c>
      <c r="T674" s="42" t="s">
        <v>124</v>
      </c>
      <c r="U674" s="42" t="s">
        <v>124</v>
      </c>
      <c r="V674" s="42" t="s">
        <v>124</v>
      </c>
      <c r="W674" s="42" t="s">
        <v>124</v>
      </c>
      <c r="X674" s="42" t="s">
        <v>124</v>
      </c>
      <c r="Y674" s="43" t="str">
        <f>IF(CCUS_Projects_Database!$R674&lt;&gt;"",HYPERLINK(CCUS_Projects_Database!$R674,"Link 1"),"")</f>
        <v>Link 1</v>
      </c>
      <c r="Z674" s="43" t="str">
        <f>IF(CCUS_Projects_Database!$S674&lt;&gt;"",HYPERLINK(CCUS_Projects_Database!$S674,"Link 2"),"")</f>
        <v/>
      </c>
      <c r="AA674" s="43" t="str">
        <f>IF(CCUS_Projects_Database!$T674&lt;&gt;"",HYPERLINK(CCUS_Projects_Database!$T674,"Link 3"),"")</f>
        <v/>
      </c>
      <c r="AB674" s="43" t="str">
        <f>IF(CCUS_Projects_Database!$U674&lt;&gt;"",HYPERLINK(CCUS_Projects_Database!$U674,"Link 4"),"")</f>
        <v/>
      </c>
      <c r="AC674" s="43" t="str">
        <f>IF(CCUS_Projects_Database!$V674&lt;&gt;"",HYPERLINK(CCUS_Projects_Database!$V674,"Link 5"),"")</f>
        <v/>
      </c>
      <c r="AD674" s="43" t="str">
        <f>IF(CCUS_Projects_Database!$W674&lt;&gt;"",HYPERLINK(CCUS_Projects_Database!$W674,"Link 6"),"")</f>
        <v/>
      </c>
      <c r="AE674" s="43" t="str">
        <f>IF(CCUS_Projects_Database!$X674&lt;&gt;"",HYPERLINK(CCUS_Projects_Database!$X674,"Link 7"),"")</f>
        <v/>
      </c>
    </row>
    <row r="675" ht="15.75" customHeight="1">
      <c r="A675" s="44" t="s">
        <v>2508</v>
      </c>
      <c r="B675" s="45">
        <v>854.0</v>
      </c>
      <c r="C675" s="45" t="s">
        <v>157</v>
      </c>
      <c r="D675" s="46" t="s">
        <v>2509</v>
      </c>
      <c r="E675" s="45" t="s">
        <v>12</v>
      </c>
      <c r="F675" s="45">
        <v>2023.0</v>
      </c>
      <c r="G675" s="45">
        <v>2029.0</v>
      </c>
      <c r="H675" s="45">
        <v>2033.0</v>
      </c>
      <c r="I675" s="45" t="s">
        <v>124</v>
      </c>
      <c r="J675" s="45" t="s">
        <v>28</v>
      </c>
      <c r="K675" s="47" t="s">
        <v>124</v>
      </c>
      <c r="L675" s="52">
        <v>5.0</v>
      </c>
      <c r="M675" s="47">
        <v>6.0</v>
      </c>
      <c r="N675" s="45" t="s">
        <v>12</v>
      </c>
      <c r="O675" s="48" t="s">
        <v>71</v>
      </c>
      <c r="P675" s="49" t="s">
        <v>2507</v>
      </c>
      <c r="Q675" s="45" t="s">
        <v>125</v>
      </c>
      <c r="R675" s="49" t="s">
        <v>1204</v>
      </c>
      <c r="S675" s="49" t="s">
        <v>124</v>
      </c>
      <c r="T675" s="49" t="s">
        <v>124</v>
      </c>
      <c r="U675" s="49" t="s">
        <v>124</v>
      </c>
      <c r="V675" s="49" t="s">
        <v>124</v>
      </c>
      <c r="W675" s="49" t="s">
        <v>124</v>
      </c>
      <c r="X675" s="49" t="s">
        <v>124</v>
      </c>
      <c r="Y675" s="50" t="str">
        <f>IF(CCUS_Projects_Database!$R675&lt;&gt;"",HYPERLINK(CCUS_Projects_Database!$R675,"Link 1"),"")</f>
        <v>Link 1</v>
      </c>
      <c r="Z675" s="50" t="str">
        <f>IF(CCUS_Projects_Database!$S675&lt;&gt;"",HYPERLINK(CCUS_Projects_Database!$S675,"Link 2"),"")</f>
        <v/>
      </c>
      <c r="AA675" s="50" t="str">
        <f>IF(CCUS_Projects_Database!$T675&lt;&gt;"",HYPERLINK(CCUS_Projects_Database!$T675,"Link 3"),"")</f>
        <v/>
      </c>
      <c r="AB675" s="50" t="str">
        <f>IF(CCUS_Projects_Database!$U675&lt;&gt;"",HYPERLINK(CCUS_Projects_Database!$U675,"Link 4"),"")</f>
        <v/>
      </c>
      <c r="AC675" s="50" t="str">
        <f>IF(CCUS_Projects_Database!$V675&lt;&gt;"",HYPERLINK(CCUS_Projects_Database!$V675,"Link 5"),"")</f>
        <v/>
      </c>
      <c r="AD675" s="50" t="str">
        <f>IF(CCUS_Projects_Database!$W675&lt;&gt;"",HYPERLINK(CCUS_Projects_Database!$W675,"Link 6"),"")</f>
        <v/>
      </c>
      <c r="AE675" s="50" t="str">
        <f>IF(CCUS_Projects_Database!$X675&lt;&gt;"",HYPERLINK(CCUS_Projects_Database!$X675,"Link 7"),"")</f>
        <v/>
      </c>
    </row>
    <row r="676" ht="15.75" customHeight="1">
      <c r="A676" s="37" t="s">
        <v>2510</v>
      </c>
      <c r="B676" s="38">
        <v>855.0</v>
      </c>
      <c r="C676" s="38" t="s">
        <v>157</v>
      </c>
      <c r="D676" s="39" t="s">
        <v>2506</v>
      </c>
      <c r="E676" s="38" t="s">
        <v>12</v>
      </c>
      <c r="F676" s="38">
        <v>2023.0</v>
      </c>
      <c r="G676" s="38">
        <v>2029.0</v>
      </c>
      <c r="H676" s="38">
        <v>2033.0</v>
      </c>
      <c r="I676" s="38" t="s">
        <v>124</v>
      </c>
      <c r="J676" s="38" t="s">
        <v>28</v>
      </c>
      <c r="K676" s="40" t="s">
        <v>124</v>
      </c>
      <c r="L676" s="51">
        <v>5.0</v>
      </c>
      <c r="M676" s="40">
        <v>6.0</v>
      </c>
      <c r="N676" s="38" t="s">
        <v>12</v>
      </c>
      <c r="O676" s="41" t="s">
        <v>71</v>
      </c>
      <c r="P676" s="42" t="s">
        <v>2507</v>
      </c>
      <c r="Q676" s="38" t="s">
        <v>125</v>
      </c>
      <c r="R676" s="42" t="s">
        <v>1204</v>
      </c>
      <c r="S676" s="42" t="s">
        <v>124</v>
      </c>
      <c r="T676" s="42" t="s">
        <v>124</v>
      </c>
      <c r="U676" s="42" t="s">
        <v>124</v>
      </c>
      <c r="V676" s="42" t="s">
        <v>124</v>
      </c>
      <c r="W676" s="42" t="s">
        <v>124</v>
      </c>
      <c r="X676" s="42" t="s">
        <v>124</v>
      </c>
      <c r="Y676" s="43" t="str">
        <f>IF(CCUS_Projects_Database!$R676&lt;&gt;"",HYPERLINK(CCUS_Projects_Database!$R676,"Link 1"),"")</f>
        <v>Link 1</v>
      </c>
      <c r="Z676" s="43" t="str">
        <f>IF(CCUS_Projects_Database!$S676&lt;&gt;"",HYPERLINK(CCUS_Projects_Database!$S676,"Link 2"),"")</f>
        <v/>
      </c>
      <c r="AA676" s="43" t="str">
        <f>IF(CCUS_Projects_Database!$T676&lt;&gt;"",HYPERLINK(CCUS_Projects_Database!$T676,"Link 3"),"")</f>
        <v/>
      </c>
      <c r="AB676" s="43" t="str">
        <f>IF(CCUS_Projects_Database!$U676&lt;&gt;"",HYPERLINK(CCUS_Projects_Database!$U676,"Link 4"),"")</f>
        <v/>
      </c>
      <c r="AC676" s="43" t="str">
        <f>IF(CCUS_Projects_Database!$V676&lt;&gt;"",HYPERLINK(CCUS_Projects_Database!$V676,"Link 5"),"")</f>
        <v/>
      </c>
      <c r="AD676" s="43" t="str">
        <f>IF(CCUS_Projects_Database!$W676&lt;&gt;"",HYPERLINK(CCUS_Projects_Database!$W676,"Link 6"),"")</f>
        <v/>
      </c>
      <c r="AE676" s="43" t="str">
        <f>IF(CCUS_Projects_Database!$X676&lt;&gt;"",HYPERLINK(CCUS_Projects_Database!$X676,"Link 7"),"")</f>
        <v/>
      </c>
    </row>
    <row r="677" ht="15.75" customHeight="1">
      <c r="A677" s="44" t="s">
        <v>2511</v>
      </c>
      <c r="B677" s="45">
        <v>341.0</v>
      </c>
      <c r="C677" s="45" t="s">
        <v>141</v>
      </c>
      <c r="D677" s="46" t="s">
        <v>2512</v>
      </c>
      <c r="E677" s="45" t="s">
        <v>8</v>
      </c>
      <c r="F677" s="45">
        <v>2018.0</v>
      </c>
      <c r="G677" s="45">
        <v>2024.0</v>
      </c>
      <c r="H677" s="45">
        <v>2028.0</v>
      </c>
      <c r="I677" s="45" t="s">
        <v>124</v>
      </c>
      <c r="J677" s="45" t="s">
        <v>28</v>
      </c>
      <c r="K677" s="47" t="s">
        <v>124</v>
      </c>
      <c r="L677" s="52">
        <v>3.55</v>
      </c>
      <c r="M677" s="47">
        <v>4.0</v>
      </c>
      <c r="N677" s="45" t="s">
        <v>46</v>
      </c>
      <c r="O677" s="48" t="s">
        <v>71</v>
      </c>
      <c r="P677" s="49" t="s">
        <v>2137</v>
      </c>
      <c r="Q677" s="45" t="s">
        <v>143</v>
      </c>
      <c r="R677" s="49" t="s">
        <v>2513</v>
      </c>
      <c r="S677" s="49" t="s">
        <v>2514</v>
      </c>
      <c r="T677" s="49" t="s">
        <v>2139</v>
      </c>
      <c r="U677" s="49" t="s">
        <v>2515</v>
      </c>
      <c r="V677" s="49" t="s">
        <v>2516</v>
      </c>
      <c r="W677" s="49" t="s">
        <v>124</v>
      </c>
      <c r="X677" s="49" t="s">
        <v>124</v>
      </c>
      <c r="Y677" s="50" t="str">
        <f>IF(CCUS_Projects_Database!$R677&lt;&gt;"",HYPERLINK(CCUS_Projects_Database!$R677,"Link 1"),"")</f>
        <v>Link 1</v>
      </c>
      <c r="Z677" s="50" t="str">
        <f>IF(CCUS_Projects_Database!$S677&lt;&gt;"",HYPERLINK(CCUS_Projects_Database!$S677,"Link 2"),"")</f>
        <v>Link 2</v>
      </c>
      <c r="AA677" s="50" t="str">
        <f>IF(CCUS_Projects_Database!$T677&lt;&gt;"",HYPERLINK(CCUS_Projects_Database!$T677,"Link 3"),"")</f>
        <v>Link 3</v>
      </c>
      <c r="AB677" s="50" t="str">
        <f>IF(CCUS_Projects_Database!$U677&lt;&gt;"",HYPERLINK(CCUS_Projects_Database!$U677,"Link 4"),"")</f>
        <v>Link 4</v>
      </c>
      <c r="AC677" s="50" t="str">
        <f>IF(CCUS_Projects_Database!$V677&lt;&gt;"",HYPERLINK(CCUS_Projects_Database!$V677,"Link 5"),"")</f>
        <v>Link 5</v>
      </c>
      <c r="AD677" s="50" t="str">
        <f>IF(CCUS_Projects_Database!$W677&lt;&gt;"",HYPERLINK(CCUS_Projects_Database!$W677,"Link 6"),"")</f>
        <v/>
      </c>
      <c r="AE677" s="50" t="str">
        <f>IF(CCUS_Projects_Database!$X677&lt;&gt;"",HYPERLINK(CCUS_Projects_Database!$X677,"Link 7"),"")</f>
        <v/>
      </c>
    </row>
    <row r="678" ht="15.75" customHeight="1">
      <c r="A678" s="37" t="s">
        <v>2517</v>
      </c>
      <c r="B678" s="38">
        <v>798.0</v>
      </c>
      <c r="C678" s="38" t="s">
        <v>141</v>
      </c>
      <c r="D678" s="39" t="s">
        <v>2518</v>
      </c>
      <c r="E678" s="38" t="s">
        <v>10</v>
      </c>
      <c r="F678" s="38">
        <v>2023.0</v>
      </c>
      <c r="G678" s="38" t="s">
        <v>124</v>
      </c>
      <c r="H678" s="38" t="s">
        <v>124</v>
      </c>
      <c r="I678" s="38" t="s">
        <v>124</v>
      </c>
      <c r="J678" s="38" t="s">
        <v>28</v>
      </c>
      <c r="K678" s="40" t="s">
        <v>124</v>
      </c>
      <c r="L678" s="51">
        <v>120.0</v>
      </c>
      <c r="M678" s="40">
        <v>120.0</v>
      </c>
      <c r="N678" s="38" t="s">
        <v>10</v>
      </c>
      <c r="O678" s="41" t="s">
        <v>77</v>
      </c>
      <c r="P678" s="42" t="s">
        <v>2519</v>
      </c>
      <c r="Q678" s="38" t="s">
        <v>143</v>
      </c>
      <c r="R678" s="42" t="s">
        <v>2520</v>
      </c>
      <c r="S678" s="42" t="s">
        <v>124</v>
      </c>
      <c r="T678" s="42" t="s">
        <v>124</v>
      </c>
      <c r="U678" s="42" t="s">
        <v>124</v>
      </c>
      <c r="V678" s="42" t="s">
        <v>124</v>
      </c>
      <c r="W678" s="42" t="s">
        <v>124</v>
      </c>
      <c r="X678" s="42" t="s">
        <v>124</v>
      </c>
      <c r="Y678" s="43" t="str">
        <f>IF(CCUS_Projects_Database!$R678&lt;&gt;"",HYPERLINK(CCUS_Projects_Database!$R678,"Link 1"),"")</f>
        <v>Link 1</v>
      </c>
      <c r="Z678" s="43" t="str">
        <f>IF(CCUS_Projects_Database!$S678&lt;&gt;"",HYPERLINK(CCUS_Projects_Database!$S678,"Link 2"),"")</f>
        <v/>
      </c>
      <c r="AA678" s="43" t="str">
        <f>IF(CCUS_Projects_Database!$T678&lt;&gt;"",HYPERLINK(CCUS_Projects_Database!$T678,"Link 3"),"")</f>
        <v/>
      </c>
      <c r="AB678" s="43" t="str">
        <f>IF(CCUS_Projects_Database!$U678&lt;&gt;"",HYPERLINK(CCUS_Projects_Database!$U678,"Link 4"),"")</f>
        <v/>
      </c>
      <c r="AC678" s="43" t="str">
        <f>IF(CCUS_Projects_Database!$V678&lt;&gt;"",HYPERLINK(CCUS_Projects_Database!$V678,"Link 5"),"")</f>
        <v/>
      </c>
      <c r="AD678" s="43" t="str">
        <f>IF(CCUS_Projects_Database!$W678&lt;&gt;"",HYPERLINK(CCUS_Projects_Database!$W678,"Link 6"),"")</f>
        <v/>
      </c>
      <c r="AE678" s="43" t="str">
        <f>IF(CCUS_Projects_Database!$X678&lt;&gt;"",HYPERLINK(CCUS_Projects_Database!$X678,"Link 7"),"")</f>
        <v/>
      </c>
    </row>
    <row r="679" ht="15.75" customHeight="1">
      <c r="A679" s="44" t="s">
        <v>2521</v>
      </c>
      <c r="B679" s="45">
        <v>546.0</v>
      </c>
      <c r="C679" s="45" t="s">
        <v>157</v>
      </c>
      <c r="D679" s="46" t="s">
        <v>2522</v>
      </c>
      <c r="E679" s="45" t="s">
        <v>10</v>
      </c>
      <c r="F679" s="45">
        <v>2022.0</v>
      </c>
      <c r="G679" s="45" t="s">
        <v>124</v>
      </c>
      <c r="H679" s="45" t="s">
        <v>124</v>
      </c>
      <c r="I679" s="45" t="s">
        <v>124</v>
      </c>
      <c r="J679" s="45" t="s">
        <v>28</v>
      </c>
      <c r="K679" s="47">
        <v>1.0</v>
      </c>
      <c r="L679" s="52">
        <v>0.8</v>
      </c>
      <c r="M679" s="47">
        <v>0.8</v>
      </c>
      <c r="N679" s="45" t="s">
        <v>10</v>
      </c>
      <c r="O679" s="48" t="s">
        <v>71</v>
      </c>
      <c r="P679" s="49" t="s">
        <v>1711</v>
      </c>
      <c r="Q679" s="45" t="s">
        <v>125</v>
      </c>
      <c r="R679" s="49" t="s">
        <v>2523</v>
      </c>
      <c r="S679" s="49" t="s">
        <v>124</v>
      </c>
      <c r="T679" s="49" t="s">
        <v>124</v>
      </c>
      <c r="U679" s="49" t="s">
        <v>124</v>
      </c>
      <c r="V679" s="49" t="s">
        <v>124</v>
      </c>
      <c r="W679" s="49" t="s">
        <v>124</v>
      </c>
      <c r="X679" s="49" t="s">
        <v>124</v>
      </c>
      <c r="Y679" s="50" t="str">
        <f>IF(CCUS_Projects_Database!$R679&lt;&gt;"",HYPERLINK(CCUS_Projects_Database!$R679,"Link 1"),"")</f>
        <v>Link 1</v>
      </c>
      <c r="Z679" s="50" t="str">
        <f>IF(CCUS_Projects_Database!$S679&lt;&gt;"",HYPERLINK(CCUS_Projects_Database!$S679,"Link 2"),"")</f>
        <v/>
      </c>
      <c r="AA679" s="50" t="str">
        <f>IF(CCUS_Projects_Database!$T679&lt;&gt;"",HYPERLINK(CCUS_Projects_Database!$T679,"Link 3"),"")</f>
        <v/>
      </c>
      <c r="AB679" s="50" t="str">
        <f>IF(CCUS_Projects_Database!$U679&lt;&gt;"",HYPERLINK(CCUS_Projects_Database!$U679,"Link 4"),"")</f>
        <v/>
      </c>
      <c r="AC679" s="50" t="str">
        <f>IF(CCUS_Projects_Database!$V679&lt;&gt;"",HYPERLINK(CCUS_Projects_Database!$V679,"Link 5"),"")</f>
        <v/>
      </c>
      <c r="AD679" s="50" t="str">
        <f>IF(CCUS_Projects_Database!$W679&lt;&gt;"",HYPERLINK(CCUS_Projects_Database!$W679,"Link 6"),"")</f>
        <v/>
      </c>
      <c r="AE679" s="50" t="str">
        <f>IF(CCUS_Projects_Database!$X679&lt;&gt;"",HYPERLINK(CCUS_Projects_Database!$X679,"Link 7"),"")</f>
        <v/>
      </c>
    </row>
    <row r="680" ht="15.75" customHeight="1">
      <c r="A680" s="37" t="s">
        <v>2524</v>
      </c>
      <c r="B680" s="38">
        <v>547.0</v>
      </c>
      <c r="C680" s="38" t="s">
        <v>157</v>
      </c>
      <c r="D680" s="39" t="s">
        <v>2522</v>
      </c>
      <c r="E680" s="38" t="s">
        <v>10</v>
      </c>
      <c r="F680" s="38">
        <v>2022.0</v>
      </c>
      <c r="G680" s="38" t="s">
        <v>124</v>
      </c>
      <c r="H680" s="38" t="s">
        <v>124</v>
      </c>
      <c r="I680" s="38" t="s">
        <v>124</v>
      </c>
      <c r="J680" s="38" t="s">
        <v>28</v>
      </c>
      <c r="K680" s="40">
        <v>2.0</v>
      </c>
      <c r="L680" s="51">
        <v>0.4</v>
      </c>
      <c r="M680" s="40">
        <v>0.4</v>
      </c>
      <c r="N680" s="38" t="s">
        <v>10</v>
      </c>
      <c r="O680" s="41" t="s">
        <v>71</v>
      </c>
      <c r="P680" s="42" t="s">
        <v>1711</v>
      </c>
      <c r="Q680" s="38" t="s">
        <v>125</v>
      </c>
      <c r="R680" s="42" t="s">
        <v>2523</v>
      </c>
      <c r="S680" s="42" t="s">
        <v>124</v>
      </c>
      <c r="T680" s="42" t="s">
        <v>124</v>
      </c>
      <c r="U680" s="42" t="s">
        <v>124</v>
      </c>
      <c r="V680" s="42" t="s">
        <v>124</v>
      </c>
      <c r="W680" s="42" t="s">
        <v>124</v>
      </c>
      <c r="X680" s="42" t="s">
        <v>124</v>
      </c>
      <c r="Y680" s="43" t="str">
        <f>IF(CCUS_Projects_Database!$R680&lt;&gt;"",HYPERLINK(CCUS_Projects_Database!$R680,"Link 1"),"")</f>
        <v>Link 1</v>
      </c>
      <c r="Z680" s="43" t="str">
        <f>IF(CCUS_Projects_Database!$S680&lt;&gt;"",HYPERLINK(CCUS_Projects_Database!$S680,"Link 2"),"")</f>
        <v/>
      </c>
      <c r="AA680" s="43" t="str">
        <f>IF(CCUS_Projects_Database!$T680&lt;&gt;"",HYPERLINK(CCUS_Projects_Database!$T680,"Link 3"),"")</f>
        <v/>
      </c>
      <c r="AB680" s="43" t="str">
        <f>IF(CCUS_Projects_Database!$U680&lt;&gt;"",HYPERLINK(CCUS_Projects_Database!$U680,"Link 4"),"")</f>
        <v/>
      </c>
      <c r="AC680" s="43" t="str">
        <f>IF(CCUS_Projects_Database!$V680&lt;&gt;"",HYPERLINK(CCUS_Projects_Database!$V680,"Link 5"),"")</f>
        <v/>
      </c>
      <c r="AD680" s="43" t="str">
        <f>IF(CCUS_Projects_Database!$W680&lt;&gt;"",HYPERLINK(CCUS_Projects_Database!$W680,"Link 6"),"")</f>
        <v/>
      </c>
      <c r="AE680" s="43" t="str">
        <f>IF(CCUS_Projects_Database!$X680&lt;&gt;"",HYPERLINK(CCUS_Projects_Database!$X680,"Link 7"),"")</f>
        <v/>
      </c>
    </row>
    <row r="681" ht="15.75" customHeight="1">
      <c r="A681" s="44" t="s">
        <v>2525</v>
      </c>
      <c r="B681" s="45">
        <v>343.0</v>
      </c>
      <c r="C681" s="45" t="s">
        <v>122</v>
      </c>
      <c r="D681" s="46" t="s">
        <v>2526</v>
      </c>
      <c r="E681" s="45" t="s">
        <v>14</v>
      </c>
      <c r="F681" s="45">
        <v>2021.0</v>
      </c>
      <c r="G681" s="45">
        <v>2025.0</v>
      </c>
      <c r="H681" s="45">
        <v>2030.0</v>
      </c>
      <c r="I681" s="45" t="s">
        <v>124</v>
      </c>
      <c r="J681" s="45" t="s">
        <v>28</v>
      </c>
      <c r="K681" s="47">
        <v>1.0</v>
      </c>
      <c r="L681" s="52">
        <v>1.0</v>
      </c>
      <c r="M681" s="47">
        <v>1.0</v>
      </c>
      <c r="N681" s="45" t="s">
        <v>14</v>
      </c>
      <c r="O681" s="48" t="s">
        <v>71</v>
      </c>
      <c r="P681" s="49" t="s">
        <v>2527</v>
      </c>
      <c r="Q681" s="45" t="s">
        <v>125</v>
      </c>
      <c r="R681" s="49" t="s">
        <v>2528</v>
      </c>
      <c r="S681" s="49" t="s">
        <v>124</v>
      </c>
      <c r="T681" s="49" t="s">
        <v>124</v>
      </c>
      <c r="U681" s="49" t="s">
        <v>124</v>
      </c>
      <c r="V681" s="49" t="s">
        <v>124</v>
      </c>
      <c r="W681" s="49" t="s">
        <v>124</v>
      </c>
      <c r="X681" s="49" t="s">
        <v>124</v>
      </c>
      <c r="Y681" s="50" t="str">
        <f>IF(CCUS_Projects_Database!$R681&lt;&gt;"",HYPERLINK(CCUS_Projects_Database!$R681,"Link 1"),"")</f>
        <v>Link 1</v>
      </c>
      <c r="Z681" s="50" t="str">
        <f>IF(CCUS_Projects_Database!$S681&lt;&gt;"",HYPERLINK(CCUS_Projects_Database!$S681,"Link 2"),"")</f>
        <v/>
      </c>
      <c r="AA681" s="50" t="str">
        <f>IF(CCUS_Projects_Database!$T681&lt;&gt;"",HYPERLINK(CCUS_Projects_Database!$T681,"Link 3"),"")</f>
        <v/>
      </c>
      <c r="AB681" s="50" t="str">
        <f>IF(CCUS_Projects_Database!$U681&lt;&gt;"",HYPERLINK(CCUS_Projects_Database!$U681,"Link 4"),"")</f>
        <v/>
      </c>
      <c r="AC681" s="50" t="str">
        <f>IF(CCUS_Projects_Database!$V681&lt;&gt;"",HYPERLINK(CCUS_Projects_Database!$V681,"Link 5"),"")</f>
        <v/>
      </c>
      <c r="AD681" s="50" t="str">
        <f>IF(CCUS_Projects_Database!$W681&lt;&gt;"",HYPERLINK(CCUS_Projects_Database!$W681,"Link 6"),"")</f>
        <v/>
      </c>
      <c r="AE681" s="50" t="str">
        <f>IF(CCUS_Projects_Database!$X681&lt;&gt;"",HYPERLINK(CCUS_Projects_Database!$X681,"Link 7"),"")</f>
        <v/>
      </c>
    </row>
    <row r="682" ht="15.75" customHeight="1">
      <c r="A682" s="37" t="s">
        <v>2529</v>
      </c>
      <c r="B682" s="38">
        <v>685.0</v>
      </c>
      <c r="C682" s="38" t="s">
        <v>122</v>
      </c>
      <c r="D682" s="39" t="s">
        <v>2526</v>
      </c>
      <c r="E682" s="38" t="s">
        <v>14</v>
      </c>
      <c r="F682" s="38">
        <v>2021.0</v>
      </c>
      <c r="G682" s="38">
        <v>2025.0</v>
      </c>
      <c r="H682" s="38">
        <v>2035.0</v>
      </c>
      <c r="I682" s="38" t="s">
        <v>124</v>
      </c>
      <c r="J682" s="38" t="s">
        <v>28</v>
      </c>
      <c r="K682" s="40">
        <v>2.0</v>
      </c>
      <c r="L682" s="51">
        <v>4.0</v>
      </c>
      <c r="M682" s="40">
        <v>4.0</v>
      </c>
      <c r="N682" s="38" t="s">
        <v>14</v>
      </c>
      <c r="O682" s="41" t="s">
        <v>71</v>
      </c>
      <c r="P682" s="42" t="s">
        <v>2527</v>
      </c>
      <c r="Q682" s="38" t="s">
        <v>125</v>
      </c>
      <c r="R682" s="42" t="s">
        <v>407</v>
      </c>
      <c r="S682" s="42" t="s">
        <v>124</v>
      </c>
      <c r="T682" s="42" t="s">
        <v>124</v>
      </c>
      <c r="U682" s="42" t="s">
        <v>124</v>
      </c>
      <c r="V682" s="42" t="s">
        <v>124</v>
      </c>
      <c r="W682" s="42" t="s">
        <v>124</v>
      </c>
      <c r="X682" s="42" t="s">
        <v>124</v>
      </c>
      <c r="Y682" s="43" t="str">
        <f>IF(CCUS_Projects_Database!$R682&lt;&gt;"",HYPERLINK(CCUS_Projects_Database!$R682,"Link 1"),"")</f>
        <v>Link 1</v>
      </c>
      <c r="Z682" s="43" t="str">
        <f>IF(CCUS_Projects_Database!$S682&lt;&gt;"",HYPERLINK(CCUS_Projects_Database!$S682,"Link 2"),"")</f>
        <v/>
      </c>
      <c r="AA682" s="43" t="str">
        <f>IF(CCUS_Projects_Database!$T682&lt;&gt;"",HYPERLINK(CCUS_Projects_Database!$T682,"Link 3"),"")</f>
        <v/>
      </c>
      <c r="AB682" s="43" t="str">
        <f>IF(CCUS_Projects_Database!$U682&lt;&gt;"",HYPERLINK(CCUS_Projects_Database!$U682,"Link 4"),"")</f>
        <v/>
      </c>
      <c r="AC682" s="43" t="str">
        <f>IF(CCUS_Projects_Database!$V682&lt;&gt;"",HYPERLINK(CCUS_Projects_Database!$V682,"Link 5"),"")</f>
        <v/>
      </c>
      <c r="AD682" s="43" t="str">
        <f>IF(CCUS_Projects_Database!$W682&lt;&gt;"",HYPERLINK(CCUS_Projects_Database!$W682,"Link 6"),"")</f>
        <v/>
      </c>
      <c r="AE682" s="43" t="str">
        <f>IF(CCUS_Projects_Database!$X682&lt;&gt;"",HYPERLINK(CCUS_Projects_Database!$X682,"Link 7"),"")</f>
        <v/>
      </c>
    </row>
    <row r="683" ht="15.75" customHeight="1">
      <c r="A683" s="44" t="s">
        <v>2530</v>
      </c>
      <c r="B683" s="45">
        <v>344.0</v>
      </c>
      <c r="C683" s="45" t="s">
        <v>133</v>
      </c>
      <c r="D683" s="46" t="s">
        <v>2531</v>
      </c>
      <c r="E683" s="45" t="s">
        <v>6</v>
      </c>
      <c r="F683" s="45"/>
      <c r="G683" s="45" t="s">
        <v>124</v>
      </c>
      <c r="H683" s="45">
        <v>2019.0</v>
      </c>
      <c r="I683" s="45" t="s">
        <v>124</v>
      </c>
      <c r="J683" s="45" t="s">
        <v>32</v>
      </c>
      <c r="K683" s="47" t="s">
        <v>124</v>
      </c>
      <c r="L683" s="52">
        <v>1.665</v>
      </c>
      <c r="M683" s="47">
        <v>2.1</v>
      </c>
      <c r="N683" s="45" t="s">
        <v>48</v>
      </c>
      <c r="O683" s="48" t="s">
        <v>71</v>
      </c>
      <c r="P683" s="49" t="s">
        <v>124</v>
      </c>
      <c r="Q683" s="45" t="s">
        <v>137</v>
      </c>
      <c r="R683" s="49" t="s">
        <v>2532</v>
      </c>
      <c r="S683" s="49" t="s">
        <v>2533</v>
      </c>
      <c r="T683" s="49" t="s">
        <v>124</v>
      </c>
      <c r="U683" s="49" t="s">
        <v>124</v>
      </c>
      <c r="V683" s="49" t="s">
        <v>124</v>
      </c>
      <c r="W683" s="49" t="s">
        <v>124</v>
      </c>
      <c r="X683" s="49" t="s">
        <v>124</v>
      </c>
      <c r="Y683" s="50" t="str">
        <f>IF(CCUS_Projects_Database!$R683&lt;&gt;"",HYPERLINK(CCUS_Projects_Database!$R683,"Link 1"),"")</f>
        <v>Link 1</v>
      </c>
      <c r="Z683" s="50" t="str">
        <f>IF(CCUS_Projects_Database!$S683&lt;&gt;"",HYPERLINK(CCUS_Projects_Database!$S683,"Link 2"),"")</f>
        <v>Link 2</v>
      </c>
      <c r="AA683" s="50" t="str">
        <f>IF(CCUS_Projects_Database!$T683&lt;&gt;"",HYPERLINK(CCUS_Projects_Database!$T683,"Link 3"),"")</f>
        <v/>
      </c>
      <c r="AB683" s="50" t="str">
        <f>IF(CCUS_Projects_Database!$U683&lt;&gt;"",HYPERLINK(CCUS_Projects_Database!$U683,"Link 4"),"")</f>
        <v/>
      </c>
      <c r="AC683" s="50" t="str">
        <f>IF(CCUS_Projects_Database!$V683&lt;&gt;"",HYPERLINK(CCUS_Projects_Database!$V683,"Link 5"),"")</f>
        <v/>
      </c>
      <c r="AD683" s="50" t="str">
        <f>IF(CCUS_Projects_Database!$W683&lt;&gt;"",HYPERLINK(CCUS_Projects_Database!$W683,"Link 6"),"")</f>
        <v/>
      </c>
      <c r="AE683" s="50" t="str">
        <f>IF(CCUS_Projects_Database!$X683&lt;&gt;"",HYPERLINK(CCUS_Projects_Database!$X683,"Link 7"),"")</f>
        <v/>
      </c>
    </row>
    <row r="684" ht="15.75" customHeight="1">
      <c r="A684" s="37" t="s">
        <v>2534</v>
      </c>
      <c r="B684" s="38">
        <v>345.0</v>
      </c>
      <c r="C684" s="38" t="s">
        <v>133</v>
      </c>
      <c r="D684" s="39" t="s">
        <v>2535</v>
      </c>
      <c r="E684" s="38" t="s">
        <v>6</v>
      </c>
      <c r="F684" s="38">
        <v>2018.0</v>
      </c>
      <c r="G684" s="38">
        <v>2021.0</v>
      </c>
      <c r="H684" s="38">
        <v>2025.0</v>
      </c>
      <c r="I684" s="38" t="s">
        <v>124</v>
      </c>
      <c r="J684" s="38" t="s">
        <v>30</v>
      </c>
      <c r="K684" s="40" t="s">
        <v>124</v>
      </c>
      <c r="L684" s="51">
        <v>3.6</v>
      </c>
      <c r="M684" s="40">
        <v>4.3</v>
      </c>
      <c r="N684" s="38" t="s">
        <v>48</v>
      </c>
      <c r="O684" s="41" t="s">
        <v>71</v>
      </c>
      <c r="P684" s="42" t="s">
        <v>124</v>
      </c>
      <c r="Q684" s="38" t="s">
        <v>137</v>
      </c>
      <c r="R684" s="42" t="s">
        <v>2536</v>
      </c>
      <c r="S684" s="42" t="s">
        <v>2537</v>
      </c>
      <c r="T684" s="42" t="s">
        <v>2538</v>
      </c>
      <c r="U684" s="42" t="s">
        <v>2539</v>
      </c>
      <c r="V684" s="42" t="s">
        <v>124</v>
      </c>
      <c r="W684" s="42" t="s">
        <v>124</v>
      </c>
      <c r="X684" s="42" t="s">
        <v>124</v>
      </c>
      <c r="Y684" s="43" t="str">
        <f>IF(CCUS_Projects_Database!$R684&lt;&gt;"",HYPERLINK(CCUS_Projects_Database!$R684,"Link 1"),"")</f>
        <v>Link 1</v>
      </c>
      <c r="Z684" s="43" t="str">
        <f>IF(CCUS_Projects_Database!$S684&lt;&gt;"",HYPERLINK(CCUS_Projects_Database!$S684,"Link 2"),"")</f>
        <v>Link 2</v>
      </c>
      <c r="AA684" s="43" t="str">
        <f>IF(CCUS_Projects_Database!$T684&lt;&gt;"",HYPERLINK(CCUS_Projects_Database!$T684,"Link 3"),"")</f>
        <v>Link 3</v>
      </c>
      <c r="AB684" s="43" t="str">
        <f>IF(CCUS_Projects_Database!$U684&lt;&gt;"",HYPERLINK(CCUS_Projects_Database!$U684,"Link 4"),"")</f>
        <v>Link 4</v>
      </c>
      <c r="AC684" s="43" t="str">
        <f>IF(CCUS_Projects_Database!$V684&lt;&gt;"",HYPERLINK(CCUS_Projects_Database!$V684,"Link 5"),"")</f>
        <v/>
      </c>
      <c r="AD684" s="43" t="str">
        <f>IF(CCUS_Projects_Database!$W684&lt;&gt;"",HYPERLINK(CCUS_Projects_Database!$W684,"Link 6"),"")</f>
        <v/>
      </c>
      <c r="AE684" s="43" t="str">
        <f>IF(CCUS_Projects_Database!$X684&lt;&gt;"",HYPERLINK(CCUS_Projects_Database!$X684,"Link 7"),"")</f>
        <v/>
      </c>
    </row>
    <row r="685" ht="15.75" customHeight="1">
      <c r="A685" s="44" t="s">
        <v>2540</v>
      </c>
      <c r="B685" s="45">
        <v>346.0</v>
      </c>
      <c r="C685" s="45" t="s">
        <v>141</v>
      </c>
      <c r="D685" s="46" t="s">
        <v>2541</v>
      </c>
      <c r="E685" s="45" t="s">
        <v>8</v>
      </c>
      <c r="F685" s="45">
        <v>2021.0</v>
      </c>
      <c r="G685" s="45">
        <v>2024.0</v>
      </c>
      <c r="H685" s="45">
        <v>2024.0</v>
      </c>
      <c r="I685" s="45" t="s">
        <v>124</v>
      </c>
      <c r="J685" s="45" t="s">
        <v>28</v>
      </c>
      <c r="K685" s="47" t="s">
        <v>124</v>
      </c>
      <c r="L685" s="52">
        <v>0.1</v>
      </c>
      <c r="M685" s="47">
        <v>0.109</v>
      </c>
      <c r="N685" s="45" t="s">
        <v>50</v>
      </c>
      <c r="O685" s="48" t="s">
        <v>71</v>
      </c>
      <c r="P685" s="49" t="s">
        <v>567</v>
      </c>
      <c r="Q685" s="45" t="s">
        <v>143</v>
      </c>
      <c r="R685" s="49" t="s">
        <v>945</v>
      </c>
      <c r="S685" s="49" t="s">
        <v>946</v>
      </c>
      <c r="T685" s="49" t="s">
        <v>947</v>
      </c>
      <c r="U685" s="49" t="s">
        <v>124</v>
      </c>
      <c r="V685" s="49" t="s">
        <v>124</v>
      </c>
      <c r="W685" s="49" t="s">
        <v>124</v>
      </c>
      <c r="X685" s="49" t="s">
        <v>124</v>
      </c>
      <c r="Y685" s="50" t="str">
        <f>IF(CCUS_Projects_Database!$R685&lt;&gt;"",HYPERLINK(CCUS_Projects_Database!$R685,"Link 1"),"")</f>
        <v>Link 1</v>
      </c>
      <c r="Z685" s="50" t="str">
        <f>IF(CCUS_Projects_Database!$S685&lt;&gt;"",HYPERLINK(CCUS_Projects_Database!$S685,"Link 2"),"")</f>
        <v>Link 2</v>
      </c>
      <c r="AA685" s="50" t="str">
        <f>IF(CCUS_Projects_Database!$T685&lt;&gt;"",HYPERLINK(CCUS_Projects_Database!$T685,"Link 3"),"")</f>
        <v>Link 3</v>
      </c>
      <c r="AB685" s="50" t="str">
        <f>IF(CCUS_Projects_Database!$U685&lt;&gt;"",HYPERLINK(CCUS_Projects_Database!$U685,"Link 4"),"")</f>
        <v/>
      </c>
      <c r="AC685" s="50" t="str">
        <f>IF(CCUS_Projects_Database!$V685&lt;&gt;"",HYPERLINK(CCUS_Projects_Database!$V685,"Link 5"),"")</f>
        <v/>
      </c>
      <c r="AD685" s="50" t="str">
        <f>IF(CCUS_Projects_Database!$W685&lt;&gt;"",HYPERLINK(CCUS_Projects_Database!$W685,"Link 6"),"")</f>
        <v/>
      </c>
      <c r="AE685" s="50" t="str">
        <f>IF(CCUS_Projects_Database!$X685&lt;&gt;"",HYPERLINK(CCUS_Projects_Database!$X685,"Link 7"),"")</f>
        <v/>
      </c>
    </row>
    <row r="686" ht="15.75" customHeight="1">
      <c r="A686" s="37" t="s">
        <v>2542</v>
      </c>
      <c r="B686" s="38">
        <v>347.0</v>
      </c>
      <c r="C686" s="38" t="s">
        <v>239</v>
      </c>
      <c r="D686" s="39" t="s">
        <v>2543</v>
      </c>
      <c r="E686" s="38" t="s">
        <v>6</v>
      </c>
      <c r="F686" s="38">
        <v>2009.0</v>
      </c>
      <c r="G686" s="38">
        <v>2012.0</v>
      </c>
      <c r="H686" s="38">
        <v>2015.0</v>
      </c>
      <c r="I686" s="38" t="s">
        <v>124</v>
      </c>
      <c r="J686" s="38" t="s">
        <v>32</v>
      </c>
      <c r="K686" s="40" t="s">
        <v>124</v>
      </c>
      <c r="L686" s="51">
        <v>1.1</v>
      </c>
      <c r="M686" s="40">
        <v>1.1</v>
      </c>
      <c r="N686" s="38" t="s">
        <v>54</v>
      </c>
      <c r="O686" s="41" t="s">
        <v>71</v>
      </c>
      <c r="P686" s="42" t="s">
        <v>124</v>
      </c>
      <c r="Q686" s="38" t="s">
        <v>143</v>
      </c>
      <c r="R686" s="42" t="s">
        <v>2544</v>
      </c>
      <c r="S686" s="42" t="s">
        <v>2545</v>
      </c>
      <c r="T686" s="42" t="s">
        <v>2546</v>
      </c>
      <c r="U686" s="42" t="s">
        <v>124</v>
      </c>
      <c r="V686" s="42" t="s">
        <v>124</v>
      </c>
      <c r="W686" s="42" t="s">
        <v>124</v>
      </c>
      <c r="X686" s="42" t="s">
        <v>124</v>
      </c>
      <c r="Y686" s="43" t="str">
        <f>IF(CCUS_Projects_Database!$R686&lt;&gt;"",HYPERLINK(CCUS_Projects_Database!$R686,"Link 1"),"")</f>
        <v>Link 1</v>
      </c>
      <c r="Z686" s="43" t="str">
        <f>IF(CCUS_Projects_Database!$S686&lt;&gt;"",HYPERLINK(CCUS_Projects_Database!$S686,"Link 2"),"")</f>
        <v>Link 2</v>
      </c>
      <c r="AA686" s="43" t="str">
        <f>IF(CCUS_Projects_Database!$T686&lt;&gt;"",HYPERLINK(CCUS_Projects_Database!$T686,"Link 3"),"")</f>
        <v>Link 3</v>
      </c>
      <c r="AB686" s="43" t="str">
        <f>IF(CCUS_Projects_Database!$U686&lt;&gt;"",HYPERLINK(CCUS_Projects_Database!$U686,"Link 4"),"")</f>
        <v/>
      </c>
      <c r="AC686" s="43" t="str">
        <f>IF(CCUS_Projects_Database!$V686&lt;&gt;"",HYPERLINK(CCUS_Projects_Database!$V686,"Link 5"),"")</f>
        <v/>
      </c>
      <c r="AD686" s="43" t="str">
        <f>IF(CCUS_Projects_Database!$W686&lt;&gt;"",HYPERLINK(CCUS_Projects_Database!$W686,"Link 6"),"")</f>
        <v/>
      </c>
      <c r="AE686" s="43" t="str">
        <f>IF(CCUS_Projects_Database!$X686&lt;&gt;"",HYPERLINK(CCUS_Projects_Database!$X686,"Link 7"),"")</f>
        <v/>
      </c>
    </row>
    <row r="687" ht="15.75" customHeight="1">
      <c r="A687" s="44" t="s">
        <v>2547</v>
      </c>
      <c r="B687" s="45">
        <v>510.0</v>
      </c>
      <c r="C687" s="45" t="s">
        <v>239</v>
      </c>
      <c r="D687" s="46" t="s">
        <v>2548</v>
      </c>
      <c r="E687" s="45" t="s">
        <v>12</v>
      </c>
      <c r="F687" s="45">
        <v>2022.0</v>
      </c>
      <c r="G687" s="45" t="s">
        <v>124</v>
      </c>
      <c r="H687" s="45" t="s">
        <v>124</v>
      </c>
      <c r="I687" s="45" t="s">
        <v>124</v>
      </c>
      <c r="J687" s="45" t="s">
        <v>28</v>
      </c>
      <c r="K687" s="47" t="s">
        <v>124</v>
      </c>
      <c r="L687" s="47"/>
      <c r="M687" s="47" t="s">
        <v>124</v>
      </c>
      <c r="N687" s="45" t="s">
        <v>12</v>
      </c>
      <c r="O687" s="48" t="s">
        <v>71</v>
      </c>
      <c r="P687" s="49" t="s">
        <v>2547</v>
      </c>
      <c r="Q687" s="45" t="s">
        <v>143</v>
      </c>
      <c r="R687" s="49" t="s">
        <v>464</v>
      </c>
      <c r="S687" s="49" t="s">
        <v>124</v>
      </c>
      <c r="T687" s="49" t="s">
        <v>124</v>
      </c>
      <c r="U687" s="49" t="s">
        <v>124</v>
      </c>
      <c r="V687" s="49" t="s">
        <v>124</v>
      </c>
      <c r="W687" s="49" t="s">
        <v>124</v>
      </c>
      <c r="X687" s="49" t="s">
        <v>124</v>
      </c>
      <c r="Y687" s="50" t="str">
        <f>IF(CCUS_Projects_Database!$R687&lt;&gt;"",HYPERLINK(CCUS_Projects_Database!$R687,"Link 1"),"")</f>
        <v>Link 1</v>
      </c>
      <c r="Z687" s="50" t="str">
        <f>IF(CCUS_Projects_Database!$S687&lt;&gt;"",HYPERLINK(CCUS_Projects_Database!$S687,"Link 2"),"")</f>
        <v/>
      </c>
      <c r="AA687" s="50" t="str">
        <f>IF(CCUS_Projects_Database!$T687&lt;&gt;"",HYPERLINK(CCUS_Projects_Database!$T687,"Link 3"),"")</f>
        <v/>
      </c>
      <c r="AB687" s="50" t="str">
        <f>IF(CCUS_Projects_Database!$U687&lt;&gt;"",HYPERLINK(CCUS_Projects_Database!$U687,"Link 4"),"")</f>
        <v/>
      </c>
      <c r="AC687" s="50" t="str">
        <f>IF(CCUS_Projects_Database!$V687&lt;&gt;"",HYPERLINK(CCUS_Projects_Database!$V687,"Link 5"),"")</f>
        <v/>
      </c>
      <c r="AD687" s="50" t="str">
        <f>IF(CCUS_Projects_Database!$W687&lt;&gt;"",HYPERLINK(CCUS_Projects_Database!$W687,"Link 6"),"")</f>
        <v/>
      </c>
      <c r="AE687" s="50" t="str">
        <f>IF(CCUS_Projects_Database!$X687&lt;&gt;"",HYPERLINK(CCUS_Projects_Database!$X687,"Link 7"),"")</f>
        <v/>
      </c>
    </row>
    <row r="688" ht="15.75" customHeight="1">
      <c r="A688" s="37" t="s">
        <v>2549</v>
      </c>
      <c r="B688" s="38">
        <v>760.0</v>
      </c>
      <c r="C688" s="38" t="s">
        <v>146</v>
      </c>
      <c r="D688" s="39" t="s">
        <v>1823</v>
      </c>
      <c r="E688" s="38" t="s">
        <v>6</v>
      </c>
      <c r="F688" s="38">
        <v>2022.0</v>
      </c>
      <c r="G688" s="38" t="s">
        <v>124</v>
      </c>
      <c r="H688" s="38">
        <v>2032.0</v>
      </c>
      <c r="I688" s="38" t="s">
        <v>124</v>
      </c>
      <c r="J688" s="38" t="s">
        <v>28</v>
      </c>
      <c r="K688" s="40" t="s">
        <v>124</v>
      </c>
      <c r="L688" s="40"/>
      <c r="M688" s="40" t="s">
        <v>124</v>
      </c>
      <c r="N688" s="38" t="s">
        <v>48</v>
      </c>
      <c r="O688" s="41" t="s">
        <v>73</v>
      </c>
      <c r="P688" s="42" t="s">
        <v>124</v>
      </c>
      <c r="Q688" s="38" t="s">
        <v>148</v>
      </c>
      <c r="R688" s="42" t="s">
        <v>365</v>
      </c>
      <c r="S688" s="42" t="s">
        <v>758</v>
      </c>
      <c r="T688" s="42" t="s">
        <v>124</v>
      </c>
      <c r="U688" s="42" t="s">
        <v>124</v>
      </c>
      <c r="V688" s="42" t="s">
        <v>124</v>
      </c>
      <c r="W688" s="42" t="s">
        <v>124</v>
      </c>
      <c r="X688" s="42" t="s">
        <v>124</v>
      </c>
      <c r="Y688" s="43" t="str">
        <f>IF(CCUS_Projects_Database!$R688&lt;&gt;"",HYPERLINK(CCUS_Projects_Database!$R688,"Link 1"),"")</f>
        <v>Link 1</v>
      </c>
      <c r="Z688" s="43" t="str">
        <f>IF(CCUS_Projects_Database!$S688&lt;&gt;"",HYPERLINK(CCUS_Projects_Database!$S688,"Link 2"),"")</f>
        <v>Link 2</v>
      </c>
      <c r="AA688" s="43" t="str">
        <f>IF(CCUS_Projects_Database!$T688&lt;&gt;"",HYPERLINK(CCUS_Projects_Database!$T688,"Link 3"),"")</f>
        <v/>
      </c>
      <c r="AB688" s="43" t="str">
        <f>IF(CCUS_Projects_Database!$U688&lt;&gt;"",HYPERLINK(CCUS_Projects_Database!$U688,"Link 4"),"")</f>
        <v/>
      </c>
      <c r="AC688" s="43" t="str">
        <f>IF(CCUS_Projects_Database!$V688&lt;&gt;"",HYPERLINK(CCUS_Projects_Database!$V688,"Link 5"),"")</f>
        <v/>
      </c>
      <c r="AD688" s="43" t="str">
        <f>IF(CCUS_Projects_Database!$W688&lt;&gt;"",HYPERLINK(CCUS_Projects_Database!$W688,"Link 6"),"")</f>
        <v/>
      </c>
      <c r="AE688" s="43" t="str">
        <f>IF(CCUS_Projects_Database!$X688&lt;&gt;"",HYPERLINK(CCUS_Projects_Database!$X688,"Link 7"),"")</f>
        <v/>
      </c>
    </row>
    <row r="689" ht="15.75" customHeight="1">
      <c r="A689" s="44" t="s">
        <v>2550</v>
      </c>
      <c r="B689" s="45">
        <v>349.0</v>
      </c>
      <c r="C689" s="45" t="s">
        <v>574</v>
      </c>
      <c r="D689" s="46" t="s">
        <v>2551</v>
      </c>
      <c r="E689" s="45" t="s">
        <v>14</v>
      </c>
      <c r="F689" s="45">
        <v>2020.0</v>
      </c>
      <c r="G689" s="45">
        <v>2025.0</v>
      </c>
      <c r="H689" s="45">
        <v>2027.0</v>
      </c>
      <c r="I689" s="45" t="s">
        <v>124</v>
      </c>
      <c r="J689" s="45" t="s">
        <v>28</v>
      </c>
      <c r="K689" s="47">
        <v>1.0</v>
      </c>
      <c r="L689" s="52">
        <v>4.0</v>
      </c>
      <c r="M689" s="47">
        <v>4.0</v>
      </c>
      <c r="N689" s="45" t="s">
        <v>14</v>
      </c>
      <c r="O689" s="48" t="s">
        <v>71</v>
      </c>
      <c r="P689" s="49" t="s">
        <v>597</v>
      </c>
      <c r="Q689" s="45" t="s">
        <v>125</v>
      </c>
      <c r="R689" s="49" t="s">
        <v>1191</v>
      </c>
      <c r="S689" s="49" t="s">
        <v>124</v>
      </c>
      <c r="T689" s="49" t="s">
        <v>124</v>
      </c>
      <c r="U689" s="49" t="s">
        <v>124</v>
      </c>
      <c r="V689" s="49" t="s">
        <v>124</v>
      </c>
      <c r="W689" s="49" t="s">
        <v>124</v>
      </c>
      <c r="X689" s="49" t="s">
        <v>124</v>
      </c>
      <c r="Y689" s="50" t="str">
        <f>IF(CCUS_Projects_Database!$R689&lt;&gt;"",HYPERLINK(CCUS_Projects_Database!$R689,"Link 1"),"")</f>
        <v>Link 1</v>
      </c>
      <c r="Z689" s="50" t="str">
        <f>IF(CCUS_Projects_Database!$S689&lt;&gt;"",HYPERLINK(CCUS_Projects_Database!$S689,"Link 2"),"")</f>
        <v/>
      </c>
      <c r="AA689" s="50" t="str">
        <f>IF(CCUS_Projects_Database!$T689&lt;&gt;"",HYPERLINK(CCUS_Projects_Database!$T689,"Link 3"),"")</f>
        <v/>
      </c>
      <c r="AB689" s="50" t="str">
        <f>IF(CCUS_Projects_Database!$U689&lt;&gt;"",HYPERLINK(CCUS_Projects_Database!$U689,"Link 4"),"")</f>
        <v/>
      </c>
      <c r="AC689" s="50" t="str">
        <f>IF(CCUS_Projects_Database!$V689&lt;&gt;"",HYPERLINK(CCUS_Projects_Database!$V689,"Link 5"),"")</f>
        <v/>
      </c>
      <c r="AD689" s="50" t="str">
        <f>IF(CCUS_Projects_Database!$W689&lt;&gt;"",HYPERLINK(CCUS_Projects_Database!$W689,"Link 6"),"")</f>
        <v/>
      </c>
      <c r="AE689" s="50" t="str">
        <f>IF(CCUS_Projects_Database!$X689&lt;&gt;"",HYPERLINK(CCUS_Projects_Database!$X689,"Link 7"),"")</f>
        <v/>
      </c>
    </row>
    <row r="690" ht="15.75" customHeight="1">
      <c r="A690" s="37" t="s">
        <v>154</v>
      </c>
      <c r="B690" s="38">
        <v>974.0</v>
      </c>
      <c r="C690" s="38" t="s">
        <v>141</v>
      </c>
      <c r="D690" s="39" t="s">
        <v>2552</v>
      </c>
      <c r="E690" s="38" t="s">
        <v>12</v>
      </c>
      <c r="F690" s="38">
        <v>2023.0</v>
      </c>
      <c r="G690" s="38" t="s">
        <v>124</v>
      </c>
      <c r="H690" s="38" t="s">
        <v>124</v>
      </c>
      <c r="I690" s="38" t="s">
        <v>124</v>
      </c>
      <c r="J690" s="38" t="s">
        <v>28</v>
      </c>
      <c r="K690" s="40" t="s">
        <v>124</v>
      </c>
      <c r="L690" s="51">
        <v>1.8</v>
      </c>
      <c r="M690" s="40">
        <v>1.8</v>
      </c>
      <c r="N690" s="38" t="s">
        <v>12</v>
      </c>
      <c r="O690" s="41" t="s">
        <v>71</v>
      </c>
      <c r="P690" s="42" t="s">
        <v>154</v>
      </c>
      <c r="Q690" s="38" t="s">
        <v>143</v>
      </c>
      <c r="R690" s="42" t="s">
        <v>155</v>
      </c>
      <c r="S690" s="42" t="s">
        <v>124</v>
      </c>
      <c r="T690" s="42" t="s">
        <v>124</v>
      </c>
      <c r="U690" s="42" t="s">
        <v>124</v>
      </c>
      <c r="V690" s="42" t="s">
        <v>124</v>
      </c>
      <c r="W690" s="42" t="s">
        <v>124</v>
      </c>
      <c r="X690" s="42" t="s">
        <v>124</v>
      </c>
      <c r="Y690" s="43" t="str">
        <f>IF(CCUS_Projects_Database!$R690&lt;&gt;"",HYPERLINK(CCUS_Projects_Database!$R690,"Link 1"),"")</f>
        <v>Link 1</v>
      </c>
      <c r="Z690" s="43" t="str">
        <f>IF(CCUS_Projects_Database!$S690&lt;&gt;"",HYPERLINK(CCUS_Projects_Database!$S690,"Link 2"),"")</f>
        <v/>
      </c>
      <c r="AA690" s="43" t="str">
        <f>IF(CCUS_Projects_Database!$T690&lt;&gt;"",HYPERLINK(CCUS_Projects_Database!$T690,"Link 3"),"")</f>
        <v/>
      </c>
      <c r="AB690" s="43" t="str">
        <f>IF(CCUS_Projects_Database!$U690&lt;&gt;"",HYPERLINK(CCUS_Projects_Database!$U690,"Link 4"),"")</f>
        <v/>
      </c>
      <c r="AC690" s="43" t="str">
        <f>IF(CCUS_Projects_Database!$V690&lt;&gt;"",HYPERLINK(CCUS_Projects_Database!$V690,"Link 5"),"")</f>
        <v/>
      </c>
      <c r="AD690" s="43" t="str">
        <f>IF(CCUS_Projects_Database!$W690&lt;&gt;"",HYPERLINK(CCUS_Projects_Database!$W690,"Link 6"),"")</f>
        <v/>
      </c>
      <c r="AE690" s="43" t="str">
        <f>IF(CCUS_Projects_Database!$X690&lt;&gt;"",HYPERLINK(CCUS_Projects_Database!$X690,"Link 7"),"")</f>
        <v/>
      </c>
    </row>
    <row r="691" ht="15.75" customHeight="1">
      <c r="A691" s="44" t="s">
        <v>2553</v>
      </c>
      <c r="B691" s="45">
        <v>350.0</v>
      </c>
      <c r="C691" s="45" t="s">
        <v>141</v>
      </c>
      <c r="D691" s="46" t="s">
        <v>2554</v>
      </c>
      <c r="E691" s="45" t="s">
        <v>6</v>
      </c>
      <c r="F691" s="45">
        <v>2016.0</v>
      </c>
      <c r="G691" s="45">
        <v>2021.0</v>
      </c>
      <c r="H691" s="45">
        <v>2022.0</v>
      </c>
      <c r="I691" s="45" t="s">
        <v>124</v>
      </c>
      <c r="J691" s="45" t="s">
        <v>32</v>
      </c>
      <c r="K691" s="47" t="s">
        <v>124</v>
      </c>
      <c r="L691" s="52">
        <v>0.18</v>
      </c>
      <c r="M691" s="47">
        <v>0.18</v>
      </c>
      <c r="N691" s="45" t="s">
        <v>50</v>
      </c>
      <c r="O691" s="48" t="s">
        <v>71</v>
      </c>
      <c r="P691" s="49" t="s">
        <v>124</v>
      </c>
      <c r="Q691" s="45" t="s">
        <v>143</v>
      </c>
      <c r="R691" s="49" t="s">
        <v>2555</v>
      </c>
      <c r="S691" s="49" t="s">
        <v>2556</v>
      </c>
      <c r="T691" s="49" t="s">
        <v>124</v>
      </c>
      <c r="U691" s="49" t="s">
        <v>124</v>
      </c>
      <c r="V691" s="49" t="s">
        <v>124</v>
      </c>
      <c r="W691" s="49" t="s">
        <v>124</v>
      </c>
      <c r="X691" s="49" t="s">
        <v>124</v>
      </c>
      <c r="Y691" s="50" t="str">
        <f>IF(CCUS_Projects_Database!$R691&lt;&gt;"",HYPERLINK(CCUS_Projects_Database!$R691,"Link 1"),"")</f>
        <v>Link 1</v>
      </c>
      <c r="Z691" s="50" t="str">
        <f>IF(CCUS_Projects_Database!$S691&lt;&gt;"",HYPERLINK(CCUS_Projects_Database!$S691,"Link 2"),"")</f>
        <v>Link 2</v>
      </c>
      <c r="AA691" s="50" t="str">
        <f>IF(CCUS_Projects_Database!$T691&lt;&gt;"",HYPERLINK(CCUS_Projects_Database!$T691,"Link 3"),"")</f>
        <v/>
      </c>
      <c r="AB691" s="50" t="str">
        <f>IF(CCUS_Projects_Database!$U691&lt;&gt;"",HYPERLINK(CCUS_Projects_Database!$U691,"Link 4"),"")</f>
        <v/>
      </c>
      <c r="AC691" s="50" t="str">
        <f>IF(CCUS_Projects_Database!$V691&lt;&gt;"",HYPERLINK(CCUS_Projects_Database!$V691,"Link 5"),"")</f>
        <v/>
      </c>
      <c r="AD691" s="50" t="str">
        <f>IF(CCUS_Projects_Database!$W691&lt;&gt;"",HYPERLINK(CCUS_Projects_Database!$W691,"Link 6"),"")</f>
        <v/>
      </c>
      <c r="AE691" s="50" t="str">
        <f>IF(CCUS_Projects_Database!$X691&lt;&gt;"",HYPERLINK(CCUS_Projects_Database!$X691,"Link 7"),"")</f>
        <v/>
      </c>
    </row>
    <row r="692" ht="15.75" customHeight="1">
      <c r="A692" s="37" t="s">
        <v>2557</v>
      </c>
      <c r="B692" s="38">
        <v>351.0</v>
      </c>
      <c r="C692" s="38" t="s">
        <v>157</v>
      </c>
      <c r="D692" s="39" t="s">
        <v>2558</v>
      </c>
      <c r="E692" s="38" t="s">
        <v>8</v>
      </c>
      <c r="F692" s="38">
        <v>2021.0</v>
      </c>
      <c r="G692" s="38">
        <v>2024.0</v>
      </c>
      <c r="H692" s="38">
        <v>2025.0</v>
      </c>
      <c r="I692" s="38" t="s">
        <v>124</v>
      </c>
      <c r="J692" s="38" t="s">
        <v>28</v>
      </c>
      <c r="K692" s="40" t="s">
        <v>124</v>
      </c>
      <c r="L692" s="51">
        <v>0.4</v>
      </c>
      <c r="M692" s="40">
        <v>0.4</v>
      </c>
      <c r="N692" s="38" t="s">
        <v>46</v>
      </c>
      <c r="O692" s="41" t="s">
        <v>71</v>
      </c>
      <c r="P692" s="42" t="s">
        <v>281</v>
      </c>
      <c r="Q692" s="38" t="s">
        <v>125</v>
      </c>
      <c r="R692" s="42" t="s">
        <v>2559</v>
      </c>
      <c r="S692" s="42" t="s">
        <v>124</v>
      </c>
      <c r="T692" s="42" t="s">
        <v>124</v>
      </c>
      <c r="U692" s="42" t="s">
        <v>124</v>
      </c>
      <c r="V692" s="42" t="s">
        <v>124</v>
      </c>
      <c r="W692" s="42" t="s">
        <v>124</v>
      </c>
      <c r="X692" s="42" t="s">
        <v>124</v>
      </c>
      <c r="Y692" s="43" t="str">
        <f>IF(CCUS_Projects_Database!$R692&lt;&gt;"",HYPERLINK(CCUS_Projects_Database!$R692,"Link 1"),"")</f>
        <v>Link 1</v>
      </c>
      <c r="Z692" s="43" t="str">
        <f>IF(CCUS_Projects_Database!$S692&lt;&gt;"",HYPERLINK(CCUS_Projects_Database!$S692,"Link 2"),"")</f>
        <v/>
      </c>
      <c r="AA692" s="43" t="str">
        <f>IF(CCUS_Projects_Database!$T692&lt;&gt;"",HYPERLINK(CCUS_Projects_Database!$T692,"Link 3"),"")</f>
        <v/>
      </c>
      <c r="AB692" s="43" t="str">
        <f>IF(CCUS_Projects_Database!$U692&lt;&gt;"",HYPERLINK(CCUS_Projects_Database!$U692,"Link 4"),"")</f>
        <v/>
      </c>
      <c r="AC692" s="43" t="str">
        <f>IF(CCUS_Projects_Database!$V692&lt;&gt;"",HYPERLINK(CCUS_Projects_Database!$V692,"Link 5"),"")</f>
        <v/>
      </c>
      <c r="AD692" s="43" t="str">
        <f>IF(CCUS_Projects_Database!$W692&lt;&gt;"",HYPERLINK(CCUS_Projects_Database!$W692,"Link 6"),"")</f>
        <v/>
      </c>
      <c r="AE692" s="43" t="str">
        <f>IF(CCUS_Projects_Database!$X692&lt;&gt;"",HYPERLINK(CCUS_Projects_Database!$X692,"Link 7"),"")</f>
        <v/>
      </c>
    </row>
    <row r="693" ht="15.75" customHeight="1">
      <c r="A693" s="44" t="s">
        <v>2560</v>
      </c>
      <c r="B693" s="45">
        <v>352.0</v>
      </c>
      <c r="C693" s="45" t="s">
        <v>141</v>
      </c>
      <c r="D693" s="46" t="s">
        <v>2561</v>
      </c>
      <c r="E693" s="45" t="s">
        <v>8</v>
      </c>
      <c r="F693" s="45">
        <v>2021.0</v>
      </c>
      <c r="G693" s="45">
        <v>2024.0</v>
      </c>
      <c r="H693" s="45">
        <v>2024.0</v>
      </c>
      <c r="I693" s="45" t="s">
        <v>124</v>
      </c>
      <c r="J693" s="45" t="s">
        <v>28</v>
      </c>
      <c r="K693" s="47" t="s">
        <v>124</v>
      </c>
      <c r="L693" s="52">
        <v>0.16</v>
      </c>
      <c r="M693" s="47">
        <v>0.172</v>
      </c>
      <c r="N693" s="45" t="s">
        <v>50</v>
      </c>
      <c r="O693" s="48" t="s">
        <v>71</v>
      </c>
      <c r="P693" s="49" t="s">
        <v>567</v>
      </c>
      <c r="Q693" s="45" t="s">
        <v>143</v>
      </c>
      <c r="R693" s="49" t="s">
        <v>945</v>
      </c>
      <c r="S693" s="49" t="s">
        <v>946</v>
      </c>
      <c r="T693" s="49" t="s">
        <v>947</v>
      </c>
      <c r="U693" s="49" t="s">
        <v>124</v>
      </c>
      <c r="V693" s="49" t="s">
        <v>124</v>
      </c>
      <c r="W693" s="49" t="s">
        <v>124</v>
      </c>
      <c r="X693" s="49" t="s">
        <v>124</v>
      </c>
      <c r="Y693" s="50" t="str">
        <f>IF(CCUS_Projects_Database!$R693&lt;&gt;"",HYPERLINK(CCUS_Projects_Database!$R693,"Link 1"),"")</f>
        <v>Link 1</v>
      </c>
      <c r="Z693" s="50" t="str">
        <f>IF(CCUS_Projects_Database!$S693&lt;&gt;"",HYPERLINK(CCUS_Projects_Database!$S693,"Link 2"),"")</f>
        <v>Link 2</v>
      </c>
      <c r="AA693" s="50" t="str">
        <f>IF(CCUS_Projects_Database!$T693&lt;&gt;"",HYPERLINK(CCUS_Projects_Database!$T693,"Link 3"),"")</f>
        <v>Link 3</v>
      </c>
      <c r="AB693" s="50" t="str">
        <f>IF(CCUS_Projects_Database!$U693&lt;&gt;"",HYPERLINK(CCUS_Projects_Database!$U693,"Link 4"),"")</f>
        <v/>
      </c>
      <c r="AC693" s="50" t="str">
        <f>IF(CCUS_Projects_Database!$V693&lt;&gt;"",HYPERLINK(CCUS_Projects_Database!$V693,"Link 5"),"")</f>
        <v/>
      </c>
      <c r="AD693" s="50" t="str">
        <f>IF(CCUS_Projects_Database!$W693&lt;&gt;"",HYPERLINK(CCUS_Projects_Database!$W693,"Link 6"),"")</f>
        <v/>
      </c>
      <c r="AE693" s="50" t="str">
        <f>IF(CCUS_Projects_Database!$X693&lt;&gt;"",HYPERLINK(CCUS_Projects_Database!$X693,"Link 7"),"")</f>
        <v/>
      </c>
    </row>
    <row r="694" ht="15.75" customHeight="1">
      <c r="A694" s="37" t="s">
        <v>2562</v>
      </c>
      <c r="B694" s="38">
        <v>536.0</v>
      </c>
      <c r="C694" s="38" t="s">
        <v>824</v>
      </c>
      <c r="D694" s="39" t="s">
        <v>2563</v>
      </c>
      <c r="E694" s="38" t="s">
        <v>6</v>
      </c>
      <c r="F694" s="38">
        <v>2022.0</v>
      </c>
      <c r="G694" s="38" t="s">
        <v>124</v>
      </c>
      <c r="H694" s="38">
        <v>2025.0</v>
      </c>
      <c r="I694" s="38" t="s">
        <v>124</v>
      </c>
      <c r="J694" s="38" t="s">
        <v>28</v>
      </c>
      <c r="K694" s="40">
        <v>1.0</v>
      </c>
      <c r="L694" s="51">
        <v>0.002</v>
      </c>
      <c r="M694" s="40">
        <v>0.002</v>
      </c>
      <c r="N694" s="38" t="s">
        <v>64</v>
      </c>
      <c r="O694" s="41" t="s">
        <v>71</v>
      </c>
      <c r="P694" s="42" t="s">
        <v>124</v>
      </c>
      <c r="Q694" s="38" t="s">
        <v>253</v>
      </c>
      <c r="R694" s="42" t="s">
        <v>2564</v>
      </c>
      <c r="S694" s="42" t="s">
        <v>124</v>
      </c>
      <c r="T694" s="42" t="s">
        <v>124</v>
      </c>
      <c r="U694" s="42" t="s">
        <v>124</v>
      </c>
      <c r="V694" s="42" t="s">
        <v>124</v>
      </c>
      <c r="W694" s="42" t="s">
        <v>124</v>
      </c>
      <c r="X694" s="42" t="s">
        <v>124</v>
      </c>
      <c r="Y694" s="43" t="str">
        <f>IF(CCUS_Projects_Database!$R694&lt;&gt;"",HYPERLINK(CCUS_Projects_Database!$R694,"Link 1"),"")</f>
        <v>Link 1</v>
      </c>
      <c r="Z694" s="43" t="str">
        <f>IF(CCUS_Projects_Database!$S694&lt;&gt;"",HYPERLINK(CCUS_Projects_Database!$S694,"Link 2"),"")</f>
        <v/>
      </c>
      <c r="AA694" s="43" t="str">
        <f>IF(CCUS_Projects_Database!$T694&lt;&gt;"",HYPERLINK(CCUS_Projects_Database!$T694,"Link 3"),"")</f>
        <v/>
      </c>
      <c r="AB694" s="43" t="str">
        <f>IF(CCUS_Projects_Database!$U694&lt;&gt;"",HYPERLINK(CCUS_Projects_Database!$U694,"Link 4"),"")</f>
        <v/>
      </c>
      <c r="AC694" s="43" t="str">
        <f>IF(CCUS_Projects_Database!$V694&lt;&gt;"",HYPERLINK(CCUS_Projects_Database!$V694,"Link 5"),"")</f>
        <v/>
      </c>
      <c r="AD694" s="43" t="str">
        <f>IF(CCUS_Projects_Database!$W694&lt;&gt;"",HYPERLINK(CCUS_Projects_Database!$W694,"Link 6"),"")</f>
        <v/>
      </c>
      <c r="AE694" s="43" t="str">
        <f>IF(CCUS_Projects_Database!$X694&lt;&gt;"",HYPERLINK(CCUS_Projects_Database!$X694,"Link 7"),"")</f>
        <v/>
      </c>
    </row>
    <row r="695" ht="15.75" customHeight="1">
      <c r="A695" s="44" t="s">
        <v>2565</v>
      </c>
      <c r="B695" s="45">
        <v>803.0</v>
      </c>
      <c r="C695" s="45" t="s">
        <v>824</v>
      </c>
      <c r="D695" s="46" t="s">
        <v>2563</v>
      </c>
      <c r="E695" s="45" t="s">
        <v>6</v>
      </c>
      <c r="F695" s="45">
        <v>2023.0</v>
      </c>
      <c r="G695" s="45" t="s">
        <v>124</v>
      </c>
      <c r="H695" s="45">
        <v>2027.0</v>
      </c>
      <c r="I695" s="45" t="s">
        <v>124</v>
      </c>
      <c r="J695" s="45" t="s">
        <v>28</v>
      </c>
      <c r="K695" s="47">
        <v>2.0</v>
      </c>
      <c r="L695" s="52">
        <v>0.098</v>
      </c>
      <c r="M695" s="47">
        <v>0.098</v>
      </c>
      <c r="N695" s="45" t="s">
        <v>64</v>
      </c>
      <c r="O695" s="48" t="s">
        <v>71</v>
      </c>
      <c r="P695" s="49" t="s">
        <v>124</v>
      </c>
      <c r="Q695" s="45" t="s">
        <v>125</v>
      </c>
      <c r="R695" s="49" t="s">
        <v>2566</v>
      </c>
      <c r="S695" s="49" t="s">
        <v>124</v>
      </c>
      <c r="T695" s="49" t="s">
        <v>124</v>
      </c>
      <c r="U695" s="49" t="s">
        <v>124</v>
      </c>
      <c r="V695" s="49" t="s">
        <v>124</v>
      </c>
      <c r="W695" s="49" t="s">
        <v>124</v>
      </c>
      <c r="X695" s="49" t="s">
        <v>124</v>
      </c>
      <c r="Y695" s="50" t="str">
        <f>IF(CCUS_Projects_Database!$R695&lt;&gt;"",HYPERLINK(CCUS_Projects_Database!$R695,"Link 1"),"")</f>
        <v>Link 1</v>
      </c>
      <c r="Z695" s="50" t="str">
        <f>IF(CCUS_Projects_Database!$S695&lt;&gt;"",HYPERLINK(CCUS_Projects_Database!$S695,"Link 2"),"")</f>
        <v/>
      </c>
      <c r="AA695" s="50" t="str">
        <f>IF(CCUS_Projects_Database!$T695&lt;&gt;"",HYPERLINK(CCUS_Projects_Database!$T695,"Link 3"),"")</f>
        <v/>
      </c>
      <c r="AB695" s="50" t="str">
        <f>IF(CCUS_Projects_Database!$U695&lt;&gt;"",HYPERLINK(CCUS_Projects_Database!$U695,"Link 4"),"")</f>
        <v/>
      </c>
      <c r="AC695" s="50" t="str">
        <f>IF(CCUS_Projects_Database!$V695&lt;&gt;"",HYPERLINK(CCUS_Projects_Database!$V695,"Link 5"),"")</f>
        <v/>
      </c>
      <c r="AD695" s="50" t="str">
        <f>IF(CCUS_Projects_Database!$W695&lt;&gt;"",HYPERLINK(CCUS_Projects_Database!$W695,"Link 6"),"")</f>
        <v/>
      </c>
      <c r="AE695" s="50" t="str">
        <f>IF(CCUS_Projects_Database!$X695&lt;&gt;"",HYPERLINK(CCUS_Projects_Database!$X695,"Link 7"),"")</f>
        <v/>
      </c>
    </row>
    <row r="696" ht="15.75" customHeight="1">
      <c r="A696" s="37" t="s">
        <v>2567</v>
      </c>
      <c r="B696" s="38">
        <v>1113.0</v>
      </c>
      <c r="C696" s="38" t="s">
        <v>284</v>
      </c>
      <c r="D696" s="39" t="s">
        <v>2568</v>
      </c>
      <c r="E696" s="38" t="s">
        <v>8</v>
      </c>
      <c r="F696" s="38">
        <v>2023.0</v>
      </c>
      <c r="G696" s="38" t="s">
        <v>124</v>
      </c>
      <c r="H696" s="38">
        <v>2030.0</v>
      </c>
      <c r="I696" s="38" t="s">
        <v>124</v>
      </c>
      <c r="J696" s="38" t="s">
        <v>28</v>
      </c>
      <c r="K696" s="40" t="s">
        <v>124</v>
      </c>
      <c r="L696" s="51">
        <v>0.13</v>
      </c>
      <c r="M696" s="40">
        <v>0.13</v>
      </c>
      <c r="N696" s="38" t="s">
        <v>46</v>
      </c>
      <c r="O696" s="41" t="s">
        <v>71</v>
      </c>
      <c r="P696" s="42" t="s">
        <v>124</v>
      </c>
      <c r="Q696" s="38" t="s">
        <v>125</v>
      </c>
      <c r="R696" s="42" t="s">
        <v>124</v>
      </c>
      <c r="S696" s="42" t="s">
        <v>124</v>
      </c>
      <c r="T696" s="42" t="s">
        <v>124</v>
      </c>
      <c r="U696" s="42" t="s">
        <v>124</v>
      </c>
      <c r="V696" s="42" t="s">
        <v>124</v>
      </c>
      <c r="W696" s="42" t="s">
        <v>124</v>
      </c>
      <c r="X696" s="42" t="s">
        <v>124</v>
      </c>
      <c r="Y696" s="43" t="str">
        <f>IF(CCUS_Projects_Database!$R696&lt;&gt;"",HYPERLINK(CCUS_Projects_Database!$R696,"Link 1"),"")</f>
        <v/>
      </c>
      <c r="Z696" s="43" t="str">
        <f>IF(CCUS_Projects_Database!$S696&lt;&gt;"",HYPERLINK(CCUS_Projects_Database!$S696,"Link 2"),"")</f>
        <v/>
      </c>
      <c r="AA696" s="43" t="str">
        <f>IF(CCUS_Projects_Database!$T696&lt;&gt;"",HYPERLINK(CCUS_Projects_Database!$T696,"Link 3"),"")</f>
        <v/>
      </c>
      <c r="AB696" s="43" t="str">
        <f>IF(CCUS_Projects_Database!$U696&lt;&gt;"",HYPERLINK(CCUS_Projects_Database!$U696,"Link 4"),"")</f>
        <v/>
      </c>
      <c r="AC696" s="43" t="str">
        <f>IF(CCUS_Projects_Database!$V696&lt;&gt;"",HYPERLINK(CCUS_Projects_Database!$V696,"Link 5"),"")</f>
        <v/>
      </c>
      <c r="AD696" s="43" t="str">
        <f>IF(CCUS_Projects_Database!$W696&lt;&gt;"",HYPERLINK(CCUS_Projects_Database!$W696,"Link 6"),"")</f>
        <v/>
      </c>
      <c r="AE696" s="43" t="str">
        <f>IF(CCUS_Projects_Database!$X696&lt;&gt;"",HYPERLINK(CCUS_Projects_Database!$X696,"Link 7"),"")</f>
        <v/>
      </c>
    </row>
    <row r="697" ht="15.75" customHeight="1">
      <c r="A697" s="44" t="s">
        <v>2569</v>
      </c>
      <c r="B697" s="45">
        <v>355.0</v>
      </c>
      <c r="C697" s="45" t="s">
        <v>141</v>
      </c>
      <c r="D697" s="46" t="s">
        <v>2570</v>
      </c>
      <c r="E697" s="45" t="s">
        <v>8</v>
      </c>
      <c r="F697" s="45">
        <v>2021.0</v>
      </c>
      <c r="G697" s="45">
        <v>2024.0</v>
      </c>
      <c r="H697" s="45">
        <v>2024.0</v>
      </c>
      <c r="I697" s="45" t="s">
        <v>124</v>
      </c>
      <c r="J697" s="45" t="s">
        <v>28</v>
      </c>
      <c r="K697" s="47" t="s">
        <v>124</v>
      </c>
      <c r="L697" s="52">
        <v>0.21</v>
      </c>
      <c r="M697" s="47">
        <v>0.229</v>
      </c>
      <c r="N697" s="45" t="s">
        <v>50</v>
      </c>
      <c r="O697" s="48" t="s">
        <v>71</v>
      </c>
      <c r="P697" s="49" t="s">
        <v>567</v>
      </c>
      <c r="Q697" s="45" t="s">
        <v>143</v>
      </c>
      <c r="R697" s="49" t="s">
        <v>945</v>
      </c>
      <c r="S697" s="49" t="s">
        <v>946</v>
      </c>
      <c r="T697" s="49" t="s">
        <v>947</v>
      </c>
      <c r="U697" s="49" t="s">
        <v>124</v>
      </c>
      <c r="V697" s="49" t="s">
        <v>124</v>
      </c>
      <c r="W697" s="49" t="s">
        <v>124</v>
      </c>
      <c r="X697" s="49" t="s">
        <v>124</v>
      </c>
      <c r="Y697" s="50" t="str">
        <f>IF(CCUS_Projects_Database!$R697&lt;&gt;"",HYPERLINK(CCUS_Projects_Database!$R697,"Link 1"),"")</f>
        <v>Link 1</v>
      </c>
      <c r="Z697" s="50" t="str">
        <f>IF(CCUS_Projects_Database!$S697&lt;&gt;"",HYPERLINK(CCUS_Projects_Database!$S697,"Link 2"),"")</f>
        <v>Link 2</v>
      </c>
      <c r="AA697" s="50" t="str">
        <f>IF(CCUS_Projects_Database!$T697&lt;&gt;"",HYPERLINK(CCUS_Projects_Database!$T697,"Link 3"),"")</f>
        <v>Link 3</v>
      </c>
      <c r="AB697" s="50" t="str">
        <f>IF(CCUS_Projects_Database!$U697&lt;&gt;"",HYPERLINK(CCUS_Projects_Database!$U697,"Link 4"),"")</f>
        <v/>
      </c>
      <c r="AC697" s="50" t="str">
        <f>IF(CCUS_Projects_Database!$V697&lt;&gt;"",HYPERLINK(CCUS_Projects_Database!$V697,"Link 5"),"")</f>
        <v/>
      </c>
      <c r="AD697" s="50" t="str">
        <f>IF(CCUS_Projects_Database!$W697&lt;&gt;"",HYPERLINK(CCUS_Projects_Database!$W697,"Link 6"),"")</f>
        <v/>
      </c>
      <c r="AE697" s="50" t="str">
        <f>IF(CCUS_Projects_Database!$X697&lt;&gt;"",HYPERLINK(CCUS_Projects_Database!$X697,"Link 7"),"")</f>
        <v/>
      </c>
    </row>
    <row r="698" ht="15.75" customHeight="1">
      <c r="A698" s="37" t="s">
        <v>2571</v>
      </c>
      <c r="B698" s="38">
        <v>878.0</v>
      </c>
      <c r="C698" s="38" t="s">
        <v>141</v>
      </c>
      <c r="D698" s="39" t="s">
        <v>2572</v>
      </c>
      <c r="E698" s="38" t="s">
        <v>14</v>
      </c>
      <c r="F698" s="38">
        <v>2023.0</v>
      </c>
      <c r="G698" s="38" t="s">
        <v>124</v>
      </c>
      <c r="H698" s="38" t="s">
        <v>124</v>
      </c>
      <c r="I698" s="38" t="s">
        <v>124</v>
      </c>
      <c r="J698" s="38" t="s">
        <v>28</v>
      </c>
      <c r="K698" s="40" t="s">
        <v>124</v>
      </c>
      <c r="L698" s="51">
        <v>9.935</v>
      </c>
      <c r="M698" s="40">
        <v>14.0</v>
      </c>
      <c r="N698" s="38" t="s">
        <v>14</v>
      </c>
      <c r="O698" s="41" t="s">
        <v>71</v>
      </c>
      <c r="P698" s="42" t="s">
        <v>2573</v>
      </c>
      <c r="Q698" s="38" t="s">
        <v>143</v>
      </c>
      <c r="R698" s="42" t="s">
        <v>2574</v>
      </c>
      <c r="S698" s="42" t="s">
        <v>2575</v>
      </c>
      <c r="T698" s="42" t="s">
        <v>2575</v>
      </c>
      <c r="U698" s="42" t="s">
        <v>124</v>
      </c>
      <c r="V698" s="42" t="s">
        <v>124</v>
      </c>
      <c r="W698" s="42" t="s">
        <v>124</v>
      </c>
      <c r="X698" s="42" t="s">
        <v>124</v>
      </c>
      <c r="Y698" s="43" t="str">
        <f>IF(CCUS_Projects_Database!$R698&lt;&gt;"",HYPERLINK(CCUS_Projects_Database!$R698,"Link 1"),"")</f>
        <v>Link 1</v>
      </c>
      <c r="Z698" s="43" t="str">
        <f>IF(CCUS_Projects_Database!$S698&lt;&gt;"",HYPERLINK(CCUS_Projects_Database!$S698,"Link 2"),"")</f>
        <v>Link 2</v>
      </c>
      <c r="AA698" s="43" t="str">
        <f>IF(CCUS_Projects_Database!$T698&lt;&gt;"",HYPERLINK(CCUS_Projects_Database!$T698,"Link 3"),"")</f>
        <v>Link 3</v>
      </c>
      <c r="AB698" s="43" t="str">
        <f>IF(CCUS_Projects_Database!$U698&lt;&gt;"",HYPERLINK(CCUS_Projects_Database!$U698,"Link 4"),"")</f>
        <v/>
      </c>
      <c r="AC698" s="43" t="str">
        <f>IF(CCUS_Projects_Database!$V698&lt;&gt;"",HYPERLINK(CCUS_Projects_Database!$V698,"Link 5"),"")</f>
        <v/>
      </c>
      <c r="AD698" s="43" t="str">
        <f>IF(CCUS_Projects_Database!$W698&lt;&gt;"",HYPERLINK(CCUS_Projects_Database!$W698,"Link 6"),"")</f>
        <v/>
      </c>
      <c r="AE698" s="43" t="str">
        <f>IF(CCUS_Projects_Database!$X698&lt;&gt;"",HYPERLINK(CCUS_Projects_Database!$X698,"Link 7"),"")</f>
        <v/>
      </c>
    </row>
    <row r="699" ht="15.75" customHeight="1">
      <c r="A699" s="44" t="s">
        <v>2576</v>
      </c>
      <c r="B699" s="45">
        <v>635.0</v>
      </c>
      <c r="C699" s="45" t="s">
        <v>239</v>
      </c>
      <c r="D699" s="46" t="s">
        <v>2577</v>
      </c>
      <c r="E699" s="45" t="s">
        <v>14</v>
      </c>
      <c r="F699" s="45">
        <v>2022.0</v>
      </c>
      <c r="G699" s="45" t="s">
        <v>124</v>
      </c>
      <c r="H699" s="45" t="s">
        <v>124</v>
      </c>
      <c r="I699" s="45" t="s">
        <v>124</v>
      </c>
      <c r="J699" s="45" t="s">
        <v>28</v>
      </c>
      <c r="K699" s="47" t="s">
        <v>124</v>
      </c>
      <c r="L699" s="52">
        <v>6.0</v>
      </c>
      <c r="M699" s="47">
        <v>6.0</v>
      </c>
      <c r="N699" s="45" t="s">
        <v>14</v>
      </c>
      <c r="O699" s="48" t="s">
        <v>71</v>
      </c>
      <c r="P699" s="49" t="s">
        <v>2576</v>
      </c>
      <c r="Q699" s="45" t="s">
        <v>143</v>
      </c>
      <c r="R699" s="49" t="s">
        <v>2578</v>
      </c>
      <c r="S699" s="49" t="s">
        <v>124</v>
      </c>
      <c r="T699" s="49" t="s">
        <v>124</v>
      </c>
      <c r="U699" s="49" t="s">
        <v>124</v>
      </c>
      <c r="V699" s="49" t="s">
        <v>124</v>
      </c>
      <c r="W699" s="49" t="s">
        <v>124</v>
      </c>
      <c r="X699" s="49" t="s">
        <v>124</v>
      </c>
      <c r="Y699" s="50" t="str">
        <f>IF(CCUS_Projects_Database!$R699&lt;&gt;"",HYPERLINK(CCUS_Projects_Database!$R699,"Link 1"),"")</f>
        <v>Link 1</v>
      </c>
      <c r="Z699" s="50" t="str">
        <f>IF(CCUS_Projects_Database!$S699&lt;&gt;"",HYPERLINK(CCUS_Projects_Database!$S699,"Link 2"),"")</f>
        <v/>
      </c>
      <c r="AA699" s="50" t="str">
        <f>IF(CCUS_Projects_Database!$T699&lt;&gt;"",HYPERLINK(CCUS_Projects_Database!$T699,"Link 3"),"")</f>
        <v/>
      </c>
      <c r="AB699" s="50" t="str">
        <f>IF(CCUS_Projects_Database!$U699&lt;&gt;"",HYPERLINK(CCUS_Projects_Database!$U699,"Link 4"),"")</f>
        <v/>
      </c>
      <c r="AC699" s="50" t="str">
        <f>IF(CCUS_Projects_Database!$V699&lt;&gt;"",HYPERLINK(CCUS_Projects_Database!$V699,"Link 5"),"")</f>
        <v/>
      </c>
      <c r="AD699" s="50" t="str">
        <f>IF(CCUS_Projects_Database!$W699&lt;&gt;"",HYPERLINK(CCUS_Projects_Database!$W699,"Link 6"),"")</f>
        <v/>
      </c>
      <c r="AE699" s="50" t="str">
        <f>IF(CCUS_Projects_Database!$X699&lt;&gt;"",HYPERLINK(CCUS_Projects_Database!$X699,"Link 7"),"")</f>
        <v/>
      </c>
    </row>
    <row r="700" ht="15.75" customHeight="1">
      <c r="A700" s="37" t="s">
        <v>1604</v>
      </c>
      <c r="B700" s="38">
        <v>511.0</v>
      </c>
      <c r="C700" s="38" t="s">
        <v>239</v>
      </c>
      <c r="D700" s="39" t="s">
        <v>2579</v>
      </c>
      <c r="E700" s="38" t="s">
        <v>12</v>
      </c>
      <c r="F700" s="38">
        <v>2022.0</v>
      </c>
      <c r="G700" s="38" t="s">
        <v>124</v>
      </c>
      <c r="H700" s="38">
        <v>2027.0</v>
      </c>
      <c r="I700" s="38" t="s">
        <v>124</v>
      </c>
      <c r="J700" s="38" t="s">
        <v>28</v>
      </c>
      <c r="K700" s="40" t="s">
        <v>124</v>
      </c>
      <c r="L700" s="40"/>
      <c r="M700" s="40" t="s">
        <v>124</v>
      </c>
      <c r="N700" s="38" t="s">
        <v>12</v>
      </c>
      <c r="O700" s="41" t="s">
        <v>71</v>
      </c>
      <c r="P700" s="42" t="s">
        <v>1604</v>
      </c>
      <c r="Q700" s="38" t="s">
        <v>143</v>
      </c>
      <c r="R700" s="42" t="s">
        <v>464</v>
      </c>
      <c r="S700" s="42" t="s">
        <v>124</v>
      </c>
      <c r="T700" s="42" t="s">
        <v>124</v>
      </c>
      <c r="U700" s="42" t="s">
        <v>124</v>
      </c>
      <c r="V700" s="42" t="s">
        <v>124</v>
      </c>
      <c r="W700" s="42" t="s">
        <v>124</v>
      </c>
      <c r="X700" s="42" t="s">
        <v>124</v>
      </c>
      <c r="Y700" s="43" t="str">
        <f>IF(CCUS_Projects_Database!$R700&lt;&gt;"",HYPERLINK(CCUS_Projects_Database!$R700,"Link 1"),"")</f>
        <v>Link 1</v>
      </c>
      <c r="Z700" s="43" t="str">
        <f>IF(CCUS_Projects_Database!$S700&lt;&gt;"",HYPERLINK(CCUS_Projects_Database!$S700,"Link 2"),"")</f>
        <v/>
      </c>
      <c r="AA700" s="43" t="str">
        <f>IF(CCUS_Projects_Database!$T700&lt;&gt;"",HYPERLINK(CCUS_Projects_Database!$T700,"Link 3"),"")</f>
        <v/>
      </c>
      <c r="AB700" s="43" t="str">
        <f>IF(CCUS_Projects_Database!$U700&lt;&gt;"",HYPERLINK(CCUS_Projects_Database!$U700,"Link 4"),"")</f>
        <v/>
      </c>
      <c r="AC700" s="43" t="str">
        <f>IF(CCUS_Projects_Database!$V700&lt;&gt;"",HYPERLINK(CCUS_Projects_Database!$V700,"Link 5"),"")</f>
        <v/>
      </c>
      <c r="AD700" s="43" t="str">
        <f>IF(CCUS_Projects_Database!$W700&lt;&gt;"",HYPERLINK(CCUS_Projects_Database!$W700,"Link 6"),"")</f>
        <v/>
      </c>
      <c r="AE700" s="43" t="str">
        <f>IF(CCUS_Projects_Database!$X700&lt;&gt;"",HYPERLINK(CCUS_Projects_Database!$X700,"Link 7"),"")</f>
        <v/>
      </c>
    </row>
    <row r="701" ht="15.75" customHeight="1">
      <c r="A701" s="44" t="s">
        <v>2580</v>
      </c>
      <c r="B701" s="45">
        <v>624.0</v>
      </c>
      <c r="C701" s="45" t="s">
        <v>247</v>
      </c>
      <c r="D701" s="46" t="s">
        <v>2581</v>
      </c>
      <c r="E701" s="45" t="s">
        <v>16</v>
      </c>
      <c r="F701" s="45">
        <v>2023.0</v>
      </c>
      <c r="G701" s="45" t="s">
        <v>124</v>
      </c>
      <c r="H701" s="45" t="s">
        <v>124</v>
      </c>
      <c r="I701" s="45" t="s">
        <v>124</v>
      </c>
      <c r="J701" s="45" t="s">
        <v>28</v>
      </c>
      <c r="K701" s="47" t="s">
        <v>124</v>
      </c>
      <c r="L701" s="52">
        <v>0.5</v>
      </c>
      <c r="M701" s="47">
        <v>0.5</v>
      </c>
      <c r="N701" s="45" t="s">
        <v>60</v>
      </c>
      <c r="O701" s="48" t="s">
        <v>75</v>
      </c>
      <c r="P701" s="49" t="s">
        <v>124</v>
      </c>
      <c r="Q701" s="45" t="s">
        <v>125</v>
      </c>
      <c r="R701" s="49" t="s">
        <v>2582</v>
      </c>
      <c r="S701" s="49" t="s">
        <v>124</v>
      </c>
      <c r="T701" s="49" t="s">
        <v>124</v>
      </c>
      <c r="U701" s="49" t="s">
        <v>124</v>
      </c>
      <c r="V701" s="49" t="s">
        <v>124</v>
      </c>
      <c r="W701" s="49" t="s">
        <v>124</v>
      </c>
      <c r="X701" s="49" t="s">
        <v>124</v>
      </c>
      <c r="Y701" s="50" t="str">
        <f>IF(CCUS_Projects_Database!$R701&lt;&gt;"",HYPERLINK(CCUS_Projects_Database!$R701,"Link 1"),"")</f>
        <v>Link 1</v>
      </c>
      <c r="Z701" s="50" t="str">
        <f>IF(CCUS_Projects_Database!$S701&lt;&gt;"",HYPERLINK(CCUS_Projects_Database!$S701,"Link 2"),"")</f>
        <v/>
      </c>
      <c r="AA701" s="50" t="str">
        <f>IF(CCUS_Projects_Database!$T701&lt;&gt;"",HYPERLINK(CCUS_Projects_Database!$T701,"Link 3"),"")</f>
        <v/>
      </c>
      <c r="AB701" s="50" t="str">
        <f>IF(CCUS_Projects_Database!$U701&lt;&gt;"",HYPERLINK(CCUS_Projects_Database!$U701,"Link 4"),"")</f>
        <v/>
      </c>
      <c r="AC701" s="50" t="str">
        <f>IF(CCUS_Projects_Database!$V701&lt;&gt;"",HYPERLINK(CCUS_Projects_Database!$V701,"Link 5"),"")</f>
        <v/>
      </c>
      <c r="AD701" s="50" t="str">
        <f>IF(CCUS_Projects_Database!$W701&lt;&gt;"",HYPERLINK(CCUS_Projects_Database!$W701,"Link 6"),"")</f>
        <v/>
      </c>
      <c r="AE701" s="50" t="str">
        <f>IF(CCUS_Projects_Database!$X701&lt;&gt;"",HYPERLINK(CCUS_Projects_Database!$X701,"Link 7"),"")</f>
        <v/>
      </c>
    </row>
    <row r="702" ht="15.75" customHeight="1">
      <c r="A702" s="37" t="s">
        <v>2583</v>
      </c>
      <c r="B702" s="38">
        <v>512.0</v>
      </c>
      <c r="C702" s="38" t="s">
        <v>239</v>
      </c>
      <c r="D702" s="39" t="s">
        <v>2584</v>
      </c>
      <c r="E702" s="38" t="s">
        <v>12</v>
      </c>
      <c r="F702" s="38">
        <v>2022.0</v>
      </c>
      <c r="G702" s="38" t="s">
        <v>124</v>
      </c>
      <c r="H702" s="38">
        <v>2026.0</v>
      </c>
      <c r="I702" s="38" t="s">
        <v>124</v>
      </c>
      <c r="J702" s="38" t="s">
        <v>28</v>
      </c>
      <c r="K702" s="40" t="s">
        <v>124</v>
      </c>
      <c r="L702" s="51">
        <v>5.0</v>
      </c>
      <c r="M702" s="40">
        <v>5.0</v>
      </c>
      <c r="N702" s="38" t="s">
        <v>12</v>
      </c>
      <c r="O702" s="41" t="s">
        <v>71</v>
      </c>
      <c r="P702" s="42" t="s">
        <v>2583</v>
      </c>
      <c r="Q702" s="38" t="s">
        <v>143</v>
      </c>
      <c r="R702" s="42" t="s">
        <v>464</v>
      </c>
      <c r="S702" s="42" t="s">
        <v>124</v>
      </c>
      <c r="T702" s="42" t="s">
        <v>124</v>
      </c>
      <c r="U702" s="42" t="s">
        <v>124</v>
      </c>
      <c r="V702" s="42" t="s">
        <v>124</v>
      </c>
      <c r="W702" s="42" t="s">
        <v>124</v>
      </c>
      <c r="X702" s="42" t="s">
        <v>124</v>
      </c>
      <c r="Y702" s="43" t="str">
        <f>IF(CCUS_Projects_Database!$R702&lt;&gt;"",HYPERLINK(CCUS_Projects_Database!$R702,"Link 1"),"")</f>
        <v>Link 1</v>
      </c>
      <c r="Z702" s="43" t="str">
        <f>IF(CCUS_Projects_Database!$S702&lt;&gt;"",HYPERLINK(CCUS_Projects_Database!$S702,"Link 2"),"")</f>
        <v/>
      </c>
      <c r="AA702" s="43" t="str">
        <f>IF(CCUS_Projects_Database!$T702&lt;&gt;"",HYPERLINK(CCUS_Projects_Database!$T702,"Link 3"),"")</f>
        <v/>
      </c>
      <c r="AB702" s="43" t="str">
        <f>IF(CCUS_Projects_Database!$U702&lt;&gt;"",HYPERLINK(CCUS_Projects_Database!$U702,"Link 4"),"")</f>
        <v/>
      </c>
      <c r="AC702" s="43" t="str">
        <f>IF(CCUS_Projects_Database!$V702&lt;&gt;"",HYPERLINK(CCUS_Projects_Database!$V702,"Link 5"),"")</f>
        <v/>
      </c>
      <c r="AD702" s="43" t="str">
        <f>IF(CCUS_Projects_Database!$W702&lt;&gt;"",HYPERLINK(CCUS_Projects_Database!$W702,"Link 6"),"")</f>
        <v/>
      </c>
      <c r="AE702" s="43" t="str">
        <f>IF(CCUS_Projects_Database!$X702&lt;&gt;"",HYPERLINK(CCUS_Projects_Database!$X702,"Link 7"),"")</f>
        <v/>
      </c>
    </row>
    <row r="703" ht="15.75" customHeight="1">
      <c r="A703" s="44" t="s">
        <v>2585</v>
      </c>
      <c r="B703" s="45">
        <v>719.0</v>
      </c>
      <c r="C703" s="45" t="s">
        <v>141</v>
      </c>
      <c r="D703" s="46" t="s">
        <v>2586</v>
      </c>
      <c r="E703" s="45" t="s">
        <v>12</v>
      </c>
      <c r="F703" s="45">
        <v>2023.0</v>
      </c>
      <c r="G703" s="45" t="s">
        <v>124</v>
      </c>
      <c r="H703" s="45" t="s">
        <v>124</v>
      </c>
      <c r="I703" s="45" t="s">
        <v>124</v>
      </c>
      <c r="J703" s="45" t="s">
        <v>28</v>
      </c>
      <c r="K703" s="47" t="s">
        <v>124</v>
      </c>
      <c r="L703" s="47"/>
      <c r="M703" s="47" t="s">
        <v>124</v>
      </c>
      <c r="N703" s="45" t="s">
        <v>12</v>
      </c>
      <c r="O703" s="48" t="s">
        <v>71</v>
      </c>
      <c r="P703" s="49" t="s">
        <v>2585</v>
      </c>
      <c r="Q703" s="45" t="s">
        <v>143</v>
      </c>
      <c r="R703" s="49" t="s">
        <v>613</v>
      </c>
      <c r="S703" s="49" t="s">
        <v>615</v>
      </c>
      <c r="T703" s="49" t="s">
        <v>124</v>
      </c>
      <c r="U703" s="49" t="s">
        <v>124</v>
      </c>
      <c r="V703" s="49" t="s">
        <v>124</v>
      </c>
      <c r="W703" s="49" t="s">
        <v>124</v>
      </c>
      <c r="X703" s="49" t="s">
        <v>124</v>
      </c>
      <c r="Y703" s="50" t="str">
        <f>IF(CCUS_Projects_Database!$R703&lt;&gt;"",HYPERLINK(CCUS_Projects_Database!$R703,"Link 1"),"")</f>
        <v>Link 1</v>
      </c>
      <c r="Z703" s="50" t="str">
        <f>IF(CCUS_Projects_Database!$S703&lt;&gt;"",HYPERLINK(CCUS_Projects_Database!$S703,"Link 2"),"")</f>
        <v>Link 2</v>
      </c>
      <c r="AA703" s="50" t="str">
        <f>IF(CCUS_Projects_Database!$T703&lt;&gt;"",HYPERLINK(CCUS_Projects_Database!$T703,"Link 3"),"")</f>
        <v/>
      </c>
      <c r="AB703" s="50" t="str">
        <f>IF(CCUS_Projects_Database!$U703&lt;&gt;"",HYPERLINK(CCUS_Projects_Database!$U703,"Link 4"),"")</f>
        <v/>
      </c>
      <c r="AC703" s="50" t="str">
        <f>IF(CCUS_Projects_Database!$V703&lt;&gt;"",HYPERLINK(CCUS_Projects_Database!$V703,"Link 5"),"")</f>
        <v/>
      </c>
      <c r="AD703" s="50" t="str">
        <f>IF(CCUS_Projects_Database!$W703&lt;&gt;"",HYPERLINK(CCUS_Projects_Database!$W703,"Link 6"),"")</f>
        <v/>
      </c>
      <c r="AE703" s="50" t="str">
        <f>IF(CCUS_Projects_Database!$X703&lt;&gt;"",HYPERLINK(CCUS_Projects_Database!$X703,"Link 7"),"")</f>
        <v/>
      </c>
    </row>
    <row r="704" ht="15.75" customHeight="1">
      <c r="A704" s="37" t="s">
        <v>2587</v>
      </c>
      <c r="B704" s="38">
        <v>1015.0</v>
      </c>
      <c r="C704" s="38" t="s">
        <v>1771</v>
      </c>
      <c r="D704" s="39" t="s">
        <v>2094</v>
      </c>
      <c r="E704" s="38" t="s">
        <v>8</v>
      </c>
      <c r="F704" s="38">
        <v>2024.0</v>
      </c>
      <c r="G704" s="38" t="s">
        <v>124</v>
      </c>
      <c r="H704" s="38" t="s">
        <v>124</v>
      </c>
      <c r="I704" s="38" t="s">
        <v>124</v>
      </c>
      <c r="J704" s="38" t="s">
        <v>28</v>
      </c>
      <c r="K704" s="40" t="s">
        <v>124</v>
      </c>
      <c r="L704" s="40"/>
      <c r="M704" s="40">
        <v>2.861</v>
      </c>
      <c r="N704" s="38" t="s">
        <v>46</v>
      </c>
      <c r="O704" s="41" t="s">
        <v>77</v>
      </c>
      <c r="P704" s="42" t="s">
        <v>124</v>
      </c>
      <c r="Q704" s="38" t="s">
        <v>137</v>
      </c>
      <c r="R704" s="42" t="s">
        <v>2095</v>
      </c>
      <c r="S704" s="42" t="s">
        <v>124</v>
      </c>
      <c r="T704" s="42" t="s">
        <v>124</v>
      </c>
      <c r="U704" s="42" t="s">
        <v>124</v>
      </c>
      <c r="V704" s="42" t="s">
        <v>124</v>
      </c>
      <c r="W704" s="42" t="s">
        <v>124</v>
      </c>
      <c r="X704" s="42" t="s">
        <v>124</v>
      </c>
      <c r="Y704" s="43" t="str">
        <f>IF(CCUS_Projects_Database!$R704&lt;&gt;"",HYPERLINK(CCUS_Projects_Database!$R704,"Link 1"),"")</f>
        <v>Link 1</v>
      </c>
      <c r="Z704" s="43" t="str">
        <f>IF(CCUS_Projects_Database!$S704&lt;&gt;"",HYPERLINK(CCUS_Projects_Database!$S704,"Link 2"),"")</f>
        <v/>
      </c>
      <c r="AA704" s="43" t="str">
        <f>IF(CCUS_Projects_Database!$T704&lt;&gt;"",HYPERLINK(CCUS_Projects_Database!$T704,"Link 3"),"")</f>
        <v/>
      </c>
      <c r="AB704" s="43" t="str">
        <f>IF(CCUS_Projects_Database!$U704&lt;&gt;"",HYPERLINK(CCUS_Projects_Database!$U704,"Link 4"),"")</f>
        <v/>
      </c>
      <c r="AC704" s="43" t="str">
        <f>IF(CCUS_Projects_Database!$V704&lt;&gt;"",HYPERLINK(CCUS_Projects_Database!$V704,"Link 5"),"")</f>
        <v/>
      </c>
      <c r="AD704" s="43" t="str">
        <f>IF(CCUS_Projects_Database!$W704&lt;&gt;"",HYPERLINK(CCUS_Projects_Database!$W704,"Link 6"),"")</f>
        <v/>
      </c>
      <c r="AE704" s="43" t="str">
        <f>IF(CCUS_Projects_Database!$X704&lt;&gt;"",HYPERLINK(CCUS_Projects_Database!$X704,"Link 7"),"")</f>
        <v/>
      </c>
    </row>
    <row r="705" ht="15.75" customHeight="1">
      <c r="A705" s="44" t="s">
        <v>2588</v>
      </c>
      <c r="B705" s="45">
        <v>897.0</v>
      </c>
      <c r="C705" s="45" t="s">
        <v>141</v>
      </c>
      <c r="D705" s="46" t="s">
        <v>2589</v>
      </c>
      <c r="E705" s="45" t="s">
        <v>135</v>
      </c>
      <c r="F705" s="45">
        <v>2020.0</v>
      </c>
      <c r="G705" s="45" t="s">
        <v>124</v>
      </c>
      <c r="H705" s="45" t="s">
        <v>124</v>
      </c>
      <c r="I705" s="45" t="s">
        <v>124</v>
      </c>
      <c r="J705" s="45" t="s">
        <v>28</v>
      </c>
      <c r="K705" s="47" t="s">
        <v>124</v>
      </c>
      <c r="L705" s="52">
        <v>1.0</v>
      </c>
      <c r="M705" s="47">
        <v>1.0</v>
      </c>
      <c r="N705" s="45" t="s">
        <v>62</v>
      </c>
      <c r="O705" s="48" t="s">
        <v>71</v>
      </c>
      <c r="P705" s="49" t="s">
        <v>124</v>
      </c>
      <c r="Q705" s="45" t="s">
        <v>143</v>
      </c>
      <c r="R705" s="49" t="s">
        <v>2590</v>
      </c>
      <c r="S705" s="49" t="s">
        <v>124</v>
      </c>
      <c r="T705" s="49" t="s">
        <v>124</v>
      </c>
      <c r="U705" s="49" t="s">
        <v>124</v>
      </c>
      <c r="V705" s="49" t="s">
        <v>124</v>
      </c>
      <c r="W705" s="49" t="s">
        <v>124</v>
      </c>
      <c r="X705" s="49" t="s">
        <v>124</v>
      </c>
      <c r="Y705" s="50" t="str">
        <f>IF(CCUS_Projects_Database!$R705&lt;&gt;"",HYPERLINK(CCUS_Projects_Database!$R705,"Link 1"),"")</f>
        <v>Link 1</v>
      </c>
      <c r="Z705" s="50" t="str">
        <f>IF(CCUS_Projects_Database!$S705&lt;&gt;"",HYPERLINK(CCUS_Projects_Database!$S705,"Link 2"),"")</f>
        <v/>
      </c>
      <c r="AA705" s="50" t="str">
        <f>IF(CCUS_Projects_Database!$T705&lt;&gt;"",HYPERLINK(CCUS_Projects_Database!$T705,"Link 3"),"")</f>
        <v/>
      </c>
      <c r="AB705" s="50" t="str">
        <f>IF(CCUS_Projects_Database!$U705&lt;&gt;"",HYPERLINK(CCUS_Projects_Database!$U705,"Link 4"),"")</f>
        <v/>
      </c>
      <c r="AC705" s="50" t="str">
        <f>IF(CCUS_Projects_Database!$V705&lt;&gt;"",HYPERLINK(CCUS_Projects_Database!$V705,"Link 5"),"")</f>
        <v/>
      </c>
      <c r="AD705" s="50" t="str">
        <f>IF(CCUS_Projects_Database!$W705&lt;&gt;"",HYPERLINK(CCUS_Projects_Database!$W705,"Link 6"),"")</f>
        <v/>
      </c>
      <c r="AE705" s="50" t="str">
        <f>IF(CCUS_Projects_Database!$X705&lt;&gt;"",HYPERLINK(CCUS_Projects_Database!$X705,"Link 7"),"")</f>
        <v/>
      </c>
    </row>
    <row r="706" ht="15.75" customHeight="1">
      <c r="A706" s="37" t="s">
        <v>2591</v>
      </c>
      <c r="B706" s="38">
        <v>681.0</v>
      </c>
      <c r="C706" s="38" t="s">
        <v>204</v>
      </c>
      <c r="D706" s="39" t="s">
        <v>2323</v>
      </c>
      <c r="E706" s="38" t="s">
        <v>8</v>
      </c>
      <c r="F706" s="38">
        <v>2022.0</v>
      </c>
      <c r="G706" s="38" t="s">
        <v>124</v>
      </c>
      <c r="H706" s="38">
        <v>2032.0</v>
      </c>
      <c r="I706" s="38" t="s">
        <v>124</v>
      </c>
      <c r="J706" s="38" t="s">
        <v>28</v>
      </c>
      <c r="K706" s="40" t="s">
        <v>124</v>
      </c>
      <c r="L706" s="51">
        <v>6.25</v>
      </c>
      <c r="M706" s="40">
        <v>7.0</v>
      </c>
      <c r="N706" s="38" t="s">
        <v>46</v>
      </c>
      <c r="O706" s="41" t="s">
        <v>71</v>
      </c>
      <c r="P706" s="42" t="s">
        <v>2129</v>
      </c>
      <c r="Q706" s="38" t="s">
        <v>125</v>
      </c>
      <c r="R706" s="42" t="s">
        <v>407</v>
      </c>
      <c r="S706" s="42" t="s">
        <v>2592</v>
      </c>
      <c r="T706" s="42" t="s">
        <v>124</v>
      </c>
      <c r="U706" s="42" t="s">
        <v>124</v>
      </c>
      <c r="V706" s="42" t="s">
        <v>124</v>
      </c>
      <c r="W706" s="42" t="s">
        <v>124</v>
      </c>
      <c r="X706" s="42" t="s">
        <v>124</v>
      </c>
      <c r="Y706" s="43" t="str">
        <f>IF(CCUS_Projects_Database!$R706&lt;&gt;"",HYPERLINK(CCUS_Projects_Database!$R706,"Link 1"),"")</f>
        <v>Link 1</v>
      </c>
      <c r="Z706" s="43" t="str">
        <f>IF(CCUS_Projects_Database!$S706&lt;&gt;"",HYPERLINK(CCUS_Projects_Database!$S706,"Link 2"),"")</f>
        <v>Link 2</v>
      </c>
      <c r="AA706" s="43" t="str">
        <f>IF(CCUS_Projects_Database!$T706&lt;&gt;"",HYPERLINK(CCUS_Projects_Database!$T706,"Link 3"),"")</f>
        <v/>
      </c>
      <c r="AB706" s="43" t="str">
        <f>IF(CCUS_Projects_Database!$U706&lt;&gt;"",HYPERLINK(CCUS_Projects_Database!$U706,"Link 4"),"")</f>
        <v/>
      </c>
      <c r="AC706" s="43" t="str">
        <f>IF(CCUS_Projects_Database!$V706&lt;&gt;"",HYPERLINK(CCUS_Projects_Database!$V706,"Link 5"),"")</f>
        <v/>
      </c>
      <c r="AD706" s="43" t="str">
        <f>IF(CCUS_Projects_Database!$W706&lt;&gt;"",HYPERLINK(CCUS_Projects_Database!$W706,"Link 6"),"")</f>
        <v/>
      </c>
      <c r="AE706" s="43" t="str">
        <f>IF(CCUS_Projects_Database!$X706&lt;&gt;"",HYPERLINK(CCUS_Projects_Database!$X706,"Link 7"),"")</f>
        <v/>
      </c>
    </row>
    <row r="707" ht="15.75" customHeight="1">
      <c r="A707" s="44" t="s">
        <v>2593</v>
      </c>
      <c r="B707" s="45">
        <v>804.0</v>
      </c>
      <c r="C707" s="45" t="s">
        <v>157</v>
      </c>
      <c r="D707" s="46" t="s">
        <v>2594</v>
      </c>
      <c r="E707" s="45" t="s">
        <v>8</v>
      </c>
      <c r="F707" s="45">
        <v>2023.0</v>
      </c>
      <c r="G707" s="45" t="s">
        <v>124</v>
      </c>
      <c r="H707" s="45" t="s">
        <v>124</v>
      </c>
      <c r="I707" s="45" t="s">
        <v>124</v>
      </c>
      <c r="J707" s="45" t="s">
        <v>28</v>
      </c>
      <c r="K707" s="47" t="s">
        <v>124</v>
      </c>
      <c r="L707" s="52">
        <v>1.87</v>
      </c>
      <c r="M707" s="47">
        <v>1.87</v>
      </c>
      <c r="N707" s="45" t="s">
        <v>46</v>
      </c>
      <c r="O707" s="48" t="s">
        <v>71</v>
      </c>
      <c r="P707" s="49" t="s">
        <v>962</v>
      </c>
      <c r="Q707" s="45" t="s">
        <v>125</v>
      </c>
      <c r="R707" s="49" t="s">
        <v>2325</v>
      </c>
      <c r="S707" s="49" t="s">
        <v>2595</v>
      </c>
      <c r="T707" s="49" t="s">
        <v>124</v>
      </c>
      <c r="U707" s="49" t="s">
        <v>124</v>
      </c>
      <c r="V707" s="49" t="s">
        <v>124</v>
      </c>
      <c r="W707" s="49" t="s">
        <v>124</v>
      </c>
      <c r="X707" s="49" t="s">
        <v>124</v>
      </c>
      <c r="Y707" s="50" t="str">
        <f>IF(CCUS_Projects_Database!$R707&lt;&gt;"",HYPERLINK(CCUS_Projects_Database!$R707,"Link 1"),"")</f>
        <v>Link 1</v>
      </c>
      <c r="Z707" s="50" t="str">
        <f>IF(CCUS_Projects_Database!$S707&lt;&gt;"",HYPERLINK(CCUS_Projects_Database!$S707,"Link 2"),"")</f>
        <v>Link 2</v>
      </c>
      <c r="AA707" s="50" t="str">
        <f>IF(CCUS_Projects_Database!$T707&lt;&gt;"",HYPERLINK(CCUS_Projects_Database!$T707,"Link 3"),"")</f>
        <v/>
      </c>
      <c r="AB707" s="50" t="str">
        <f>IF(CCUS_Projects_Database!$U707&lt;&gt;"",HYPERLINK(CCUS_Projects_Database!$U707,"Link 4"),"")</f>
        <v/>
      </c>
      <c r="AC707" s="50" t="str">
        <f>IF(CCUS_Projects_Database!$V707&lt;&gt;"",HYPERLINK(CCUS_Projects_Database!$V707,"Link 5"),"")</f>
        <v/>
      </c>
      <c r="AD707" s="50" t="str">
        <f>IF(CCUS_Projects_Database!$W707&lt;&gt;"",HYPERLINK(CCUS_Projects_Database!$W707,"Link 6"),"")</f>
        <v/>
      </c>
      <c r="AE707" s="50" t="str">
        <f>IF(CCUS_Projects_Database!$X707&lt;&gt;"",HYPERLINK(CCUS_Projects_Database!$X707,"Link 7"),"")</f>
        <v/>
      </c>
    </row>
    <row r="708" ht="15.75" customHeight="1">
      <c r="A708" s="37" t="s">
        <v>2593</v>
      </c>
      <c r="B708" s="38">
        <v>1147.0</v>
      </c>
      <c r="C708" s="38" t="s">
        <v>157</v>
      </c>
      <c r="D708" s="39" t="s">
        <v>2323</v>
      </c>
      <c r="E708" s="38" t="s">
        <v>8</v>
      </c>
      <c r="F708" s="38">
        <v>2024.0</v>
      </c>
      <c r="G708" s="38" t="s">
        <v>124</v>
      </c>
      <c r="H708" s="38" t="s">
        <v>124</v>
      </c>
      <c r="I708" s="38" t="s">
        <v>124</v>
      </c>
      <c r="J708" s="38" t="s">
        <v>28</v>
      </c>
      <c r="K708" s="40" t="s">
        <v>124</v>
      </c>
      <c r="L708" s="51">
        <v>0.6</v>
      </c>
      <c r="M708" s="40">
        <v>0.6</v>
      </c>
      <c r="N708" s="38" t="s">
        <v>46</v>
      </c>
      <c r="O708" s="41" t="s">
        <v>71</v>
      </c>
      <c r="P708" s="38" t="s">
        <v>124</v>
      </c>
      <c r="Q708" s="38" t="s">
        <v>125</v>
      </c>
      <c r="R708" s="55" t="s">
        <v>2596</v>
      </c>
      <c r="S708" s="55" t="s">
        <v>124</v>
      </c>
      <c r="T708" s="55" t="s">
        <v>124</v>
      </c>
      <c r="U708" s="55" t="s">
        <v>124</v>
      </c>
      <c r="V708" s="55" t="s">
        <v>124</v>
      </c>
      <c r="W708" s="55" t="s">
        <v>124</v>
      </c>
      <c r="X708" s="55" t="s">
        <v>124</v>
      </c>
      <c r="Y708" s="56" t="str">
        <f>IF(CCUS_Projects_Database!$R708&lt;&gt;"",HYPERLINK(CCUS_Projects_Database!$R708,"Link 1"),"")</f>
        <v>Link 1</v>
      </c>
      <c r="Z708" s="42" t="str">
        <f>IF(CCUS_Projects_Database!$S708&lt;&gt;"",HYPERLINK(CCUS_Projects_Database!$S708,"Link 2"),"")</f>
        <v/>
      </c>
      <c r="AA708" s="42" t="str">
        <f>IF(CCUS_Projects_Database!$T708&lt;&gt;"",HYPERLINK(CCUS_Projects_Database!$T708,"Link 3"),"")</f>
        <v/>
      </c>
      <c r="AB708" s="42" t="str">
        <f>IF(CCUS_Projects_Database!$U708&lt;&gt;"",HYPERLINK(CCUS_Projects_Database!$U708,"Link 4"),"")</f>
        <v/>
      </c>
      <c r="AC708" s="42" t="str">
        <f>IF(CCUS_Projects_Database!$V708&lt;&gt;"",HYPERLINK(CCUS_Projects_Database!$V708,"Link 5"),"")</f>
        <v/>
      </c>
      <c r="AD708" s="42" t="str">
        <f>IF(CCUS_Projects_Database!$W708&lt;&gt;"",HYPERLINK(CCUS_Projects_Database!$W708,"Link 6"),"")</f>
        <v/>
      </c>
      <c r="AE708" s="43" t="str">
        <f>IF(CCUS_Projects_Database!$X708&lt;&gt;"",HYPERLINK(CCUS_Projects_Database!$X708,"Link 7"),"")</f>
        <v/>
      </c>
    </row>
    <row r="709" ht="15.75" customHeight="1">
      <c r="A709" s="44" t="s">
        <v>2597</v>
      </c>
      <c r="B709" s="45">
        <v>706.0</v>
      </c>
      <c r="C709" s="45" t="s">
        <v>157</v>
      </c>
      <c r="D709" s="46" t="s">
        <v>2323</v>
      </c>
      <c r="E709" s="45" t="s">
        <v>8</v>
      </c>
      <c r="F709" s="45">
        <v>2022.0</v>
      </c>
      <c r="G709" s="45" t="s">
        <v>124</v>
      </c>
      <c r="H709" s="45" t="s">
        <v>124</v>
      </c>
      <c r="I709" s="45" t="s">
        <v>124</v>
      </c>
      <c r="J709" s="45" t="s">
        <v>28</v>
      </c>
      <c r="K709" s="47" t="s">
        <v>124</v>
      </c>
      <c r="L709" s="52">
        <v>3.979</v>
      </c>
      <c r="M709" s="47">
        <v>3.979</v>
      </c>
      <c r="N709" s="45" t="s">
        <v>46</v>
      </c>
      <c r="O709" s="48" t="s">
        <v>71</v>
      </c>
      <c r="P709" s="49" t="s">
        <v>962</v>
      </c>
      <c r="Q709" s="45" t="s">
        <v>125</v>
      </c>
      <c r="R709" s="49" t="s">
        <v>2598</v>
      </c>
      <c r="S709" s="49" t="s">
        <v>2325</v>
      </c>
      <c r="T709" s="49" t="s">
        <v>124</v>
      </c>
      <c r="U709" s="49" t="s">
        <v>124</v>
      </c>
      <c r="V709" s="49" t="s">
        <v>124</v>
      </c>
      <c r="W709" s="49" t="s">
        <v>124</v>
      </c>
      <c r="X709" s="49" t="s">
        <v>124</v>
      </c>
      <c r="Y709" s="50" t="str">
        <f>IF(CCUS_Projects_Database!$R709&lt;&gt;"",HYPERLINK(CCUS_Projects_Database!$R709,"Link 1"),"")</f>
        <v>Link 1</v>
      </c>
      <c r="Z709" s="50" t="str">
        <f>IF(CCUS_Projects_Database!$S709&lt;&gt;"",HYPERLINK(CCUS_Projects_Database!$S709,"Link 2"),"")</f>
        <v>Link 2</v>
      </c>
      <c r="AA709" s="50" t="str">
        <f>IF(CCUS_Projects_Database!$T709&lt;&gt;"",HYPERLINK(CCUS_Projects_Database!$T709,"Link 3"),"")</f>
        <v/>
      </c>
      <c r="AB709" s="50" t="str">
        <f>IF(CCUS_Projects_Database!$U709&lt;&gt;"",HYPERLINK(CCUS_Projects_Database!$U709,"Link 4"),"")</f>
        <v/>
      </c>
      <c r="AC709" s="50" t="str">
        <f>IF(CCUS_Projects_Database!$V709&lt;&gt;"",HYPERLINK(CCUS_Projects_Database!$V709,"Link 5"),"")</f>
        <v/>
      </c>
      <c r="AD709" s="50" t="str">
        <f>IF(CCUS_Projects_Database!$W709&lt;&gt;"",HYPERLINK(CCUS_Projects_Database!$W709,"Link 6"),"")</f>
        <v/>
      </c>
      <c r="AE709" s="50" t="str">
        <f>IF(CCUS_Projects_Database!$X709&lt;&gt;"",HYPERLINK(CCUS_Projects_Database!$X709,"Link 7"),"")</f>
        <v/>
      </c>
    </row>
    <row r="710" ht="15.75" customHeight="1">
      <c r="A710" s="37" t="s">
        <v>2599</v>
      </c>
      <c r="B710" s="38">
        <v>680.0</v>
      </c>
      <c r="C710" s="38" t="s">
        <v>204</v>
      </c>
      <c r="D710" s="39" t="s">
        <v>2323</v>
      </c>
      <c r="E710" s="38" t="s">
        <v>8</v>
      </c>
      <c r="F710" s="38">
        <v>2022.0</v>
      </c>
      <c r="G710" s="38" t="s">
        <v>124</v>
      </c>
      <c r="H710" s="38">
        <v>2030.0</v>
      </c>
      <c r="I710" s="38" t="s">
        <v>124</v>
      </c>
      <c r="J710" s="38" t="s">
        <v>28</v>
      </c>
      <c r="K710" s="40" t="s">
        <v>124</v>
      </c>
      <c r="L710" s="51">
        <v>6.25</v>
      </c>
      <c r="M710" s="40">
        <v>7.0</v>
      </c>
      <c r="N710" s="38" t="s">
        <v>46</v>
      </c>
      <c r="O710" s="41" t="s">
        <v>71</v>
      </c>
      <c r="P710" s="42" t="s">
        <v>2129</v>
      </c>
      <c r="Q710" s="38" t="s">
        <v>125</v>
      </c>
      <c r="R710" s="42" t="s">
        <v>407</v>
      </c>
      <c r="S710" s="42" t="s">
        <v>2592</v>
      </c>
      <c r="T710" s="42" t="s">
        <v>124</v>
      </c>
      <c r="U710" s="42" t="s">
        <v>124</v>
      </c>
      <c r="V710" s="42" t="s">
        <v>124</v>
      </c>
      <c r="W710" s="42" t="s">
        <v>124</v>
      </c>
      <c r="X710" s="42" t="s">
        <v>124</v>
      </c>
      <c r="Y710" s="43" t="str">
        <f>IF(CCUS_Projects_Database!$R710&lt;&gt;"",HYPERLINK(CCUS_Projects_Database!$R710,"Link 1"),"")</f>
        <v>Link 1</v>
      </c>
      <c r="Z710" s="43" t="str">
        <f>IF(CCUS_Projects_Database!$S710&lt;&gt;"",HYPERLINK(CCUS_Projects_Database!$S710,"Link 2"),"")</f>
        <v>Link 2</v>
      </c>
      <c r="AA710" s="43" t="str">
        <f>IF(CCUS_Projects_Database!$T710&lt;&gt;"",HYPERLINK(CCUS_Projects_Database!$T710,"Link 3"),"")</f>
        <v/>
      </c>
      <c r="AB710" s="43" t="str">
        <f>IF(CCUS_Projects_Database!$U710&lt;&gt;"",HYPERLINK(CCUS_Projects_Database!$U710,"Link 4"),"")</f>
        <v/>
      </c>
      <c r="AC710" s="43" t="str">
        <f>IF(CCUS_Projects_Database!$V710&lt;&gt;"",HYPERLINK(CCUS_Projects_Database!$V710,"Link 5"),"")</f>
        <v/>
      </c>
      <c r="AD710" s="43" t="str">
        <f>IF(CCUS_Projects_Database!$W710&lt;&gt;"",HYPERLINK(CCUS_Projects_Database!$W710,"Link 6"),"")</f>
        <v/>
      </c>
      <c r="AE710" s="43" t="str">
        <f>IF(CCUS_Projects_Database!$X710&lt;&gt;"",HYPERLINK(CCUS_Projects_Database!$X710,"Link 7"),"")</f>
        <v/>
      </c>
    </row>
    <row r="711" ht="15.75" customHeight="1">
      <c r="A711" s="44" t="s">
        <v>2600</v>
      </c>
      <c r="B711" s="45">
        <v>233.0</v>
      </c>
      <c r="C711" s="45" t="s">
        <v>224</v>
      </c>
      <c r="D711" s="46" t="s">
        <v>2601</v>
      </c>
      <c r="E711" s="45" t="s">
        <v>16</v>
      </c>
      <c r="F711" s="45">
        <v>2021.0</v>
      </c>
      <c r="G711" s="45" t="s">
        <v>124</v>
      </c>
      <c r="H711" s="45" t="s">
        <v>124</v>
      </c>
      <c r="I711" s="45" t="s">
        <v>124</v>
      </c>
      <c r="J711" s="45" t="s">
        <v>28</v>
      </c>
      <c r="K711" s="47" t="s">
        <v>124</v>
      </c>
      <c r="L711" s="52">
        <v>0.155</v>
      </c>
      <c r="M711" s="47">
        <v>0.16</v>
      </c>
      <c r="N711" s="45" t="s">
        <v>60</v>
      </c>
      <c r="O711" s="48" t="s">
        <v>75</v>
      </c>
      <c r="P711" s="49" t="s">
        <v>124</v>
      </c>
      <c r="Q711" s="45" t="s">
        <v>148</v>
      </c>
      <c r="R711" s="49" t="s">
        <v>2602</v>
      </c>
      <c r="S711" s="49" t="s">
        <v>124</v>
      </c>
      <c r="T711" s="49" t="s">
        <v>124</v>
      </c>
      <c r="U711" s="49" t="s">
        <v>124</v>
      </c>
      <c r="V711" s="49" t="s">
        <v>124</v>
      </c>
      <c r="W711" s="49" t="s">
        <v>124</v>
      </c>
      <c r="X711" s="49" t="s">
        <v>124</v>
      </c>
      <c r="Y711" s="50" t="str">
        <f>IF(CCUS_Projects_Database!$R711&lt;&gt;"",HYPERLINK(CCUS_Projects_Database!$R711,"Link 1"),"")</f>
        <v>Link 1</v>
      </c>
      <c r="Z711" s="50" t="str">
        <f>IF(CCUS_Projects_Database!$S711&lt;&gt;"",HYPERLINK(CCUS_Projects_Database!$S711,"Link 2"),"")</f>
        <v/>
      </c>
      <c r="AA711" s="50" t="str">
        <f>IF(CCUS_Projects_Database!$T711&lt;&gt;"",HYPERLINK(CCUS_Projects_Database!$T711,"Link 3"),"")</f>
        <v/>
      </c>
      <c r="AB711" s="50" t="str">
        <f>IF(CCUS_Projects_Database!$U711&lt;&gt;"",HYPERLINK(CCUS_Projects_Database!$U711,"Link 4"),"")</f>
        <v/>
      </c>
      <c r="AC711" s="50" t="str">
        <f>IF(CCUS_Projects_Database!$V711&lt;&gt;"",HYPERLINK(CCUS_Projects_Database!$V711,"Link 5"),"")</f>
        <v/>
      </c>
      <c r="AD711" s="50" t="str">
        <f>IF(CCUS_Projects_Database!$W711&lt;&gt;"",HYPERLINK(CCUS_Projects_Database!$W711,"Link 6"),"")</f>
        <v/>
      </c>
      <c r="AE711" s="50" t="str">
        <f>IF(CCUS_Projects_Database!$X711&lt;&gt;"",HYPERLINK(CCUS_Projects_Database!$X711,"Link 7"),"")</f>
        <v/>
      </c>
    </row>
    <row r="712" ht="15.75" customHeight="1">
      <c r="A712" s="37" t="s">
        <v>2603</v>
      </c>
      <c r="B712" s="38">
        <v>1109.0</v>
      </c>
      <c r="C712" s="38" t="s">
        <v>157</v>
      </c>
      <c r="D712" s="39" t="s">
        <v>2604</v>
      </c>
      <c r="E712" s="38" t="s">
        <v>8</v>
      </c>
      <c r="F712" s="38">
        <v>2021.0</v>
      </c>
      <c r="G712" s="38" t="s">
        <v>124</v>
      </c>
      <c r="H712" s="38" t="s">
        <v>124</v>
      </c>
      <c r="I712" s="38" t="s">
        <v>124</v>
      </c>
      <c r="J712" s="38" t="s">
        <v>28</v>
      </c>
      <c r="K712" s="40" t="s">
        <v>124</v>
      </c>
      <c r="L712" s="40"/>
      <c r="M712" s="40" t="s">
        <v>124</v>
      </c>
      <c r="N712" s="38" t="s">
        <v>62</v>
      </c>
      <c r="O712" s="41" t="s">
        <v>71</v>
      </c>
      <c r="P712" s="42" t="s">
        <v>281</v>
      </c>
      <c r="Q712" s="38" t="s">
        <v>125</v>
      </c>
      <c r="R712" s="42" t="s">
        <v>124</v>
      </c>
      <c r="S712" s="42" t="s">
        <v>124</v>
      </c>
      <c r="T712" s="42" t="s">
        <v>124</v>
      </c>
      <c r="U712" s="42" t="s">
        <v>124</v>
      </c>
      <c r="V712" s="42" t="s">
        <v>124</v>
      </c>
      <c r="W712" s="42" t="s">
        <v>124</v>
      </c>
      <c r="X712" s="42" t="s">
        <v>124</v>
      </c>
      <c r="Y712" s="43" t="str">
        <f>IF(CCUS_Projects_Database!$R712&lt;&gt;"",HYPERLINK(CCUS_Projects_Database!$R712,"Link 1"),"")</f>
        <v/>
      </c>
      <c r="Z712" s="43" t="str">
        <f>IF(CCUS_Projects_Database!$S712&lt;&gt;"",HYPERLINK(CCUS_Projects_Database!$S712,"Link 2"),"")</f>
        <v/>
      </c>
      <c r="AA712" s="43" t="str">
        <f>IF(CCUS_Projects_Database!$T712&lt;&gt;"",HYPERLINK(CCUS_Projects_Database!$T712,"Link 3"),"")</f>
        <v/>
      </c>
      <c r="AB712" s="43" t="str">
        <f>IF(CCUS_Projects_Database!$U712&lt;&gt;"",HYPERLINK(CCUS_Projects_Database!$U712,"Link 4"),"")</f>
        <v/>
      </c>
      <c r="AC712" s="43" t="str">
        <f>IF(CCUS_Projects_Database!$V712&lt;&gt;"",HYPERLINK(CCUS_Projects_Database!$V712,"Link 5"),"")</f>
        <v/>
      </c>
      <c r="AD712" s="43" t="str">
        <f>IF(CCUS_Projects_Database!$W712&lt;&gt;"",HYPERLINK(CCUS_Projects_Database!$W712,"Link 6"),"")</f>
        <v/>
      </c>
      <c r="AE712" s="43" t="str">
        <f>IF(CCUS_Projects_Database!$X712&lt;&gt;"",HYPERLINK(CCUS_Projects_Database!$X712,"Link 7"),"")</f>
        <v/>
      </c>
    </row>
    <row r="713" ht="15.75" customHeight="1">
      <c r="A713" s="44" t="s">
        <v>2605</v>
      </c>
      <c r="B713" s="45">
        <v>1116.0</v>
      </c>
      <c r="C713" s="45" t="s">
        <v>122</v>
      </c>
      <c r="D713" s="46" t="s">
        <v>2606</v>
      </c>
      <c r="E713" s="45" t="s">
        <v>8</v>
      </c>
      <c r="F713" s="45">
        <v>2023.0</v>
      </c>
      <c r="G713" s="45">
        <v>2027.0</v>
      </c>
      <c r="H713" s="45">
        <v>2030.0</v>
      </c>
      <c r="I713" s="45" t="s">
        <v>124</v>
      </c>
      <c r="J713" s="45" t="s">
        <v>28</v>
      </c>
      <c r="K713" s="47" t="s">
        <v>124</v>
      </c>
      <c r="L713" s="52">
        <v>1.0</v>
      </c>
      <c r="M713" s="47">
        <v>1.0</v>
      </c>
      <c r="N713" s="45" t="s">
        <v>56</v>
      </c>
      <c r="O713" s="48" t="s">
        <v>71</v>
      </c>
      <c r="P713" s="49" t="s">
        <v>1415</v>
      </c>
      <c r="Q713" s="45" t="s">
        <v>125</v>
      </c>
      <c r="R713" s="49" t="s">
        <v>1417</v>
      </c>
      <c r="S713" s="49" t="s">
        <v>124</v>
      </c>
      <c r="T713" s="49" t="s">
        <v>124</v>
      </c>
      <c r="U713" s="49" t="s">
        <v>124</v>
      </c>
      <c r="V713" s="49" t="s">
        <v>124</v>
      </c>
      <c r="W713" s="49" t="s">
        <v>124</v>
      </c>
      <c r="X713" s="49" t="s">
        <v>124</v>
      </c>
      <c r="Y713" s="50" t="str">
        <f>IF(CCUS_Projects_Database!$R713&lt;&gt;"",HYPERLINK(CCUS_Projects_Database!$R713,"Link 1"),"")</f>
        <v>Link 1</v>
      </c>
      <c r="Z713" s="50" t="str">
        <f>IF(CCUS_Projects_Database!$S713&lt;&gt;"",HYPERLINK(CCUS_Projects_Database!$S713,"Link 2"),"")</f>
        <v/>
      </c>
      <c r="AA713" s="50" t="str">
        <f>IF(CCUS_Projects_Database!$T713&lt;&gt;"",HYPERLINK(CCUS_Projects_Database!$T713,"Link 3"),"")</f>
        <v/>
      </c>
      <c r="AB713" s="50" t="str">
        <f>IF(CCUS_Projects_Database!$U713&lt;&gt;"",HYPERLINK(CCUS_Projects_Database!$U713,"Link 4"),"")</f>
        <v/>
      </c>
      <c r="AC713" s="50" t="str">
        <f>IF(CCUS_Projects_Database!$V713&lt;&gt;"",HYPERLINK(CCUS_Projects_Database!$V713,"Link 5"),"")</f>
        <v/>
      </c>
      <c r="AD713" s="50" t="str">
        <f>IF(CCUS_Projects_Database!$W713&lt;&gt;"",HYPERLINK(CCUS_Projects_Database!$W713,"Link 6"),"")</f>
        <v/>
      </c>
      <c r="AE713" s="50" t="str">
        <f>IF(CCUS_Projects_Database!$X713&lt;&gt;"",HYPERLINK(CCUS_Projects_Database!$X713,"Link 7"),"")</f>
        <v/>
      </c>
    </row>
    <row r="714" ht="15.75" customHeight="1">
      <c r="A714" s="37" t="s">
        <v>2607</v>
      </c>
      <c r="B714" s="38">
        <v>890.0</v>
      </c>
      <c r="C714" s="38" t="s">
        <v>141</v>
      </c>
      <c r="D714" s="39" t="s">
        <v>2312</v>
      </c>
      <c r="E714" s="38" t="s">
        <v>12</v>
      </c>
      <c r="F714" s="38">
        <v>2021.0</v>
      </c>
      <c r="G714" s="38">
        <v>2025.0</v>
      </c>
      <c r="H714" s="38" t="s">
        <v>124</v>
      </c>
      <c r="I714" s="38" t="s">
        <v>124</v>
      </c>
      <c r="J714" s="38" t="s">
        <v>28</v>
      </c>
      <c r="K714" s="40" t="s">
        <v>124</v>
      </c>
      <c r="L714" s="51">
        <v>0.44</v>
      </c>
      <c r="M714" s="40">
        <v>0.44</v>
      </c>
      <c r="N714" s="38" t="s">
        <v>12</v>
      </c>
      <c r="O714" s="41" t="s">
        <v>71</v>
      </c>
      <c r="P714" s="42" t="s">
        <v>124</v>
      </c>
      <c r="Q714" s="38" t="s">
        <v>143</v>
      </c>
      <c r="R714" s="42" t="s">
        <v>2608</v>
      </c>
      <c r="S714" s="42" t="s">
        <v>124</v>
      </c>
      <c r="T714" s="42" t="s">
        <v>124</v>
      </c>
      <c r="U714" s="42" t="s">
        <v>124</v>
      </c>
      <c r="V714" s="42" t="s">
        <v>124</v>
      </c>
      <c r="W714" s="42" t="s">
        <v>124</v>
      </c>
      <c r="X714" s="42" t="s">
        <v>124</v>
      </c>
      <c r="Y714" s="43" t="str">
        <f>IF(CCUS_Projects_Database!$R714&lt;&gt;"",HYPERLINK(CCUS_Projects_Database!$R714,"Link 1"),"")</f>
        <v>Link 1</v>
      </c>
      <c r="Z714" s="43" t="str">
        <f>IF(CCUS_Projects_Database!$S714&lt;&gt;"",HYPERLINK(CCUS_Projects_Database!$S714,"Link 2"),"")</f>
        <v/>
      </c>
      <c r="AA714" s="43" t="str">
        <f>IF(CCUS_Projects_Database!$T714&lt;&gt;"",HYPERLINK(CCUS_Projects_Database!$T714,"Link 3"),"")</f>
        <v/>
      </c>
      <c r="AB714" s="43" t="str">
        <f>IF(CCUS_Projects_Database!$U714&lt;&gt;"",HYPERLINK(CCUS_Projects_Database!$U714,"Link 4"),"")</f>
        <v/>
      </c>
      <c r="AC714" s="43" t="str">
        <f>IF(CCUS_Projects_Database!$V714&lt;&gt;"",HYPERLINK(CCUS_Projects_Database!$V714,"Link 5"),"")</f>
        <v/>
      </c>
      <c r="AD714" s="43" t="str">
        <f>IF(CCUS_Projects_Database!$W714&lt;&gt;"",HYPERLINK(CCUS_Projects_Database!$W714,"Link 6"),"")</f>
        <v/>
      </c>
      <c r="AE714" s="43" t="str">
        <f>IF(CCUS_Projects_Database!$X714&lt;&gt;"",HYPERLINK(CCUS_Projects_Database!$X714,"Link 7"),"")</f>
        <v/>
      </c>
    </row>
    <row r="715" ht="15.75" customHeight="1">
      <c r="A715" s="44" t="s">
        <v>2609</v>
      </c>
      <c r="B715" s="45">
        <v>964.0</v>
      </c>
      <c r="C715" s="45" t="s">
        <v>141</v>
      </c>
      <c r="D715" s="46" t="s">
        <v>1293</v>
      </c>
      <c r="E715" s="45" t="s">
        <v>12</v>
      </c>
      <c r="F715" s="45">
        <v>2019.0</v>
      </c>
      <c r="G715" s="45" t="s">
        <v>124</v>
      </c>
      <c r="H715" s="45">
        <v>2025.0</v>
      </c>
      <c r="I715" s="45" t="s">
        <v>124</v>
      </c>
      <c r="J715" s="45" t="s">
        <v>28</v>
      </c>
      <c r="K715" s="47" t="s">
        <v>124</v>
      </c>
      <c r="L715" s="47"/>
      <c r="M715" s="47" t="s">
        <v>124</v>
      </c>
      <c r="N715" s="45" t="s">
        <v>12</v>
      </c>
      <c r="O715" s="48" t="s">
        <v>71</v>
      </c>
      <c r="P715" s="49" t="s">
        <v>2609</v>
      </c>
      <c r="Q715" s="45" t="s">
        <v>143</v>
      </c>
      <c r="R715" s="49" t="s">
        <v>2610</v>
      </c>
      <c r="S715" s="49" t="s">
        <v>615</v>
      </c>
      <c r="T715" s="49" t="s">
        <v>124</v>
      </c>
      <c r="U715" s="49" t="s">
        <v>124</v>
      </c>
      <c r="V715" s="49" t="s">
        <v>124</v>
      </c>
      <c r="W715" s="49" t="s">
        <v>124</v>
      </c>
      <c r="X715" s="49" t="s">
        <v>124</v>
      </c>
      <c r="Y715" s="50" t="str">
        <f>IF(CCUS_Projects_Database!$R715&lt;&gt;"",HYPERLINK(CCUS_Projects_Database!$R715,"Link 1"),"")</f>
        <v>Link 1</v>
      </c>
      <c r="Z715" s="50" t="str">
        <f>IF(CCUS_Projects_Database!$S715&lt;&gt;"",HYPERLINK(CCUS_Projects_Database!$S715,"Link 2"),"")</f>
        <v>Link 2</v>
      </c>
      <c r="AA715" s="50" t="str">
        <f>IF(CCUS_Projects_Database!$T715&lt;&gt;"",HYPERLINK(CCUS_Projects_Database!$T715,"Link 3"),"")</f>
        <v/>
      </c>
      <c r="AB715" s="50" t="str">
        <f>IF(CCUS_Projects_Database!$U715&lt;&gt;"",HYPERLINK(CCUS_Projects_Database!$U715,"Link 4"),"")</f>
        <v/>
      </c>
      <c r="AC715" s="50" t="str">
        <f>IF(CCUS_Projects_Database!$V715&lt;&gt;"",HYPERLINK(CCUS_Projects_Database!$V715,"Link 5"),"")</f>
        <v/>
      </c>
      <c r="AD715" s="50" t="str">
        <f>IF(CCUS_Projects_Database!$W715&lt;&gt;"",HYPERLINK(CCUS_Projects_Database!$W715,"Link 6"),"")</f>
        <v/>
      </c>
      <c r="AE715" s="50" t="str">
        <f>IF(CCUS_Projects_Database!$X715&lt;&gt;"",HYPERLINK(CCUS_Projects_Database!$X715,"Link 7"),"")</f>
        <v/>
      </c>
    </row>
    <row r="716" ht="15.75" customHeight="1">
      <c r="A716" s="37" t="s">
        <v>2611</v>
      </c>
      <c r="B716" s="38">
        <v>524.0</v>
      </c>
      <c r="C716" s="38" t="s">
        <v>181</v>
      </c>
      <c r="D716" s="39" t="s">
        <v>2612</v>
      </c>
      <c r="E716" s="38" t="s">
        <v>12</v>
      </c>
      <c r="F716" s="38">
        <v>2022.0</v>
      </c>
      <c r="G716" s="38" t="s">
        <v>124</v>
      </c>
      <c r="H716" s="38" t="s">
        <v>124</v>
      </c>
      <c r="I716" s="38" t="s">
        <v>124</v>
      </c>
      <c r="J716" s="38" t="s">
        <v>28</v>
      </c>
      <c r="K716" s="40" t="s">
        <v>124</v>
      </c>
      <c r="L716" s="40"/>
      <c r="M716" s="40" t="s">
        <v>124</v>
      </c>
      <c r="N716" s="38" t="s">
        <v>12</v>
      </c>
      <c r="O716" s="41" t="s">
        <v>71</v>
      </c>
      <c r="P716" s="42" t="s">
        <v>2611</v>
      </c>
      <c r="Q716" s="38" t="s">
        <v>184</v>
      </c>
      <c r="R716" s="42" t="s">
        <v>2613</v>
      </c>
      <c r="S716" s="42" t="s">
        <v>124</v>
      </c>
      <c r="T716" s="42" t="s">
        <v>124</v>
      </c>
      <c r="U716" s="42" t="s">
        <v>124</v>
      </c>
      <c r="V716" s="42" t="s">
        <v>124</v>
      </c>
      <c r="W716" s="42" t="s">
        <v>124</v>
      </c>
      <c r="X716" s="42" t="s">
        <v>124</v>
      </c>
      <c r="Y716" s="43" t="str">
        <f>IF(CCUS_Projects_Database!$R716&lt;&gt;"",HYPERLINK(CCUS_Projects_Database!$R716,"Link 1"),"")</f>
        <v>Link 1</v>
      </c>
      <c r="Z716" s="43" t="str">
        <f>IF(CCUS_Projects_Database!$S716&lt;&gt;"",HYPERLINK(CCUS_Projects_Database!$S716,"Link 2"),"")</f>
        <v/>
      </c>
      <c r="AA716" s="43" t="str">
        <f>IF(CCUS_Projects_Database!$T716&lt;&gt;"",HYPERLINK(CCUS_Projects_Database!$T716,"Link 3"),"")</f>
        <v/>
      </c>
      <c r="AB716" s="43" t="str">
        <f>IF(CCUS_Projects_Database!$U716&lt;&gt;"",HYPERLINK(CCUS_Projects_Database!$U716,"Link 4"),"")</f>
        <v/>
      </c>
      <c r="AC716" s="43" t="str">
        <f>IF(CCUS_Projects_Database!$V716&lt;&gt;"",HYPERLINK(CCUS_Projects_Database!$V716,"Link 5"),"")</f>
        <v/>
      </c>
      <c r="AD716" s="43" t="str">
        <f>IF(CCUS_Projects_Database!$W716&lt;&gt;"",HYPERLINK(CCUS_Projects_Database!$W716,"Link 6"),"")</f>
        <v/>
      </c>
      <c r="AE716" s="43" t="str">
        <f>IF(CCUS_Projects_Database!$X716&lt;&gt;"",HYPERLINK(CCUS_Projects_Database!$X716,"Link 7"),"")</f>
        <v/>
      </c>
    </row>
    <row r="717" ht="15.75" customHeight="1">
      <c r="A717" s="44" t="s">
        <v>2614</v>
      </c>
      <c r="B717" s="45">
        <v>523.0</v>
      </c>
      <c r="C717" s="45" t="s">
        <v>181</v>
      </c>
      <c r="D717" s="46" t="s">
        <v>2615</v>
      </c>
      <c r="E717" s="45" t="s">
        <v>12</v>
      </c>
      <c r="F717" s="45">
        <v>2022.0</v>
      </c>
      <c r="G717" s="45">
        <v>2025.0</v>
      </c>
      <c r="H717" s="45">
        <v>2028.0</v>
      </c>
      <c r="I717" s="45" t="s">
        <v>124</v>
      </c>
      <c r="J717" s="45" t="s">
        <v>28</v>
      </c>
      <c r="K717" s="47" t="s">
        <v>124</v>
      </c>
      <c r="L717" s="52">
        <v>4.5</v>
      </c>
      <c r="M717" s="47">
        <v>5.0</v>
      </c>
      <c r="N717" s="45" t="s">
        <v>12</v>
      </c>
      <c r="O717" s="48" t="s">
        <v>71</v>
      </c>
      <c r="P717" s="49" t="s">
        <v>2614</v>
      </c>
      <c r="Q717" s="45" t="s">
        <v>184</v>
      </c>
      <c r="R717" s="49" t="s">
        <v>2613</v>
      </c>
      <c r="S717" s="49" t="s">
        <v>2616</v>
      </c>
      <c r="T717" s="49" t="s">
        <v>124</v>
      </c>
      <c r="U717" s="49" t="s">
        <v>124</v>
      </c>
      <c r="V717" s="49" t="s">
        <v>124</v>
      </c>
      <c r="W717" s="49" t="s">
        <v>124</v>
      </c>
      <c r="X717" s="49" t="s">
        <v>124</v>
      </c>
      <c r="Y717" s="50" t="str">
        <f>IF(CCUS_Projects_Database!$R717&lt;&gt;"",HYPERLINK(CCUS_Projects_Database!$R717,"Link 1"),"")</f>
        <v>Link 1</v>
      </c>
      <c r="Z717" s="50" t="str">
        <f>IF(CCUS_Projects_Database!$S717&lt;&gt;"",HYPERLINK(CCUS_Projects_Database!$S717,"Link 2"),"")</f>
        <v>Link 2</v>
      </c>
      <c r="AA717" s="50" t="str">
        <f>IF(CCUS_Projects_Database!$T717&lt;&gt;"",HYPERLINK(CCUS_Projects_Database!$T717,"Link 3"),"")</f>
        <v/>
      </c>
      <c r="AB717" s="50" t="str">
        <f>IF(CCUS_Projects_Database!$U717&lt;&gt;"",HYPERLINK(CCUS_Projects_Database!$U717,"Link 4"),"")</f>
        <v/>
      </c>
      <c r="AC717" s="50" t="str">
        <f>IF(CCUS_Projects_Database!$V717&lt;&gt;"",HYPERLINK(CCUS_Projects_Database!$V717,"Link 5"),"")</f>
        <v/>
      </c>
      <c r="AD717" s="50" t="str">
        <f>IF(CCUS_Projects_Database!$W717&lt;&gt;"",HYPERLINK(CCUS_Projects_Database!$W717,"Link 6"),"")</f>
        <v/>
      </c>
      <c r="AE717" s="50" t="str">
        <f>IF(CCUS_Projects_Database!$X717&lt;&gt;"",HYPERLINK(CCUS_Projects_Database!$X717,"Link 7"),"")</f>
        <v/>
      </c>
    </row>
    <row r="718" ht="15.75" customHeight="1">
      <c r="A718" s="37" t="s">
        <v>2617</v>
      </c>
      <c r="B718" s="38">
        <v>1108.0</v>
      </c>
      <c r="C718" s="38" t="s">
        <v>157</v>
      </c>
      <c r="D718" s="39" t="s">
        <v>2618</v>
      </c>
      <c r="E718" s="38" t="s">
        <v>8</v>
      </c>
      <c r="F718" s="38">
        <v>2021.0</v>
      </c>
      <c r="G718" s="38" t="s">
        <v>124</v>
      </c>
      <c r="H718" s="38" t="s">
        <v>124</v>
      </c>
      <c r="I718" s="38" t="s">
        <v>124</v>
      </c>
      <c r="J718" s="38" t="s">
        <v>28</v>
      </c>
      <c r="K718" s="40" t="s">
        <v>124</v>
      </c>
      <c r="L718" s="40"/>
      <c r="M718" s="40" t="s">
        <v>124</v>
      </c>
      <c r="N718" s="38" t="s">
        <v>46</v>
      </c>
      <c r="O718" s="41" t="s">
        <v>71</v>
      </c>
      <c r="P718" s="42" t="s">
        <v>281</v>
      </c>
      <c r="Q718" s="38" t="s">
        <v>125</v>
      </c>
      <c r="R718" s="42" t="s">
        <v>124</v>
      </c>
      <c r="S718" s="42" t="s">
        <v>124</v>
      </c>
      <c r="T718" s="42" t="s">
        <v>124</v>
      </c>
      <c r="U718" s="42" t="s">
        <v>124</v>
      </c>
      <c r="V718" s="42" t="s">
        <v>124</v>
      </c>
      <c r="W718" s="42" t="s">
        <v>124</v>
      </c>
      <c r="X718" s="42" t="s">
        <v>124</v>
      </c>
      <c r="Y718" s="43" t="str">
        <f>IF(CCUS_Projects_Database!$R718&lt;&gt;"",HYPERLINK(CCUS_Projects_Database!$R718,"Link 1"),"")</f>
        <v/>
      </c>
      <c r="Z718" s="43" t="str">
        <f>IF(CCUS_Projects_Database!$S718&lt;&gt;"",HYPERLINK(CCUS_Projects_Database!$S718,"Link 2"),"")</f>
        <v/>
      </c>
      <c r="AA718" s="43" t="str">
        <f>IF(CCUS_Projects_Database!$T718&lt;&gt;"",HYPERLINK(CCUS_Projects_Database!$T718,"Link 3"),"")</f>
        <v/>
      </c>
      <c r="AB718" s="43" t="str">
        <f>IF(CCUS_Projects_Database!$U718&lt;&gt;"",HYPERLINK(CCUS_Projects_Database!$U718,"Link 4"),"")</f>
        <v/>
      </c>
      <c r="AC718" s="43" t="str">
        <f>IF(CCUS_Projects_Database!$V718&lt;&gt;"",HYPERLINK(CCUS_Projects_Database!$V718,"Link 5"),"")</f>
        <v/>
      </c>
      <c r="AD718" s="43" t="str">
        <f>IF(CCUS_Projects_Database!$W718&lt;&gt;"",HYPERLINK(CCUS_Projects_Database!$W718,"Link 6"),"")</f>
        <v/>
      </c>
      <c r="AE718" s="43" t="str">
        <f>IF(CCUS_Projects_Database!$X718&lt;&gt;"",HYPERLINK(CCUS_Projects_Database!$X718,"Link 7"),"")</f>
        <v/>
      </c>
    </row>
    <row r="719" ht="15.75" customHeight="1">
      <c r="A719" s="44" t="s">
        <v>2619</v>
      </c>
      <c r="B719" s="45">
        <v>1067.0</v>
      </c>
      <c r="C719" s="45" t="s">
        <v>141</v>
      </c>
      <c r="D719" s="46" t="s">
        <v>2620</v>
      </c>
      <c r="E719" s="45" t="s">
        <v>8</v>
      </c>
      <c r="F719" s="45">
        <v>2023.0</v>
      </c>
      <c r="G719" s="45" t="s">
        <v>124</v>
      </c>
      <c r="H719" s="45" t="s">
        <v>124</v>
      </c>
      <c r="I719" s="45" t="s">
        <v>124</v>
      </c>
      <c r="J719" s="45" t="s">
        <v>28</v>
      </c>
      <c r="K719" s="47">
        <v>1.0</v>
      </c>
      <c r="L719" s="52">
        <v>0.05</v>
      </c>
      <c r="M719" s="47">
        <v>0.05</v>
      </c>
      <c r="N719" s="45" t="s">
        <v>64</v>
      </c>
      <c r="O719" s="48" t="s">
        <v>77</v>
      </c>
      <c r="P719" s="49" t="s">
        <v>124</v>
      </c>
      <c r="Q719" s="45" t="s">
        <v>143</v>
      </c>
      <c r="R719" s="49" t="s">
        <v>2621</v>
      </c>
      <c r="S719" s="49" t="s">
        <v>2622</v>
      </c>
      <c r="T719" s="49" t="s">
        <v>124</v>
      </c>
      <c r="U719" s="49" t="s">
        <v>124</v>
      </c>
      <c r="V719" s="49" t="s">
        <v>124</v>
      </c>
      <c r="W719" s="49" t="s">
        <v>124</v>
      </c>
      <c r="X719" s="49" t="s">
        <v>124</v>
      </c>
      <c r="Y719" s="50" t="str">
        <f>IF(CCUS_Projects_Database!$R719&lt;&gt;"",HYPERLINK(CCUS_Projects_Database!$R719,"Link 1"),"")</f>
        <v>Link 1</v>
      </c>
      <c r="Z719" s="50" t="str">
        <f>IF(CCUS_Projects_Database!$S719&lt;&gt;"",HYPERLINK(CCUS_Projects_Database!$S719,"Link 2"),"")</f>
        <v>Link 2</v>
      </c>
      <c r="AA719" s="50" t="str">
        <f>IF(CCUS_Projects_Database!$T719&lt;&gt;"",HYPERLINK(CCUS_Projects_Database!$T719,"Link 3"),"")</f>
        <v/>
      </c>
      <c r="AB719" s="50" t="str">
        <f>IF(CCUS_Projects_Database!$U719&lt;&gt;"",HYPERLINK(CCUS_Projects_Database!$U719,"Link 4"),"")</f>
        <v/>
      </c>
      <c r="AC719" s="50" t="str">
        <f>IF(CCUS_Projects_Database!$V719&lt;&gt;"",HYPERLINK(CCUS_Projects_Database!$V719,"Link 5"),"")</f>
        <v/>
      </c>
      <c r="AD719" s="50" t="str">
        <f>IF(CCUS_Projects_Database!$W719&lt;&gt;"",HYPERLINK(CCUS_Projects_Database!$W719,"Link 6"),"")</f>
        <v/>
      </c>
      <c r="AE719" s="50" t="str">
        <f>IF(CCUS_Projects_Database!$X719&lt;&gt;"",HYPERLINK(CCUS_Projects_Database!$X719,"Link 7"),"")</f>
        <v/>
      </c>
    </row>
    <row r="720" ht="15.75" customHeight="1">
      <c r="A720" s="37" t="s">
        <v>2623</v>
      </c>
      <c r="B720" s="38">
        <v>1068.0</v>
      </c>
      <c r="C720" s="38" t="s">
        <v>141</v>
      </c>
      <c r="D720" s="39" t="s">
        <v>2620</v>
      </c>
      <c r="E720" s="38" t="s">
        <v>8</v>
      </c>
      <c r="F720" s="38">
        <v>2023.0</v>
      </c>
      <c r="G720" s="38" t="s">
        <v>124</v>
      </c>
      <c r="H720" s="38" t="s">
        <v>124</v>
      </c>
      <c r="I720" s="38" t="s">
        <v>124</v>
      </c>
      <c r="J720" s="38" t="s">
        <v>28</v>
      </c>
      <c r="K720" s="40">
        <v>2.0</v>
      </c>
      <c r="L720" s="51">
        <v>0.45</v>
      </c>
      <c r="M720" s="40">
        <v>0.45</v>
      </c>
      <c r="N720" s="38" t="s">
        <v>64</v>
      </c>
      <c r="O720" s="41" t="s">
        <v>77</v>
      </c>
      <c r="P720" s="42" t="s">
        <v>124</v>
      </c>
      <c r="Q720" s="38" t="s">
        <v>143</v>
      </c>
      <c r="R720" s="42" t="s">
        <v>2621</v>
      </c>
      <c r="S720" s="42" t="s">
        <v>2622</v>
      </c>
      <c r="T720" s="42" t="s">
        <v>124</v>
      </c>
      <c r="U720" s="42" t="s">
        <v>124</v>
      </c>
      <c r="V720" s="42" t="s">
        <v>124</v>
      </c>
      <c r="W720" s="42" t="s">
        <v>124</v>
      </c>
      <c r="X720" s="42" t="s">
        <v>124</v>
      </c>
      <c r="Y720" s="43" t="str">
        <f>IF(CCUS_Projects_Database!$R720&lt;&gt;"",HYPERLINK(CCUS_Projects_Database!$R720,"Link 1"),"")</f>
        <v>Link 1</v>
      </c>
      <c r="Z720" s="43" t="str">
        <f>IF(CCUS_Projects_Database!$S720&lt;&gt;"",HYPERLINK(CCUS_Projects_Database!$S720,"Link 2"),"")</f>
        <v>Link 2</v>
      </c>
      <c r="AA720" s="43" t="str">
        <f>IF(CCUS_Projects_Database!$T720&lt;&gt;"",HYPERLINK(CCUS_Projects_Database!$T720,"Link 3"),"")</f>
        <v/>
      </c>
      <c r="AB720" s="43" t="str">
        <f>IF(CCUS_Projects_Database!$U720&lt;&gt;"",HYPERLINK(CCUS_Projects_Database!$U720,"Link 4"),"")</f>
        <v/>
      </c>
      <c r="AC720" s="43" t="str">
        <f>IF(CCUS_Projects_Database!$V720&lt;&gt;"",HYPERLINK(CCUS_Projects_Database!$V720,"Link 5"),"")</f>
        <v/>
      </c>
      <c r="AD720" s="43" t="str">
        <f>IF(CCUS_Projects_Database!$W720&lt;&gt;"",HYPERLINK(CCUS_Projects_Database!$W720,"Link 6"),"")</f>
        <v/>
      </c>
      <c r="AE720" s="43" t="str">
        <f>IF(CCUS_Projects_Database!$X720&lt;&gt;"",HYPERLINK(CCUS_Projects_Database!$X720,"Link 7"),"")</f>
        <v/>
      </c>
    </row>
    <row r="721" ht="15.75" customHeight="1">
      <c r="A721" s="44" t="s">
        <v>2624</v>
      </c>
      <c r="B721" s="45">
        <v>1014.0</v>
      </c>
      <c r="C721" s="45" t="s">
        <v>1169</v>
      </c>
      <c r="D721" s="46" t="s">
        <v>2625</v>
      </c>
      <c r="E721" s="45" t="s">
        <v>10</v>
      </c>
      <c r="F721" s="45">
        <v>2023.0</v>
      </c>
      <c r="G721" s="45" t="s">
        <v>124</v>
      </c>
      <c r="H721" s="45" t="s">
        <v>124</v>
      </c>
      <c r="I721" s="45" t="s">
        <v>124</v>
      </c>
      <c r="J721" s="45" t="s">
        <v>28</v>
      </c>
      <c r="K721" s="47" t="s">
        <v>124</v>
      </c>
      <c r="L721" s="47"/>
      <c r="M721" s="47" t="s">
        <v>124</v>
      </c>
      <c r="N721" s="45" t="s">
        <v>10</v>
      </c>
      <c r="O721" s="48" t="s">
        <v>71</v>
      </c>
      <c r="P721" s="49" t="s">
        <v>124</v>
      </c>
      <c r="Q721" s="45" t="s">
        <v>2215</v>
      </c>
      <c r="R721" s="49" t="s">
        <v>2626</v>
      </c>
      <c r="S721" s="49" t="s">
        <v>124</v>
      </c>
      <c r="T721" s="49" t="s">
        <v>124</v>
      </c>
      <c r="U721" s="49" t="s">
        <v>124</v>
      </c>
      <c r="V721" s="49" t="s">
        <v>124</v>
      </c>
      <c r="W721" s="49" t="s">
        <v>124</v>
      </c>
      <c r="X721" s="49" t="s">
        <v>124</v>
      </c>
      <c r="Y721" s="50" t="str">
        <f>IF(CCUS_Projects_Database!$R721&lt;&gt;"",HYPERLINK(CCUS_Projects_Database!$R721,"Link 1"),"")</f>
        <v>Link 1</v>
      </c>
      <c r="Z721" s="50" t="str">
        <f>IF(CCUS_Projects_Database!$S721&lt;&gt;"",HYPERLINK(CCUS_Projects_Database!$S721,"Link 2"),"")</f>
        <v/>
      </c>
      <c r="AA721" s="50" t="str">
        <f>IF(CCUS_Projects_Database!$T721&lt;&gt;"",HYPERLINK(CCUS_Projects_Database!$T721,"Link 3"),"")</f>
        <v/>
      </c>
      <c r="AB721" s="50" t="str">
        <f>IF(CCUS_Projects_Database!$U721&lt;&gt;"",HYPERLINK(CCUS_Projects_Database!$U721,"Link 4"),"")</f>
        <v/>
      </c>
      <c r="AC721" s="50" t="str">
        <f>IF(CCUS_Projects_Database!$V721&lt;&gt;"",HYPERLINK(CCUS_Projects_Database!$V721,"Link 5"),"")</f>
        <v/>
      </c>
      <c r="AD721" s="50" t="str">
        <f>IF(CCUS_Projects_Database!$W721&lt;&gt;"",HYPERLINK(CCUS_Projects_Database!$W721,"Link 6"),"")</f>
        <v/>
      </c>
      <c r="AE721" s="50" t="str">
        <f>IF(CCUS_Projects_Database!$X721&lt;&gt;"",HYPERLINK(CCUS_Projects_Database!$X721,"Link 7"),"")</f>
        <v/>
      </c>
    </row>
    <row r="722" ht="15.75" customHeight="1">
      <c r="A722" s="37" t="s">
        <v>2627</v>
      </c>
      <c r="B722" s="38">
        <v>6.0</v>
      </c>
      <c r="C722" s="38" t="s">
        <v>196</v>
      </c>
      <c r="D722" s="39" t="s">
        <v>197</v>
      </c>
      <c r="E722" s="38" t="s">
        <v>6</v>
      </c>
      <c r="F722" s="38">
        <v>2020.0</v>
      </c>
      <c r="G722" s="38" t="s">
        <v>124</v>
      </c>
      <c r="H722" s="38">
        <v>2030.0</v>
      </c>
      <c r="I722" s="38" t="s">
        <v>124</v>
      </c>
      <c r="J722" s="38" t="s">
        <v>28</v>
      </c>
      <c r="K722" s="40" t="s">
        <v>124</v>
      </c>
      <c r="L722" s="51">
        <v>2.3</v>
      </c>
      <c r="M722" s="40">
        <v>2.3</v>
      </c>
      <c r="N722" s="38" t="s">
        <v>48</v>
      </c>
      <c r="O722" s="41" t="s">
        <v>73</v>
      </c>
      <c r="P722" s="42" t="s">
        <v>124</v>
      </c>
      <c r="Q722" s="38" t="s">
        <v>137</v>
      </c>
      <c r="R722" s="42" t="s">
        <v>1519</v>
      </c>
      <c r="S722" s="42" t="s">
        <v>124</v>
      </c>
      <c r="T722" s="42" t="s">
        <v>124</v>
      </c>
      <c r="U722" s="42" t="s">
        <v>124</v>
      </c>
      <c r="V722" s="42" t="s">
        <v>124</v>
      </c>
      <c r="W722" s="42" t="s">
        <v>124</v>
      </c>
      <c r="X722" s="42" t="s">
        <v>124</v>
      </c>
      <c r="Y722" s="43" t="str">
        <f>IF(CCUS_Projects_Database!$R722&lt;&gt;"",HYPERLINK(CCUS_Projects_Database!$R722,"Link 1"),"")</f>
        <v>Link 1</v>
      </c>
      <c r="Z722" s="43" t="str">
        <f>IF(CCUS_Projects_Database!$S722&lt;&gt;"",HYPERLINK(CCUS_Projects_Database!$S722,"Link 2"),"")</f>
        <v/>
      </c>
      <c r="AA722" s="43" t="str">
        <f>IF(CCUS_Projects_Database!$T722&lt;&gt;"",HYPERLINK(CCUS_Projects_Database!$T722,"Link 3"),"")</f>
        <v/>
      </c>
      <c r="AB722" s="43" t="str">
        <f>IF(CCUS_Projects_Database!$U722&lt;&gt;"",HYPERLINK(CCUS_Projects_Database!$U722,"Link 4"),"")</f>
        <v/>
      </c>
      <c r="AC722" s="43" t="str">
        <f>IF(CCUS_Projects_Database!$V722&lt;&gt;"",HYPERLINK(CCUS_Projects_Database!$V722,"Link 5"),"")</f>
        <v/>
      </c>
      <c r="AD722" s="43" t="str">
        <f>IF(CCUS_Projects_Database!$W722&lt;&gt;"",HYPERLINK(CCUS_Projects_Database!$W722,"Link 6"),"")</f>
        <v/>
      </c>
      <c r="AE722" s="43" t="str">
        <f>IF(CCUS_Projects_Database!$X722&lt;&gt;"",HYPERLINK(CCUS_Projects_Database!$X722,"Link 7"),"")</f>
        <v/>
      </c>
    </row>
    <row r="723" ht="15.75" customHeight="1">
      <c r="A723" s="44" t="s">
        <v>2628</v>
      </c>
      <c r="B723" s="45">
        <v>1117.0</v>
      </c>
      <c r="C723" s="45" t="s">
        <v>239</v>
      </c>
      <c r="D723" s="46" t="s">
        <v>533</v>
      </c>
      <c r="E723" s="45" t="s">
        <v>8</v>
      </c>
      <c r="F723" s="45">
        <v>2018.0</v>
      </c>
      <c r="G723" s="45" t="s">
        <v>124</v>
      </c>
      <c r="H723" s="45" t="s">
        <v>124</v>
      </c>
      <c r="I723" s="45" t="s">
        <v>124</v>
      </c>
      <c r="J723" s="45" t="s">
        <v>28</v>
      </c>
      <c r="K723" s="47" t="s">
        <v>124</v>
      </c>
      <c r="L723" s="52">
        <v>2.0</v>
      </c>
      <c r="M723" s="47">
        <v>2.0</v>
      </c>
      <c r="N723" s="45" t="s">
        <v>46</v>
      </c>
      <c r="O723" s="48" t="s">
        <v>73</v>
      </c>
      <c r="P723" s="49" t="s">
        <v>124</v>
      </c>
      <c r="Q723" s="45" t="s">
        <v>143</v>
      </c>
      <c r="R723" s="49" t="s">
        <v>2629</v>
      </c>
      <c r="S723" s="49" t="s">
        <v>2630</v>
      </c>
      <c r="T723" s="49" t="s">
        <v>124</v>
      </c>
      <c r="U723" s="49" t="s">
        <v>124</v>
      </c>
      <c r="V723" s="49" t="s">
        <v>124</v>
      </c>
      <c r="W723" s="49" t="s">
        <v>124</v>
      </c>
      <c r="X723" s="49" t="s">
        <v>124</v>
      </c>
      <c r="Y723" s="50" t="str">
        <f>IF(CCUS_Projects_Database!$R723&lt;&gt;"",HYPERLINK(CCUS_Projects_Database!$R723,"Link 1"),"")</f>
        <v>Link 1</v>
      </c>
      <c r="Z723" s="50" t="str">
        <f>IF(CCUS_Projects_Database!$S723&lt;&gt;"",HYPERLINK(CCUS_Projects_Database!$S723,"Link 2"),"")</f>
        <v>Link 2</v>
      </c>
      <c r="AA723" s="50" t="str">
        <f>IF(CCUS_Projects_Database!$T723&lt;&gt;"",HYPERLINK(CCUS_Projects_Database!$T723,"Link 3"),"")</f>
        <v/>
      </c>
      <c r="AB723" s="50" t="str">
        <f>IF(CCUS_Projects_Database!$U723&lt;&gt;"",HYPERLINK(CCUS_Projects_Database!$U723,"Link 4"),"")</f>
        <v/>
      </c>
      <c r="AC723" s="50" t="str">
        <f>IF(CCUS_Projects_Database!$V723&lt;&gt;"",HYPERLINK(CCUS_Projects_Database!$V723,"Link 5"),"")</f>
        <v/>
      </c>
      <c r="AD723" s="50" t="str">
        <f>IF(CCUS_Projects_Database!$W723&lt;&gt;"",HYPERLINK(CCUS_Projects_Database!$W723,"Link 6"),"")</f>
        <v/>
      </c>
      <c r="AE723" s="50" t="str">
        <f>IF(CCUS_Projects_Database!$X723&lt;&gt;"",HYPERLINK(CCUS_Projects_Database!$X723,"Link 7"),"")</f>
        <v/>
      </c>
    </row>
    <row r="724" ht="15.75" customHeight="1">
      <c r="A724" s="37" t="s">
        <v>2631</v>
      </c>
      <c r="B724" s="38">
        <v>906.0</v>
      </c>
      <c r="C724" s="38" t="s">
        <v>196</v>
      </c>
      <c r="D724" s="39" t="s">
        <v>2632</v>
      </c>
      <c r="E724" s="38" t="s">
        <v>14</v>
      </c>
      <c r="F724" s="38">
        <v>2023.0</v>
      </c>
      <c r="G724" s="38" t="s">
        <v>124</v>
      </c>
      <c r="H724" s="38" t="s">
        <v>124</v>
      </c>
      <c r="I724" s="38" t="s">
        <v>124</v>
      </c>
      <c r="J724" s="38" t="s">
        <v>28</v>
      </c>
      <c r="K724" s="40" t="s">
        <v>124</v>
      </c>
      <c r="L724" s="40"/>
      <c r="M724" s="40" t="s">
        <v>124</v>
      </c>
      <c r="N724" s="38" t="s">
        <v>14</v>
      </c>
      <c r="O724" s="41" t="s">
        <v>71</v>
      </c>
      <c r="P724" s="42" t="s">
        <v>2631</v>
      </c>
      <c r="Q724" s="38" t="s">
        <v>137</v>
      </c>
      <c r="R724" s="42" t="s">
        <v>2633</v>
      </c>
      <c r="S724" s="42" t="s">
        <v>124</v>
      </c>
      <c r="T724" s="42" t="s">
        <v>124</v>
      </c>
      <c r="U724" s="42" t="s">
        <v>124</v>
      </c>
      <c r="V724" s="42" t="s">
        <v>124</v>
      </c>
      <c r="W724" s="42" t="s">
        <v>124</v>
      </c>
      <c r="X724" s="42" t="s">
        <v>124</v>
      </c>
      <c r="Y724" s="43" t="str">
        <f>IF(CCUS_Projects_Database!$R724&lt;&gt;"",HYPERLINK(CCUS_Projects_Database!$R724,"Link 1"),"")</f>
        <v>Link 1</v>
      </c>
      <c r="Z724" s="43" t="str">
        <f>IF(CCUS_Projects_Database!$S724&lt;&gt;"",HYPERLINK(CCUS_Projects_Database!$S724,"Link 2"),"")</f>
        <v/>
      </c>
      <c r="AA724" s="43" t="str">
        <f>IF(CCUS_Projects_Database!$T724&lt;&gt;"",HYPERLINK(CCUS_Projects_Database!$T724,"Link 3"),"")</f>
        <v/>
      </c>
      <c r="AB724" s="43" t="str">
        <f>IF(CCUS_Projects_Database!$U724&lt;&gt;"",HYPERLINK(CCUS_Projects_Database!$U724,"Link 4"),"")</f>
        <v/>
      </c>
      <c r="AC724" s="43" t="str">
        <f>IF(CCUS_Projects_Database!$V724&lt;&gt;"",HYPERLINK(CCUS_Projects_Database!$V724,"Link 5"),"")</f>
        <v/>
      </c>
      <c r="AD724" s="43" t="str">
        <f>IF(CCUS_Projects_Database!$W724&lt;&gt;"",HYPERLINK(CCUS_Projects_Database!$W724,"Link 6"),"")</f>
        <v/>
      </c>
      <c r="AE724" s="43" t="str">
        <f>IF(CCUS_Projects_Database!$X724&lt;&gt;"",HYPERLINK(CCUS_Projects_Database!$X724,"Link 7"),"")</f>
        <v/>
      </c>
    </row>
    <row r="725" ht="15.75" customHeight="1">
      <c r="A725" s="44" t="s">
        <v>2634</v>
      </c>
      <c r="B725" s="45">
        <v>702.0</v>
      </c>
      <c r="C725" s="45" t="s">
        <v>141</v>
      </c>
      <c r="D725" s="46" t="s">
        <v>2635</v>
      </c>
      <c r="E725" s="45" t="s">
        <v>8</v>
      </c>
      <c r="F725" s="45">
        <v>2021.0</v>
      </c>
      <c r="G725" s="45" t="s">
        <v>124</v>
      </c>
      <c r="H725" s="45" t="s">
        <v>124</v>
      </c>
      <c r="I725" s="45" t="s">
        <v>124</v>
      </c>
      <c r="J725" s="45" t="s">
        <v>28</v>
      </c>
      <c r="K725" s="47" t="s">
        <v>124</v>
      </c>
      <c r="L725" s="47"/>
      <c r="M725" s="47" t="s">
        <v>124</v>
      </c>
      <c r="N725" s="45" t="s">
        <v>60</v>
      </c>
      <c r="O725" s="48" t="s">
        <v>77</v>
      </c>
      <c r="P725" s="49" t="s">
        <v>124</v>
      </c>
      <c r="Q725" s="45" t="s">
        <v>143</v>
      </c>
      <c r="R725" s="49" t="s">
        <v>563</v>
      </c>
      <c r="S725" s="49" t="s">
        <v>124</v>
      </c>
      <c r="T725" s="49" t="s">
        <v>124</v>
      </c>
      <c r="U725" s="49" t="s">
        <v>124</v>
      </c>
      <c r="V725" s="49" t="s">
        <v>124</v>
      </c>
      <c r="W725" s="49" t="s">
        <v>124</v>
      </c>
      <c r="X725" s="49" t="s">
        <v>124</v>
      </c>
      <c r="Y725" s="50" t="str">
        <f>IF(CCUS_Projects_Database!$R725&lt;&gt;"",HYPERLINK(CCUS_Projects_Database!$R725,"Link 1"),"")</f>
        <v>Link 1</v>
      </c>
      <c r="Z725" s="50" t="str">
        <f>IF(CCUS_Projects_Database!$S725&lt;&gt;"",HYPERLINK(CCUS_Projects_Database!$S725,"Link 2"),"")</f>
        <v/>
      </c>
      <c r="AA725" s="50" t="str">
        <f>IF(CCUS_Projects_Database!$T725&lt;&gt;"",HYPERLINK(CCUS_Projects_Database!$T725,"Link 3"),"")</f>
        <v/>
      </c>
      <c r="AB725" s="50" t="str">
        <f>IF(CCUS_Projects_Database!$U725&lt;&gt;"",HYPERLINK(CCUS_Projects_Database!$U725,"Link 4"),"")</f>
        <v/>
      </c>
      <c r="AC725" s="50" t="str">
        <f>IF(CCUS_Projects_Database!$V725&lt;&gt;"",HYPERLINK(CCUS_Projects_Database!$V725,"Link 5"),"")</f>
        <v/>
      </c>
      <c r="AD725" s="50" t="str">
        <f>IF(CCUS_Projects_Database!$W725&lt;&gt;"",HYPERLINK(CCUS_Projects_Database!$W725,"Link 6"),"")</f>
        <v/>
      </c>
      <c r="AE725" s="50" t="str">
        <f>IF(CCUS_Projects_Database!$X725&lt;&gt;"",HYPERLINK(CCUS_Projects_Database!$X725,"Link 7"),"")</f>
        <v/>
      </c>
    </row>
    <row r="726" ht="15.75" customHeight="1">
      <c r="A726" s="37" t="s">
        <v>2636</v>
      </c>
      <c r="B726" s="38">
        <v>364.0</v>
      </c>
      <c r="C726" s="38" t="s">
        <v>204</v>
      </c>
      <c r="D726" s="39" t="s">
        <v>2097</v>
      </c>
      <c r="E726" s="38" t="s">
        <v>8</v>
      </c>
      <c r="F726" s="38">
        <v>2021.0</v>
      </c>
      <c r="G726" s="38">
        <v>2021.0</v>
      </c>
      <c r="H726" s="38">
        <v>2026.0</v>
      </c>
      <c r="I726" s="38" t="s">
        <v>124</v>
      </c>
      <c r="J726" s="38" t="s">
        <v>30</v>
      </c>
      <c r="K726" s="40" t="s">
        <v>124</v>
      </c>
      <c r="L726" s="51">
        <v>0.38</v>
      </c>
      <c r="M726" s="40">
        <v>0.38</v>
      </c>
      <c r="N726" s="38" t="s">
        <v>50</v>
      </c>
      <c r="O726" s="41" t="s">
        <v>71</v>
      </c>
      <c r="P726" s="42" t="s">
        <v>218</v>
      </c>
      <c r="Q726" s="38" t="s">
        <v>125</v>
      </c>
      <c r="R726" s="42" t="s">
        <v>2637</v>
      </c>
      <c r="S726" s="42" t="s">
        <v>124</v>
      </c>
      <c r="T726" s="42" t="s">
        <v>124</v>
      </c>
      <c r="U726" s="42" t="s">
        <v>124</v>
      </c>
      <c r="V726" s="42" t="s">
        <v>124</v>
      </c>
      <c r="W726" s="42" t="s">
        <v>124</v>
      </c>
      <c r="X726" s="42" t="s">
        <v>124</v>
      </c>
      <c r="Y726" s="43" t="str">
        <f>IF(CCUS_Projects_Database!$R726&lt;&gt;"",HYPERLINK(CCUS_Projects_Database!$R726,"Link 1"),"")</f>
        <v>Link 1</v>
      </c>
      <c r="Z726" s="43" t="str">
        <f>IF(CCUS_Projects_Database!$S726&lt;&gt;"",HYPERLINK(CCUS_Projects_Database!$S726,"Link 2"),"")</f>
        <v/>
      </c>
      <c r="AA726" s="43" t="str">
        <f>IF(CCUS_Projects_Database!$T726&lt;&gt;"",HYPERLINK(CCUS_Projects_Database!$T726,"Link 3"),"")</f>
        <v/>
      </c>
      <c r="AB726" s="43" t="str">
        <f>IF(CCUS_Projects_Database!$U726&lt;&gt;"",HYPERLINK(CCUS_Projects_Database!$U726,"Link 4"),"")</f>
        <v/>
      </c>
      <c r="AC726" s="43" t="str">
        <f>IF(CCUS_Projects_Database!$V726&lt;&gt;"",HYPERLINK(CCUS_Projects_Database!$V726,"Link 5"),"")</f>
        <v/>
      </c>
      <c r="AD726" s="43" t="str">
        <f>IF(CCUS_Projects_Database!$W726&lt;&gt;"",HYPERLINK(CCUS_Projects_Database!$W726,"Link 6"),"")</f>
        <v/>
      </c>
      <c r="AE726" s="43" t="str">
        <f>IF(CCUS_Projects_Database!$X726&lt;&gt;"",HYPERLINK(CCUS_Projects_Database!$X726,"Link 7"),"")</f>
        <v/>
      </c>
    </row>
    <row r="727" ht="15.75" customHeight="1">
      <c r="A727" s="44" t="s">
        <v>2638</v>
      </c>
      <c r="B727" s="45">
        <v>365.0</v>
      </c>
      <c r="C727" s="45" t="s">
        <v>204</v>
      </c>
      <c r="D727" s="46" t="s">
        <v>2097</v>
      </c>
      <c r="E727" s="45" t="s">
        <v>8</v>
      </c>
      <c r="F727" s="45">
        <v>2021.0</v>
      </c>
      <c r="G727" s="45" t="s">
        <v>124</v>
      </c>
      <c r="H727" s="45">
        <v>2026.0</v>
      </c>
      <c r="I727" s="45" t="s">
        <v>124</v>
      </c>
      <c r="J727" s="45" t="s">
        <v>30</v>
      </c>
      <c r="K727" s="47" t="s">
        <v>124</v>
      </c>
      <c r="L727" s="52">
        <v>0.75</v>
      </c>
      <c r="M727" s="47">
        <v>0.75</v>
      </c>
      <c r="N727" s="45" t="s">
        <v>54</v>
      </c>
      <c r="O727" s="48" t="s">
        <v>71</v>
      </c>
      <c r="P727" s="49" t="s">
        <v>218</v>
      </c>
      <c r="Q727" s="45" t="s">
        <v>125</v>
      </c>
      <c r="R727" s="49" t="s">
        <v>2639</v>
      </c>
      <c r="S727" s="49" t="s">
        <v>124</v>
      </c>
      <c r="T727" s="49" t="s">
        <v>124</v>
      </c>
      <c r="U727" s="49" t="s">
        <v>124</v>
      </c>
      <c r="V727" s="49" t="s">
        <v>124</v>
      </c>
      <c r="W727" s="49" t="s">
        <v>124</v>
      </c>
      <c r="X727" s="49" t="s">
        <v>124</v>
      </c>
      <c r="Y727" s="50" t="str">
        <f>IF(CCUS_Projects_Database!$R727&lt;&gt;"",HYPERLINK(CCUS_Projects_Database!$R727,"Link 1"),"")</f>
        <v>Link 1</v>
      </c>
      <c r="Z727" s="50" t="str">
        <f>IF(CCUS_Projects_Database!$S727&lt;&gt;"",HYPERLINK(CCUS_Projects_Database!$S727,"Link 2"),"")</f>
        <v/>
      </c>
      <c r="AA727" s="50" t="str">
        <f>IF(CCUS_Projects_Database!$T727&lt;&gt;"",HYPERLINK(CCUS_Projects_Database!$T727,"Link 3"),"")</f>
        <v/>
      </c>
      <c r="AB727" s="50" t="str">
        <f>IF(CCUS_Projects_Database!$U727&lt;&gt;"",HYPERLINK(CCUS_Projects_Database!$U727,"Link 4"),"")</f>
        <v/>
      </c>
      <c r="AC727" s="50" t="str">
        <f>IF(CCUS_Projects_Database!$V727&lt;&gt;"",HYPERLINK(CCUS_Projects_Database!$V727,"Link 5"),"")</f>
        <v/>
      </c>
      <c r="AD727" s="50" t="str">
        <f>IF(CCUS_Projects_Database!$W727&lt;&gt;"",HYPERLINK(CCUS_Projects_Database!$W727,"Link 6"),"")</f>
        <v/>
      </c>
      <c r="AE727" s="50" t="str">
        <f>IF(CCUS_Projects_Database!$X727&lt;&gt;"",HYPERLINK(CCUS_Projects_Database!$X727,"Link 7"),"")</f>
        <v/>
      </c>
    </row>
    <row r="728" ht="15.75" customHeight="1">
      <c r="A728" s="37" t="s">
        <v>2640</v>
      </c>
      <c r="B728" s="38">
        <v>365.0</v>
      </c>
      <c r="C728" s="38" t="s">
        <v>204</v>
      </c>
      <c r="D728" s="39" t="s">
        <v>2097</v>
      </c>
      <c r="E728" s="38" t="s">
        <v>16</v>
      </c>
      <c r="F728" s="38"/>
      <c r="G728" s="38" t="s">
        <v>124</v>
      </c>
      <c r="H728" s="38">
        <v>1997.0</v>
      </c>
      <c r="I728" s="38">
        <v>2026.0</v>
      </c>
      <c r="J728" s="38" t="s">
        <v>32</v>
      </c>
      <c r="K728" s="40" t="s">
        <v>124</v>
      </c>
      <c r="L728" s="51">
        <v>0.75</v>
      </c>
      <c r="M728" s="40">
        <v>0.75</v>
      </c>
      <c r="N728" s="38" t="s">
        <v>54</v>
      </c>
      <c r="O728" s="41" t="s">
        <v>75</v>
      </c>
      <c r="P728" s="42" t="s">
        <v>124</v>
      </c>
      <c r="Q728" s="38" t="s">
        <v>125</v>
      </c>
      <c r="R728" s="42" t="s">
        <v>2639</v>
      </c>
      <c r="S728" s="42" t="s">
        <v>124</v>
      </c>
      <c r="T728" s="42" t="s">
        <v>124</v>
      </c>
      <c r="U728" s="42" t="s">
        <v>124</v>
      </c>
      <c r="V728" s="42" t="s">
        <v>124</v>
      </c>
      <c r="W728" s="42" t="s">
        <v>124</v>
      </c>
      <c r="X728" s="42" t="s">
        <v>124</v>
      </c>
      <c r="Y728" s="43" t="str">
        <f>IF(CCUS_Projects_Database!$R728&lt;&gt;"",HYPERLINK(CCUS_Projects_Database!$R728,"Link 1"),"")</f>
        <v>Link 1</v>
      </c>
      <c r="Z728" s="43" t="str">
        <f>IF(CCUS_Projects_Database!$S728&lt;&gt;"",HYPERLINK(CCUS_Projects_Database!$S728,"Link 2"),"")</f>
        <v/>
      </c>
      <c r="AA728" s="43" t="str">
        <f>IF(CCUS_Projects_Database!$T728&lt;&gt;"",HYPERLINK(CCUS_Projects_Database!$T728,"Link 3"),"")</f>
        <v/>
      </c>
      <c r="AB728" s="43" t="str">
        <f>IF(CCUS_Projects_Database!$U728&lt;&gt;"",HYPERLINK(CCUS_Projects_Database!$U728,"Link 4"),"")</f>
        <v/>
      </c>
      <c r="AC728" s="43" t="str">
        <f>IF(CCUS_Projects_Database!$V728&lt;&gt;"",HYPERLINK(CCUS_Projects_Database!$V728,"Link 5"),"")</f>
        <v/>
      </c>
      <c r="AD728" s="43" t="str">
        <f>IF(CCUS_Projects_Database!$W728&lt;&gt;"",HYPERLINK(CCUS_Projects_Database!$W728,"Link 6"),"")</f>
        <v/>
      </c>
      <c r="AE728" s="43" t="str">
        <f>IF(CCUS_Projects_Database!$X728&lt;&gt;"",HYPERLINK(CCUS_Projects_Database!$X728,"Link 7"),"")</f>
        <v/>
      </c>
    </row>
    <row r="729" ht="15.75" customHeight="1">
      <c r="A729" s="44" t="s">
        <v>2641</v>
      </c>
      <c r="B729" s="45">
        <v>366.0</v>
      </c>
      <c r="C729" s="45" t="s">
        <v>157</v>
      </c>
      <c r="D729" s="46" t="s">
        <v>2642</v>
      </c>
      <c r="E729" s="45" t="s">
        <v>8</v>
      </c>
      <c r="F729" s="45">
        <v>2022.0</v>
      </c>
      <c r="G729" s="45">
        <v>2024.0</v>
      </c>
      <c r="H729" s="45">
        <v>2027.0</v>
      </c>
      <c r="I729" s="45" t="s">
        <v>124</v>
      </c>
      <c r="J729" s="45" t="s">
        <v>28</v>
      </c>
      <c r="K729" s="47" t="s">
        <v>124</v>
      </c>
      <c r="L729" s="52">
        <v>1.6</v>
      </c>
      <c r="M729" s="47">
        <v>1.6</v>
      </c>
      <c r="N729" s="45" t="s">
        <v>136</v>
      </c>
      <c r="O729" s="48" t="s">
        <v>71</v>
      </c>
      <c r="P729" s="49" t="s">
        <v>281</v>
      </c>
      <c r="Q729" s="45" t="s">
        <v>125</v>
      </c>
      <c r="R729" s="49" t="s">
        <v>2643</v>
      </c>
      <c r="S729" s="49" t="s">
        <v>124</v>
      </c>
      <c r="T729" s="49" t="s">
        <v>124</v>
      </c>
      <c r="U729" s="49" t="s">
        <v>124</v>
      </c>
      <c r="V729" s="49" t="s">
        <v>124</v>
      </c>
      <c r="W729" s="49" t="s">
        <v>124</v>
      </c>
      <c r="X729" s="49" t="s">
        <v>124</v>
      </c>
      <c r="Y729" s="50" t="str">
        <f>IF(CCUS_Projects_Database!$R729&lt;&gt;"",HYPERLINK(CCUS_Projects_Database!$R729,"Link 1"),"")</f>
        <v>Link 1</v>
      </c>
      <c r="Z729" s="50" t="str">
        <f>IF(CCUS_Projects_Database!$S729&lt;&gt;"",HYPERLINK(CCUS_Projects_Database!$S729,"Link 2"),"")</f>
        <v/>
      </c>
      <c r="AA729" s="50" t="str">
        <f>IF(CCUS_Projects_Database!$T729&lt;&gt;"",HYPERLINK(CCUS_Projects_Database!$T729,"Link 3"),"")</f>
        <v/>
      </c>
      <c r="AB729" s="50" t="str">
        <f>IF(CCUS_Projects_Database!$U729&lt;&gt;"",HYPERLINK(CCUS_Projects_Database!$U729,"Link 4"),"")</f>
        <v/>
      </c>
      <c r="AC729" s="50" t="str">
        <f>IF(CCUS_Projects_Database!$V729&lt;&gt;"",HYPERLINK(CCUS_Projects_Database!$V729,"Link 5"),"")</f>
        <v/>
      </c>
      <c r="AD729" s="50" t="str">
        <f>IF(CCUS_Projects_Database!$W729&lt;&gt;"",HYPERLINK(CCUS_Projects_Database!$W729,"Link 6"),"")</f>
        <v/>
      </c>
      <c r="AE729" s="50" t="str">
        <f>IF(CCUS_Projects_Database!$X729&lt;&gt;"",HYPERLINK(CCUS_Projects_Database!$X729,"Link 7"),"")</f>
        <v/>
      </c>
    </row>
    <row r="730" ht="15.75" customHeight="1">
      <c r="A730" s="37" t="s">
        <v>2644</v>
      </c>
      <c r="B730" s="38">
        <v>611.0</v>
      </c>
      <c r="C730" s="38" t="s">
        <v>239</v>
      </c>
      <c r="D730" s="39" t="s">
        <v>2645</v>
      </c>
      <c r="E730" s="38" t="s">
        <v>8</v>
      </c>
      <c r="F730" s="38">
        <v>2022.0</v>
      </c>
      <c r="G730" s="38" t="s">
        <v>124</v>
      </c>
      <c r="H730" s="38" t="s">
        <v>124</v>
      </c>
      <c r="I730" s="38" t="s">
        <v>124</v>
      </c>
      <c r="J730" s="38" t="s">
        <v>28</v>
      </c>
      <c r="K730" s="40" t="s">
        <v>124</v>
      </c>
      <c r="L730" s="40"/>
      <c r="M730" s="40" t="s">
        <v>124</v>
      </c>
      <c r="N730" s="38" t="s">
        <v>46</v>
      </c>
      <c r="O730" s="41" t="s">
        <v>77</v>
      </c>
      <c r="P730" s="42" t="s">
        <v>124</v>
      </c>
      <c r="Q730" s="38" t="s">
        <v>143</v>
      </c>
      <c r="R730" s="42" t="s">
        <v>2646</v>
      </c>
      <c r="S730" s="42" t="s">
        <v>124</v>
      </c>
      <c r="T730" s="42" t="s">
        <v>124</v>
      </c>
      <c r="U730" s="42" t="s">
        <v>124</v>
      </c>
      <c r="V730" s="42" t="s">
        <v>124</v>
      </c>
      <c r="W730" s="42" t="s">
        <v>124</v>
      </c>
      <c r="X730" s="42" t="s">
        <v>124</v>
      </c>
      <c r="Y730" s="43" t="str">
        <f>IF(CCUS_Projects_Database!$R730&lt;&gt;"",HYPERLINK(CCUS_Projects_Database!$R730,"Link 1"),"")</f>
        <v>Link 1</v>
      </c>
      <c r="Z730" s="43" t="str">
        <f>IF(CCUS_Projects_Database!$S730&lt;&gt;"",HYPERLINK(CCUS_Projects_Database!$S730,"Link 2"),"")</f>
        <v/>
      </c>
      <c r="AA730" s="43" t="str">
        <f>IF(CCUS_Projects_Database!$T730&lt;&gt;"",HYPERLINK(CCUS_Projects_Database!$T730,"Link 3"),"")</f>
        <v/>
      </c>
      <c r="AB730" s="43" t="str">
        <f>IF(CCUS_Projects_Database!$U730&lt;&gt;"",HYPERLINK(CCUS_Projects_Database!$U730,"Link 4"),"")</f>
        <v/>
      </c>
      <c r="AC730" s="43" t="str">
        <f>IF(CCUS_Projects_Database!$V730&lt;&gt;"",HYPERLINK(CCUS_Projects_Database!$V730,"Link 5"),"")</f>
        <v/>
      </c>
      <c r="AD730" s="43" t="str">
        <f>IF(CCUS_Projects_Database!$W730&lt;&gt;"",HYPERLINK(CCUS_Projects_Database!$W730,"Link 6"),"")</f>
        <v/>
      </c>
      <c r="AE730" s="43" t="str">
        <f>IF(CCUS_Projects_Database!$X730&lt;&gt;"",HYPERLINK(CCUS_Projects_Database!$X730,"Link 7"),"")</f>
        <v/>
      </c>
    </row>
    <row r="731" ht="15.75" customHeight="1">
      <c r="A731" s="44" t="s">
        <v>2647</v>
      </c>
      <c r="B731" s="45">
        <v>369.0</v>
      </c>
      <c r="C731" s="45" t="s">
        <v>224</v>
      </c>
      <c r="D731" s="46" t="s">
        <v>2648</v>
      </c>
      <c r="E731" s="45" t="s">
        <v>6</v>
      </c>
      <c r="F731" s="45">
        <v>2015.0</v>
      </c>
      <c r="G731" s="45" t="s">
        <v>124</v>
      </c>
      <c r="H731" s="45">
        <v>2021.0</v>
      </c>
      <c r="I731" s="45" t="s">
        <v>124</v>
      </c>
      <c r="J731" s="45" t="s">
        <v>32</v>
      </c>
      <c r="K731" s="47" t="s">
        <v>124</v>
      </c>
      <c r="L731" s="52">
        <v>0.2</v>
      </c>
      <c r="M731" s="47">
        <v>0.2</v>
      </c>
      <c r="N731" s="45" t="s">
        <v>60</v>
      </c>
      <c r="O731" s="48" t="s">
        <v>73</v>
      </c>
      <c r="P731" s="49" t="s">
        <v>1755</v>
      </c>
      <c r="Q731" s="45" t="s">
        <v>148</v>
      </c>
      <c r="R731" s="49" t="s">
        <v>2649</v>
      </c>
      <c r="S731" s="49" t="s">
        <v>2650</v>
      </c>
      <c r="T731" s="49" t="s">
        <v>124</v>
      </c>
      <c r="U731" s="49" t="s">
        <v>124</v>
      </c>
      <c r="V731" s="49" t="s">
        <v>124</v>
      </c>
      <c r="W731" s="49" t="s">
        <v>124</v>
      </c>
      <c r="X731" s="49" t="s">
        <v>124</v>
      </c>
      <c r="Y731" s="50" t="str">
        <f>IF(CCUS_Projects_Database!$R731&lt;&gt;"",HYPERLINK(CCUS_Projects_Database!$R731,"Link 1"),"")</f>
        <v>Link 1</v>
      </c>
      <c r="Z731" s="50" t="str">
        <f>IF(CCUS_Projects_Database!$S731&lt;&gt;"",HYPERLINK(CCUS_Projects_Database!$S731,"Link 2"),"")</f>
        <v>Link 2</v>
      </c>
      <c r="AA731" s="50" t="str">
        <f>IF(CCUS_Projects_Database!$T731&lt;&gt;"",HYPERLINK(CCUS_Projects_Database!$T731,"Link 3"),"")</f>
        <v/>
      </c>
      <c r="AB731" s="50" t="str">
        <f>IF(CCUS_Projects_Database!$U731&lt;&gt;"",HYPERLINK(CCUS_Projects_Database!$U731,"Link 4"),"")</f>
        <v/>
      </c>
      <c r="AC731" s="50" t="str">
        <f>IF(CCUS_Projects_Database!$V731&lt;&gt;"",HYPERLINK(CCUS_Projects_Database!$V731,"Link 5"),"")</f>
        <v/>
      </c>
      <c r="AD731" s="50" t="str">
        <f>IF(CCUS_Projects_Database!$W731&lt;&gt;"",HYPERLINK(CCUS_Projects_Database!$W731,"Link 6"),"")</f>
        <v/>
      </c>
      <c r="AE731" s="50" t="str">
        <f>IF(CCUS_Projects_Database!$X731&lt;&gt;"",HYPERLINK(CCUS_Projects_Database!$X731,"Link 7"),"")</f>
        <v/>
      </c>
    </row>
    <row r="732" ht="15.75" customHeight="1">
      <c r="A732" s="37" t="s">
        <v>2651</v>
      </c>
      <c r="B732" s="38">
        <v>370.0</v>
      </c>
      <c r="C732" s="38" t="s">
        <v>224</v>
      </c>
      <c r="D732" s="39" t="s">
        <v>2652</v>
      </c>
      <c r="E732" s="38" t="s">
        <v>6</v>
      </c>
      <c r="F732" s="38">
        <v>2012.0</v>
      </c>
      <c r="G732" s="38">
        <v>2021.0</v>
      </c>
      <c r="H732" s="38">
        <v>2022.0</v>
      </c>
      <c r="I732" s="38" t="s">
        <v>124</v>
      </c>
      <c r="J732" s="38" t="s">
        <v>32</v>
      </c>
      <c r="K732" s="40" t="s">
        <v>124</v>
      </c>
      <c r="L732" s="51">
        <v>0.85</v>
      </c>
      <c r="M732" s="40">
        <v>1.0</v>
      </c>
      <c r="N732" s="38" t="s">
        <v>60</v>
      </c>
      <c r="O732" s="41" t="s">
        <v>73</v>
      </c>
      <c r="P732" s="42" t="s">
        <v>2653</v>
      </c>
      <c r="Q732" s="38" t="s">
        <v>148</v>
      </c>
      <c r="R732" s="42" t="s">
        <v>793</v>
      </c>
      <c r="S732" s="42" t="s">
        <v>2654</v>
      </c>
      <c r="T732" s="42" t="s">
        <v>2649</v>
      </c>
      <c r="U732" s="42" t="s">
        <v>2655</v>
      </c>
      <c r="V732" s="42" t="s">
        <v>2656</v>
      </c>
      <c r="W732" s="42" t="s">
        <v>2657</v>
      </c>
      <c r="X732" s="42" t="s">
        <v>124</v>
      </c>
      <c r="Y732" s="43" t="str">
        <f>IF(CCUS_Projects_Database!$R732&lt;&gt;"",HYPERLINK(CCUS_Projects_Database!$R732,"Link 1"),"")</f>
        <v>Link 1</v>
      </c>
      <c r="Z732" s="43" t="str">
        <f>IF(CCUS_Projects_Database!$S732&lt;&gt;"",HYPERLINK(CCUS_Projects_Database!$S732,"Link 2"),"")</f>
        <v>Link 2</v>
      </c>
      <c r="AA732" s="43" t="str">
        <f>IF(CCUS_Projects_Database!$T732&lt;&gt;"",HYPERLINK(CCUS_Projects_Database!$T732,"Link 3"),"")</f>
        <v>Link 3</v>
      </c>
      <c r="AB732" s="43" t="str">
        <f>IF(CCUS_Projects_Database!$U732&lt;&gt;"",HYPERLINK(CCUS_Projects_Database!$U732,"Link 4"),"")</f>
        <v>Link 4</v>
      </c>
      <c r="AC732" s="43" t="str">
        <f>IF(CCUS_Projects_Database!$V732&lt;&gt;"",HYPERLINK(CCUS_Projects_Database!$V732,"Link 5"),"")</f>
        <v>Link 5</v>
      </c>
      <c r="AD732" s="43" t="str">
        <f>IF(CCUS_Projects_Database!$W732&lt;&gt;"",HYPERLINK(CCUS_Projects_Database!$W732,"Link 6"),"")</f>
        <v>Link 6</v>
      </c>
      <c r="AE732" s="43" t="str">
        <f>IF(CCUS_Projects_Database!$X732&lt;&gt;"",HYPERLINK(CCUS_Projects_Database!$X732,"Link 7"),"")</f>
        <v/>
      </c>
    </row>
    <row r="733" ht="15.75" customHeight="1">
      <c r="A733" s="44" t="s">
        <v>2658</v>
      </c>
      <c r="B733" s="45">
        <v>371.0</v>
      </c>
      <c r="C733" s="45" t="s">
        <v>224</v>
      </c>
      <c r="D733" s="46" t="s">
        <v>2648</v>
      </c>
      <c r="E733" s="45" t="s">
        <v>6</v>
      </c>
      <c r="F733" s="45">
        <v>2011.0</v>
      </c>
      <c r="G733" s="45" t="s">
        <v>124</v>
      </c>
      <c r="H733" s="45">
        <v>2030.0</v>
      </c>
      <c r="I733" s="45" t="s">
        <v>124</v>
      </c>
      <c r="J733" s="45" t="s">
        <v>28</v>
      </c>
      <c r="K733" s="47" t="s">
        <v>124</v>
      </c>
      <c r="L733" s="52">
        <v>1.5</v>
      </c>
      <c r="M733" s="47">
        <v>2.0</v>
      </c>
      <c r="N733" s="45" t="s">
        <v>46</v>
      </c>
      <c r="O733" s="48" t="s">
        <v>73</v>
      </c>
      <c r="P733" s="49" t="s">
        <v>2653</v>
      </c>
      <c r="Q733" s="45" t="s">
        <v>148</v>
      </c>
      <c r="R733" s="49" t="s">
        <v>2659</v>
      </c>
      <c r="S733" s="49" t="s">
        <v>124</v>
      </c>
      <c r="T733" s="49" t="s">
        <v>124</v>
      </c>
      <c r="U733" s="49" t="s">
        <v>124</v>
      </c>
      <c r="V733" s="49" t="s">
        <v>124</v>
      </c>
      <c r="W733" s="49" t="s">
        <v>124</v>
      </c>
      <c r="X733" s="49" t="s">
        <v>124</v>
      </c>
      <c r="Y733" s="50" t="str">
        <f>IF(CCUS_Projects_Database!$R733&lt;&gt;"",HYPERLINK(CCUS_Projects_Database!$R733,"Link 1"),"")</f>
        <v>Link 1</v>
      </c>
      <c r="Z733" s="50" t="str">
        <f>IF(CCUS_Projects_Database!$S733&lt;&gt;"",HYPERLINK(CCUS_Projects_Database!$S733,"Link 2"),"")</f>
        <v/>
      </c>
      <c r="AA733" s="50" t="str">
        <f>IF(CCUS_Projects_Database!$T733&lt;&gt;"",HYPERLINK(CCUS_Projects_Database!$T733,"Link 3"),"")</f>
        <v/>
      </c>
      <c r="AB733" s="50" t="str">
        <f>IF(CCUS_Projects_Database!$U733&lt;&gt;"",HYPERLINK(CCUS_Projects_Database!$U733,"Link 4"),"")</f>
        <v/>
      </c>
      <c r="AC733" s="50" t="str">
        <f>IF(CCUS_Projects_Database!$V733&lt;&gt;"",HYPERLINK(CCUS_Projects_Database!$V733,"Link 5"),"")</f>
        <v/>
      </c>
      <c r="AD733" s="50" t="str">
        <f>IF(CCUS_Projects_Database!$W733&lt;&gt;"",HYPERLINK(CCUS_Projects_Database!$W733,"Link 6"),"")</f>
        <v/>
      </c>
      <c r="AE733" s="50" t="str">
        <f>IF(CCUS_Projects_Database!$X733&lt;&gt;"",HYPERLINK(CCUS_Projects_Database!$X733,"Link 7"),"")</f>
        <v/>
      </c>
    </row>
    <row r="734" ht="15.75" customHeight="1">
      <c r="A734" s="37" t="s">
        <v>2660</v>
      </c>
      <c r="B734" s="38">
        <v>372.0</v>
      </c>
      <c r="C734" s="38" t="s">
        <v>141</v>
      </c>
      <c r="D734" s="39" t="s">
        <v>2661</v>
      </c>
      <c r="E734" s="38" t="s">
        <v>8</v>
      </c>
      <c r="F734" s="38">
        <v>2021.0</v>
      </c>
      <c r="G734" s="38">
        <v>2024.0</v>
      </c>
      <c r="H734" s="38">
        <v>2024.0</v>
      </c>
      <c r="I734" s="38" t="s">
        <v>124</v>
      </c>
      <c r="J734" s="38" t="s">
        <v>28</v>
      </c>
      <c r="K734" s="40" t="s">
        <v>124</v>
      </c>
      <c r="L734" s="51">
        <v>0.175</v>
      </c>
      <c r="M734" s="40">
        <v>0.186</v>
      </c>
      <c r="N734" s="38" t="s">
        <v>50</v>
      </c>
      <c r="O734" s="41" t="s">
        <v>71</v>
      </c>
      <c r="P734" s="42" t="s">
        <v>567</v>
      </c>
      <c r="Q734" s="38" t="s">
        <v>143</v>
      </c>
      <c r="R734" s="42" t="s">
        <v>945</v>
      </c>
      <c r="S734" s="42" t="s">
        <v>946</v>
      </c>
      <c r="T734" s="42" t="s">
        <v>947</v>
      </c>
      <c r="U734" s="42" t="s">
        <v>124</v>
      </c>
      <c r="V734" s="42" t="s">
        <v>124</v>
      </c>
      <c r="W734" s="42" t="s">
        <v>124</v>
      </c>
      <c r="X734" s="42" t="s">
        <v>124</v>
      </c>
      <c r="Y734" s="43" t="str">
        <f>IF(CCUS_Projects_Database!$R734&lt;&gt;"",HYPERLINK(CCUS_Projects_Database!$R734,"Link 1"),"")</f>
        <v>Link 1</v>
      </c>
      <c r="Z734" s="43" t="str">
        <f>IF(CCUS_Projects_Database!$S734&lt;&gt;"",HYPERLINK(CCUS_Projects_Database!$S734,"Link 2"),"")</f>
        <v>Link 2</v>
      </c>
      <c r="AA734" s="43" t="str">
        <f>IF(CCUS_Projects_Database!$T734&lt;&gt;"",HYPERLINK(CCUS_Projects_Database!$T734,"Link 3"),"")</f>
        <v>Link 3</v>
      </c>
      <c r="AB734" s="43" t="str">
        <f>IF(CCUS_Projects_Database!$U734&lt;&gt;"",HYPERLINK(CCUS_Projects_Database!$U734,"Link 4"),"")</f>
        <v/>
      </c>
      <c r="AC734" s="43" t="str">
        <f>IF(CCUS_Projects_Database!$V734&lt;&gt;"",HYPERLINK(CCUS_Projects_Database!$V734,"Link 5"),"")</f>
        <v/>
      </c>
      <c r="AD734" s="43" t="str">
        <f>IF(CCUS_Projects_Database!$W734&lt;&gt;"",HYPERLINK(CCUS_Projects_Database!$W734,"Link 6"),"")</f>
        <v/>
      </c>
      <c r="AE734" s="43" t="str">
        <f>IF(CCUS_Projects_Database!$X734&lt;&gt;"",HYPERLINK(CCUS_Projects_Database!$X734,"Link 7"),"")</f>
        <v/>
      </c>
    </row>
    <row r="735" ht="15.75" customHeight="1">
      <c r="A735" s="44" t="s">
        <v>2662</v>
      </c>
      <c r="B735" s="45">
        <v>440.0</v>
      </c>
      <c r="C735" s="45" t="s">
        <v>157</v>
      </c>
      <c r="D735" s="46" t="s">
        <v>2663</v>
      </c>
      <c r="E735" s="45" t="s">
        <v>8</v>
      </c>
      <c r="F735" s="45">
        <v>2022.0</v>
      </c>
      <c r="G735" s="45" t="s">
        <v>124</v>
      </c>
      <c r="H735" s="45">
        <v>2030.0</v>
      </c>
      <c r="I735" s="45" t="s">
        <v>124</v>
      </c>
      <c r="J735" s="45" t="s">
        <v>28</v>
      </c>
      <c r="K735" s="47">
        <v>1.0</v>
      </c>
      <c r="L735" s="52">
        <v>0.05</v>
      </c>
      <c r="M735" s="47">
        <v>0.05</v>
      </c>
      <c r="N735" s="45" t="s">
        <v>64</v>
      </c>
      <c r="O735" s="48" t="s">
        <v>71</v>
      </c>
      <c r="P735" s="49" t="s">
        <v>124</v>
      </c>
      <c r="Q735" s="45" t="s">
        <v>125</v>
      </c>
      <c r="R735" s="49" t="s">
        <v>2664</v>
      </c>
      <c r="S735" s="49" t="s">
        <v>835</v>
      </c>
      <c r="T735" s="49" t="s">
        <v>124</v>
      </c>
      <c r="U735" s="49" t="s">
        <v>124</v>
      </c>
      <c r="V735" s="49" t="s">
        <v>124</v>
      </c>
      <c r="W735" s="49" t="s">
        <v>124</v>
      </c>
      <c r="X735" s="49" t="s">
        <v>124</v>
      </c>
      <c r="Y735" s="50" t="str">
        <f>IF(CCUS_Projects_Database!$R735&lt;&gt;"",HYPERLINK(CCUS_Projects_Database!$R735,"Link 1"),"")</f>
        <v>Link 1</v>
      </c>
      <c r="Z735" s="50" t="str">
        <f>IF(CCUS_Projects_Database!$S735&lt;&gt;"",HYPERLINK(CCUS_Projects_Database!$S735,"Link 2"),"")</f>
        <v>Link 2</v>
      </c>
      <c r="AA735" s="50" t="str">
        <f>IF(CCUS_Projects_Database!$T735&lt;&gt;"",HYPERLINK(CCUS_Projects_Database!$T735,"Link 3"),"")</f>
        <v/>
      </c>
      <c r="AB735" s="50" t="str">
        <f>IF(CCUS_Projects_Database!$U735&lt;&gt;"",HYPERLINK(CCUS_Projects_Database!$U735,"Link 4"),"")</f>
        <v/>
      </c>
      <c r="AC735" s="50" t="str">
        <f>IF(CCUS_Projects_Database!$V735&lt;&gt;"",HYPERLINK(CCUS_Projects_Database!$V735,"Link 5"),"")</f>
        <v/>
      </c>
      <c r="AD735" s="50" t="str">
        <f>IF(CCUS_Projects_Database!$W735&lt;&gt;"",HYPERLINK(CCUS_Projects_Database!$W735,"Link 6"),"")</f>
        <v/>
      </c>
      <c r="AE735" s="50" t="str">
        <f>IF(CCUS_Projects_Database!$X735&lt;&gt;"",HYPERLINK(CCUS_Projects_Database!$X735,"Link 7"),"")</f>
        <v/>
      </c>
    </row>
    <row r="736" ht="15.75" customHeight="1">
      <c r="A736" s="37" t="s">
        <v>2665</v>
      </c>
      <c r="B736" s="38">
        <v>919.0</v>
      </c>
      <c r="C736" s="38" t="s">
        <v>521</v>
      </c>
      <c r="D736" s="39" t="s">
        <v>2666</v>
      </c>
      <c r="E736" s="38" t="s">
        <v>8</v>
      </c>
      <c r="F736" s="38">
        <v>2023.0</v>
      </c>
      <c r="G736" s="38" t="s">
        <v>124</v>
      </c>
      <c r="H736" s="38" t="s">
        <v>124</v>
      </c>
      <c r="I736" s="38" t="s">
        <v>124</v>
      </c>
      <c r="J736" s="38" t="s">
        <v>28</v>
      </c>
      <c r="K736" s="40" t="s">
        <v>124</v>
      </c>
      <c r="L736" s="40"/>
      <c r="M736" s="40" t="s">
        <v>124</v>
      </c>
      <c r="N736" s="38" t="s">
        <v>46</v>
      </c>
      <c r="O736" s="41" t="s">
        <v>77</v>
      </c>
      <c r="P736" s="42" t="s">
        <v>124</v>
      </c>
      <c r="Q736" s="38" t="s">
        <v>148</v>
      </c>
      <c r="R736" s="42" t="s">
        <v>2667</v>
      </c>
      <c r="S736" s="42" t="s">
        <v>124</v>
      </c>
      <c r="T736" s="42" t="s">
        <v>124</v>
      </c>
      <c r="U736" s="42" t="s">
        <v>124</v>
      </c>
      <c r="V736" s="42" t="s">
        <v>124</v>
      </c>
      <c r="W736" s="42" t="s">
        <v>124</v>
      </c>
      <c r="X736" s="42" t="s">
        <v>124</v>
      </c>
      <c r="Y736" s="43" t="str">
        <f>IF(CCUS_Projects_Database!$R736&lt;&gt;"",HYPERLINK(CCUS_Projects_Database!$R736,"Link 1"),"")</f>
        <v>Link 1</v>
      </c>
      <c r="Z736" s="43" t="str">
        <f>IF(CCUS_Projects_Database!$S736&lt;&gt;"",HYPERLINK(CCUS_Projects_Database!$S736,"Link 2"),"")</f>
        <v/>
      </c>
      <c r="AA736" s="43" t="str">
        <f>IF(CCUS_Projects_Database!$T736&lt;&gt;"",HYPERLINK(CCUS_Projects_Database!$T736,"Link 3"),"")</f>
        <v/>
      </c>
      <c r="AB736" s="43" t="str">
        <f>IF(CCUS_Projects_Database!$U736&lt;&gt;"",HYPERLINK(CCUS_Projects_Database!$U736,"Link 4"),"")</f>
        <v/>
      </c>
      <c r="AC736" s="43" t="str">
        <f>IF(CCUS_Projects_Database!$V736&lt;&gt;"",HYPERLINK(CCUS_Projects_Database!$V736,"Link 5"),"")</f>
        <v/>
      </c>
      <c r="AD736" s="43" t="str">
        <f>IF(CCUS_Projects_Database!$W736&lt;&gt;"",HYPERLINK(CCUS_Projects_Database!$W736,"Link 6"),"")</f>
        <v/>
      </c>
      <c r="AE736" s="43" t="str">
        <f>IF(CCUS_Projects_Database!$X736&lt;&gt;"",HYPERLINK(CCUS_Projects_Database!$X736,"Link 7"),"")</f>
        <v/>
      </c>
    </row>
    <row r="737" ht="15.75" customHeight="1">
      <c r="A737" s="44" t="s">
        <v>2668</v>
      </c>
      <c r="B737" s="45">
        <v>374.0</v>
      </c>
      <c r="C737" s="45" t="s">
        <v>284</v>
      </c>
      <c r="D737" s="46" t="s">
        <v>2669</v>
      </c>
      <c r="E737" s="45" t="s">
        <v>6</v>
      </c>
      <c r="F737" s="45">
        <v>1991.0</v>
      </c>
      <c r="G737" s="45" t="s">
        <v>124</v>
      </c>
      <c r="H737" s="45">
        <v>1996.0</v>
      </c>
      <c r="I737" s="45" t="s">
        <v>124</v>
      </c>
      <c r="J737" s="45" t="s">
        <v>32</v>
      </c>
      <c r="K737" s="47" t="s">
        <v>124</v>
      </c>
      <c r="L737" s="52">
        <v>1.0</v>
      </c>
      <c r="M737" s="47">
        <v>1.0</v>
      </c>
      <c r="N737" s="45" t="s">
        <v>48</v>
      </c>
      <c r="O737" s="48" t="s">
        <v>71</v>
      </c>
      <c r="P737" s="49" t="s">
        <v>124</v>
      </c>
      <c r="Q737" s="45" t="s">
        <v>125</v>
      </c>
      <c r="R737" s="49" t="s">
        <v>2670</v>
      </c>
      <c r="S737" s="49" t="s">
        <v>2671</v>
      </c>
      <c r="T737" s="49" t="s">
        <v>124</v>
      </c>
      <c r="U737" s="49" t="s">
        <v>124</v>
      </c>
      <c r="V737" s="49" t="s">
        <v>124</v>
      </c>
      <c r="W737" s="49" t="s">
        <v>124</v>
      </c>
      <c r="X737" s="49" t="s">
        <v>124</v>
      </c>
      <c r="Y737" s="50" t="str">
        <f>IF(CCUS_Projects_Database!$R737&lt;&gt;"",HYPERLINK(CCUS_Projects_Database!$R737,"Link 1"),"")</f>
        <v>Link 1</v>
      </c>
      <c r="Z737" s="50" t="str">
        <f>IF(CCUS_Projects_Database!$S737&lt;&gt;"",HYPERLINK(CCUS_Projects_Database!$S737,"Link 2"),"")</f>
        <v>Link 2</v>
      </c>
      <c r="AA737" s="50" t="str">
        <f>IF(CCUS_Projects_Database!$T737&lt;&gt;"",HYPERLINK(CCUS_Projects_Database!$T737,"Link 3"),"")</f>
        <v/>
      </c>
      <c r="AB737" s="50" t="str">
        <f>IF(CCUS_Projects_Database!$U737&lt;&gt;"",HYPERLINK(CCUS_Projects_Database!$U737,"Link 4"),"")</f>
        <v/>
      </c>
      <c r="AC737" s="50" t="str">
        <f>IF(CCUS_Projects_Database!$V737&lt;&gt;"",HYPERLINK(CCUS_Projects_Database!$V737,"Link 5"),"")</f>
        <v/>
      </c>
      <c r="AD737" s="50" t="str">
        <f>IF(CCUS_Projects_Database!$W737&lt;&gt;"",HYPERLINK(CCUS_Projects_Database!$W737,"Link 6"),"")</f>
        <v/>
      </c>
      <c r="AE737" s="50" t="str">
        <f>IF(CCUS_Projects_Database!$X737&lt;&gt;"",HYPERLINK(CCUS_Projects_Database!$X737,"Link 7"),"")</f>
        <v/>
      </c>
    </row>
    <row r="738" ht="15.75" customHeight="1">
      <c r="A738" s="37" t="s">
        <v>2672</v>
      </c>
      <c r="B738" s="38">
        <v>375.0</v>
      </c>
      <c r="C738" s="38" t="s">
        <v>284</v>
      </c>
      <c r="D738" s="39" t="s">
        <v>2673</v>
      </c>
      <c r="E738" s="38" t="s">
        <v>6</v>
      </c>
      <c r="F738" s="38">
        <v>2002.0</v>
      </c>
      <c r="G738" s="38">
        <v>2002.0</v>
      </c>
      <c r="H738" s="38">
        <v>2008.0</v>
      </c>
      <c r="I738" s="38" t="s">
        <v>124</v>
      </c>
      <c r="J738" s="38" t="s">
        <v>32</v>
      </c>
      <c r="K738" s="40" t="s">
        <v>124</v>
      </c>
      <c r="L738" s="51">
        <v>0.7</v>
      </c>
      <c r="M738" s="40">
        <v>0.7</v>
      </c>
      <c r="N738" s="38" t="s">
        <v>48</v>
      </c>
      <c r="O738" s="41" t="s">
        <v>71</v>
      </c>
      <c r="P738" s="42" t="s">
        <v>124</v>
      </c>
      <c r="Q738" s="38" t="s">
        <v>125</v>
      </c>
      <c r="R738" s="42" t="s">
        <v>2674</v>
      </c>
      <c r="S738" s="42" t="s">
        <v>2675</v>
      </c>
      <c r="T738" s="42" t="s">
        <v>2671</v>
      </c>
      <c r="U738" s="42" t="s">
        <v>124</v>
      </c>
      <c r="V738" s="42" t="s">
        <v>124</v>
      </c>
      <c r="W738" s="42" t="s">
        <v>124</v>
      </c>
      <c r="X738" s="42" t="s">
        <v>124</v>
      </c>
      <c r="Y738" s="43" t="str">
        <f>IF(CCUS_Projects_Database!$R738&lt;&gt;"",HYPERLINK(CCUS_Projects_Database!$R738,"Link 1"),"")</f>
        <v>Link 1</v>
      </c>
      <c r="Z738" s="43" t="str">
        <f>IF(CCUS_Projects_Database!$S738&lt;&gt;"",HYPERLINK(CCUS_Projects_Database!$S738,"Link 2"),"")</f>
        <v>Link 2</v>
      </c>
      <c r="AA738" s="43" t="str">
        <f>IF(CCUS_Projects_Database!$T738&lt;&gt;"",HYPERLINK(CCUS_Projects_Database!$T738,"Link 3"),"")</f>
        <v>Link 3</v>
      </c>
      <c r="AB738" s="43" t="str">
        <f>IF(CCUS_Projects_Database!$U738&lt;&gt;"",HYPERLINK(CCUS_Projects_Database!$U738,"Link 4"),"")</f>
        <v/>
      </c>
      <c r="AC738" s="43" t="str">
        <f>IF(CCUS_Projects_Database!$V738&lt;&gt;"",HYPERLINK(CCUS_Projects_Database!$V738,"Link 5"),"")</f>
        <v/>
      </c>
      <c r="AD738" s="43" t="str">
        <f>IF(CCUS_Projects_Database!$W738&lt;&gt;"",HYPERLINK(CCUS_Projects_Database!$W738,"Link 6"),"")</f>
        <v/>
      </c>
      <c r="AE738" s="43" t="str">
        <f>IF(CCUS_Projects_Database!$X738&lt;&gt;"",HYPERLINK(CCUS_Projects_Database!$X738,"Link 7"),"")</f>
        <v/>
      </c>
    </row>
    <row r="739" ht="15.75" customHeight="1">
      <c r="A739" s="44" t="s">
        <v>2676</v>
      </c>
      <c r="B739" s="45">
        <v>51.0</v>
      </c>
      <c r="C739" s="45" t="s">
        <v>257</v>
      </c>
      <c r="D739" s="46" t="s">
        <v>2677</v>
      </c>
      <c r="E739" s="45" t="s">
        <v>8</v>
      </c>
      <c r="F739" s="45">
        <v>2020.0</v>
      </c>
      <c r="G739" s="45">
        <v>2026.0</v>
      </c>
      <c r="H739" s="45">
        <v>2030.0</v>
      </c>
      <c r="I739" s="45" t="s">
        <v>124</v>
      </c>
      <c r="J739" s="45" t="s">
        <v>28</v>
      </c>
      <c r="K739" s="47" t="s">
        <v>124</v>
      </c>
      <c r="L739" s="52">
        <v>0.5</v>
      </c>
      <c r="M739" s="47">
        <v>0.5</v>
      </c>
      <c r="N739" s="45" t="s">
        <v>46</v>
      </c>
      <c r="O739" s="48" t="s">
        <v>71</v>
      </c>
      <c r="P739" s="49" t="s">
        <v>124</v>
      </c>
      <c r="Q739" s="45" t="s">
        <v>125</v>
      </c>
      <c r="R739" s="49" t="s">
        <v>2678</v>
      </c>
      <c r="S739" s="49" t="s">
        <v>2679</v>
      </c>
      <c r="T739" s="49" t="s">
        <v>124</v>
      </c>
      <c r="U739" s="49" t="s">
        <v>124</v>
      </c>
      <c r="V739" s="49" t="s">
        <v>124</v>
      </c>
      <c r="W739" s="49" t="s">
        <v>124</v>
      </c>
      <c r="X739" s="49" t="s">
        <v>124</v>
      </c>
      <c r="Y739" s="50" t="str">
        <f>IF(CCUS_Projects_Database!$R739&lt;&gt;"",HYPERLINK(CCUS_Projects_Database!$R739,"Link 1"),"")</f>
        <v>Link 1</v>
      </c>
      <c r="Z739" s="50" t="str">
        <f>IF(CCUS_Projects_Database!$S739&lt;&gt;"",HYPERLINK(CCUS_Projects_Database!$S739,"Link 2"),"")</f>
        <v>Link 2</v>
      </c>
      <c r="AA739" s="50" t="str">
        <f>IF(CCUS_Projects_Database!$T739&lt;&gt;"",HYPERLINK(CCUS_Projects_Database!$T739,"Link 3"),"")</f>
        <v/>
      </c>
      <c r="AB739" s="50" t="str">
        <f>IF(CCUS_Projects_Database!$U739&lt;&gt;"",HYPERLINK(CCUS_Projects_Database!$U739,"Link 4"),"")</f>
        <v/>
      </c>
      <c r="AC739" s="50" t="str">
        <f>IF(CCUS_Projects_Database!$V739&lt;&gt;"",HYPERLINK(CCUS_Projects_Database!$V739,"Link 5"),"")</f>
        <v/>
      </c>
      <c r="AD739" s="50" t="str">
        <f>IF(CCUS_Projects_Database!$W739&lt;&gt;"",HYPERLINK(CCUS_Projects_Database!$W739,"Link 6"),"")</f>
        <v/>
      </c>
      <c r="AE739" s="50" t="str">
        <f>IF(CCUS_Projects_Database!$X739&lt;&gt;"",HYPERLINK(CCUS_Projects_Database!$X739,"Link 7"),"")</f>
        <v/>
      </c>
    </row>
    <row r="740" ht="15.75" customHeight="1">
      <c r="A740" s="37" t="s">
        <v>2680</v>
      </c>
      <c r="B740" s="38">
        <v>376.0</v>
      </c>
      <c r="C740" s="38" t="s">
        <v>181</v>
      </c>
      <c r="D740" s="39" t="s">
        <v>2681</v>
      </c>
      <c r="E740" s="38" t="s">
        <v>14</v>
      </c>
      <c r="F740" s="38">
        <v>2022.0</v>
      </c>
      <c r="G740" s="38" t="s">
        <v>124</v>
      </c>
      <c r="H740" s="38">
        <v>2025.0</v>
      </c>
      <c r="I740" s="38" t="s">
        <v>124</v>
      </c>
      <c r="J740" s="38" t="s">
        <v>28</v>
      </c>
      <c r="K740" s="40" t="s">
        <v>124</v>
      </c>
      <c r="L740" s="51">
        <v>1.25</v>
      </c>
      <c r="M740" s="40">
        <v>2.0</v>
      </c>
      <c r="N740" s="38" t="s">
        <v>14</v>
      </c>
      <c r="O740" s="41" t="s">
        <v>71</v>
      </c>
      <c r="P740" s="42" t="s">
        <v>1921</v>
      </c>
      <c r="Q740" s="38" t="s">
        <v>184</v>
      </c>
      <c r="R740" s="42" t="s">
        <v>2682</v>
      </c>
      <c r="S740" s="42" t="s">
        <v>2683</v>
      </c>
      <c r="T740" s="42" t="s">
        <v>2684</v>
      </c>
      <c r="U740" s="42" t="s">
        <v>124</v>
      </c>
      <c r="V740" s="42" t="s">
        <v>124</v>
      </c>
      <c r="W740" s="42" t="s">
        <v>124</v>
      </c>
      <c r="X740" s="42" t="s">
        <v>124</v>
      </c>
      <c r="Y740" s="43" t="str">
        <f>IF(CCUS_Projects_Database!$R740&lt;&gt;"",HYPERLINK(CCUS_Projects_Database!$R740,"Link 1"),"")</f>
        <v>Link 1</v>
      </c>
      <c r="Z740" s="43" t="str">
        <f>IF(CCUS_Projects_Database!$S740&lt;&gt;"",HYPERLINK(CCUS_Projects_Database!$S740,"Link 2"),"")</f>
        <v>Link 2</v>
      </c>
      <c r="AA740" s="43" t="str">
        <f>IF(CCUS_Projects_Database!$T740&lt;&gt;"",HYPERLINK(CCUS_Projects_Database!$T740,"Link 3"),"")</f>
        <v>Link 3</v>
      </c>
      <c r="AB740" s="43" t="str">
        <f>IF(CCUS_Projects_Database!$U740&lt;&gt;"",HYPERLINK(CCUS_Projects_Database!$U740,"Link 4"),"")</f>
        <v/>
      </c>
      <c r="AC740" s="43" t="str">
        <f>IF(CCUS_Projects_Database!$V740&lt;&gt;"",HYPERLINK(CCUS_Projects_Database!$V740,"Link 5"),"")</f>
        <v/>
      </c>
      <c r="AD740" s="43" t="str">
        <f>IF(CCUS_Projects_Database!$W740&lt;&gt;"",HYPERLINK(CCUS_Projects_Database!$W740,"Link 6"),"")</f>
        <v/>
      </c>
      <c r="AE740" s="43" t="str">
        <f>IF(CCUS_Projects_Database!$X740&lt;&gt;"",HYPERLINK(CCUS_Projects_Database!$X740,"Link 7"),"")</f>
        <v/>
      </c>
    </row>
    <row r="741" ht="15.75" customHeight="1">
      <c r="A741" s="44" t="s">
        <v>2685</v>
      </c>
      <c r="B741" s="45">
        <v>474.0</v>
      </c>
      <c r="C741" s="45" t="s">
        <v>141</v>
      </c>
      <c r="D741" s="46" t="s">
        <v>504</v>
      </c>
      <c r="E741" s="45" t="s">
        <v>6</v>
      </c>
      <c r="F741" s="45">
        <v>2022.0</v>
      </c>
      <c r="G741" s="45" t="s">
        <v>124</v>
      </c>
      <c r="H741" s="45" t="s">
        <v>124</v>
      </c>
      <c r="I741" s="45" t="s">
        <v>124</v>
      </c>
      <c r="J741" s="45" t="s">
        <v>28</v>
      </c>
      <c r="K741" s="47">
        <v>1.0</v>
      </c>
      <c r="L741" s="52">
        <v>1.0</v>
      </c>
      <c r="M741" s="47">
        <v>1.0</v>
      </c>
      <c r="N741" s="45" t="s">
        <v>64</v>
      </c>
      <c r="O741" s="48" t="s">
        <v>71</v>
      </c>
      <c r="P741" s="49" t="s">
        <v>2271</v>
      </c>
      <c r="Q741" s="45" t="s">
        <v>143</v>
      </c>
      <c r="R741" s="49" t="s">
        <v>2269</v>
      </c>
      <c r="S741" s="49" t="s">
        <v>2268</v>
      </c>
      <c r="T741" s="49" t="s">
        <v>2272</v>
      </c>
      <c r="U741" s="49" t="s">
        <v>124</v>
      </c>
      <c r="V741" s="49" t="s">
        <v>124</v>
      </c>
      <c r="W741" s="49" t="s">
        <v>124</v>
      </c>
      <c r="X741" s="49" t="s">
        <v>124</v>
      </c>
      <c r="Y741" s="50" t="str">
        <f>IF(CCUS_Projects_Database!$R741&lt;&gt;"",HYPERLINK(CCUS_Projects_Database!$R741,"Link 1"),"")</f>
        <v>Link 1</v>
      </c>
      <c r="Z741" s="50" t="str">
        <f>IF(CCUS_Projects_Database!$S741&lt;&gt;"",HYPERLINK(CCUS_Projects_Database!$S741,"Link 2"),"")</f>
        <v>Link 2</v>
      </c>
      <c r="AA741" s="50" t="str">
        <f>IF(CCUS_Projects_Database!$T741&lt;&gt;"",HYPERLINK(CCUS_Projects_Database!$T741,"Link 3"),"")</f>
        <v>Link 3</v>
      </c>
      <c r="AB741" s="50" t="str">
        <f>IF(CCUS_Projects_Database!$U741&lt;&gt;"",HYPERLINK(CCUS_Projects_Database!$U741,"Link 4"),"")</f>
        <v/>
      </c>
      <c r="AC741" s="50" t="str">
        <f>IF(CCUS_Projects_Database!$V741&lt;&gt;"",HYPERLINK(CCUS_Projects_Database!$V741,"Link 5"),"")</f>
        <v/>
      </c>
      <c r="AD741" s="50" t="str">
        <f>IF(CCUS_Projects_Database!$W741&lt;&gt;"",HYPERLINK(CCUS_Projects_Database!$W741,"Link 6"),"")</f>
        <v/>
      </c>
      <c r="AE741" s="50" t="str">
        <f>IF(CCUS_Projects_Database!$X741&lt;&gt;"",HYPERLINK(CCUS_Projects_Database!$X741,"Link 7"),"")</f>
        <v/>
      </c>
    </row>
    <row r="742" ht="15.75" customHeight="1">
      <c r="A742" s="37" t="s">
        <v>2686</v>
      </c>
      <c r="B742" s="38">
        <v>377.0</v>
      </c>
      <c r="C742" s="38" t="s">
        <v>181</v>
      </c>
      <c r="D742" s="39" t="s">
        <v>2687</v>
      </c>
      <c r="E742" s="38" t="s">
        <v>8</v>
      </c>
      <c r="F742" s="38">
        <v>2021.0</v>
      </c>
      <c r="G742" s="38" t="s">
        <v>124</v>
      </c>
      <c r="H742" s="38" t="s">
        <v>124</v>
      </c>
      <c r="I742" s="38" t="s">
        <v>124</v>
      </c>
      <c r="J742" s="38" t="s">
        <v>28</v>
      </c>
      <c r="K742" s="40" t="s">
        <v>124</v>
      </c>
      <c r="L742" s="40"/>
      <c r="M742" s="40" t="s">
        <v>124</v>
      </c>
      <c r="N742" s="38" t="s">
        <v>136</v>
      </c>
      <c r="O742" s="41" t="s">
        <v>71</v>
      </c>
      <c r="P742" s="42" t="s">
        <v>183</v>
      </c>
      <c r="Q742" s="38" t="s">
        <v>184</v>
      </c>
      <c r="R742" s="42" t="s">
        <v>1984</v>
      </c>
      <c r="S742" s="42" t="s">
        <v>1985</v>
      </c>
      <c r="T742" s="42" t="s">
        <v>2688</v>
      </c>
      <c r="U742" s="42" t="s">
        <v>124</v>
      </c>
      <c r="V742" s="42" t="s">
        <v>124</v>
      </c>
      <c r="W742" s="42" t="s">
        <v>124</v>
      </c>
      <c r="X742" s="42" t="s">
        <v>124</v>
      </c>
      <c r="Y742" s="43" t="str">
        <f>IF(CCUS_Projects_Database!$R742&lt;&gt;"",HYPERLINK(CCUS_Projects_Database!$R742,"Link 1"),"")</f>
        <v>Link 1</v>
      </c>
      <c r="Z742" s="43" t="str">
        <f>IF(CCUS_Projects_Database!$S742&lt;&gt;"",HYPERLINK(CCUS_Projects_Database!$S742,"Link 2"),"")</f>
        <v>Link 2</v>
      </c>
      <c r="AA742" s="43" t="str">
        <f>IF(CCUS_Projects_Database!$T742&lt;&gt;"",HYPERLINK(CCUS_Projects_Database!$T742,"Link 3"),"")</f>
        <v>Link 3</v>
      </c>
      <c r="AB742" s="43" t="str">
        <f>IF(CCUS_Projects_Database!$U742&lt;&gt;"",HYPERLINK(CCUS_Projects_Database!$U742,"Link 4"),"")</f>
        <v/>
      </c>
      <c r="AC742" s="43" t="str">
        <f>IF(CCUS_Projects_Database!$V742&lt;&gt;"",HYPERLINK(CCUS_Projects_Database!$V742,"Link 5"),"")</f>
        <v/>
      </c>
      <c r="AD742" s="43" t="str">
        <f>IF(CCUS_Projects_Database!$W742&lt;&gt;"",HYPERLINK(CCUS_Projects_Database!$W742,"Link 6"),"")</f>
        <v/>
      </c>
      <c r="AE742" s="43" t="str">
        <f>IF(CCUS_Projects_Database!$X742&lt;&gt;"",HYPERLINK(CCUS_Projects_Database!$X742,"Link 7"),"")</f>
        <v/>
      </c>
    </row>
    <row r="743" ht="15.75" customHeight="1">
      <c r="A743" s="44" t="s">
        <v>183</v>
      </c>
      <c r="B743" s="45">
        <v>378.0</v>
      </c>
      <c r="C743" s="45" t="s">
        <v>181</v>
      </c>
      <c r="D743" s="46" t="s">
        <v>2689</v>
      </c>
      <c r="E743" s="45" t="s">
        <v>12</v>
      </c>
      <c r="F743" s="45">
        <v>2010.0</v>
      </c>
      <c r="G743" s="45" t="s">
        <v>124</v>
      </c>
      <c r="H743" s="45" t="s">
        <v>124</v>
      </c>
      <c r="I743" s="45" t="s">
        <v>124</v>
      </c>
      <c r="J743" s="45" t="s">
        <v>28</v>
      </c>
      <c r="K743" s="47" t="s">
        <v>124</v>
      </c>
      <c r="L743" s="52">
        <v>0.8</v>
      </c>
      <c r="M743" s="47">
        <v>0.8</v>
      </c>
      <c r="N743" s="45" t="s">
        <v>12</v>
      </c>
      <c r="O743" s="48" t="s">
        <v>71</v>
      </c>
      <c r="P743" s="49" t="s">
        <v>183</v>
      </c>
      <c r="Q743" s="45" t="s">
        <v>184</v>
      </c>
      <c r="R743" s="49" t="s">
        <v>2690</v>
      </c>
      <c r="S743" s="49" t="s">
        <v>2690</v>
      </c>
      <c r="T743" s="49" t="s">
        <v>124</v>
      </c>
      <c r="U743" s="49" t="s">
        <v>124</v>
      </c>
      <c r="V743" s="49" t="s">
        <v>124</v>
      </c>
      <c r="W743" s="49" t="s">
        <v>124</v>
      </c>
      <c r="X743" s="49" t="s">
        <v>124</v>
      </c>
      <c r="Y743" s="50" t="str">
        <f>IF(CCUS_Projects_Database!$R743&lt;&gt;"",HYPERLINK(CCUS_Projects_Database!$R743,"Link 1"),"")</f>
        <v>Link 1</v>
      </c>
      <c r="Z743" s="50" t="str">
        <f>IF(CCUS_Projects_Database!$S743&lt;&gt;"",HYPERLINK(CCUS_Projects_Database!$S743,"Link 2"),"")</f>
        <v>Link 2</v>
      </c>
      <c r="AA743" s="50" t="str">
        <f>IF(CCUS_Projects_Database!$T743&lt;&gt;"",HYPERLINK(CCUS_Projects_Database!$T743,"Link 3"),"")</f>
        <v/>
      </c>
      <c r="AB743" s="50" t="str">
        <f>IF(CCUS_Projects_Database!$U743&lt;&gt;"",HYPERLINK(CCUS_Projects_Database!$U743,"Link 4"),"")</f>
        <v/>
      </c>
      <c r="AC743" s="50" t="str">
        <f>IF(CCUS_Projects_Database!$V743&lt;&gt;"",HYPERLINK(CCUS_Projects_Database!$V743,"Link 5"),"")</f>
        <v/>
      </c>
      <c r="AD743" s="50" t="str">
        <f>IF(CCUS_Projects_Database!$W743&lt;&gt;"",HYPERLINK(CCUS_Projects_Database!$W743,"Link 6"),"")</f>
        <v/>
      </c>
      <c r="AE743" s="50" t="str">
        <f>IF(CCUS_Projects_Database!$X743&lt;&gt;"",HYPERLINK(CCUS_Projects_Database!$X743,"Link 7"),"")</f>
        <v/>
      </c>
    </row>
    <row r="744" ht="15.75" customHeight="1">
      <c r="A744" s="37" t="s">
        <v>2691</v>
      </c>
      <c r="B744" s="38">
        <v>574.0</v>
      </c>
      <c r="C744" s="38" t="s">
        <v>239</v>
      </c>
      <c r="D744" s="39" t="s">
        <v>2692</v>
      </c>
      <c r="E744" s="38" t="s">
        <v>14</v>
      </c>
      <c r="F744" s="38">
        <v>2021.0</v>
      </c>
      <c r="G744" s="38">
        <v>2024.0</v>
      </c>
      <c r="H744" s="38">
        <v>2025.0</v>
      </c>
      <c r="I744" s="38" t="s">
        <v>124</v>
      </c>
      <c r="J744" s="38" t="s">
        <v>28</v>
      </c>
      <c r="K744" s="40">
        <v>2.0</v>
      </c>
      <c r="L744" s="51">
        <v>2.1</v>
      </c>
      <c r="M744" s="40">
        <v>3.0</v>
      </c>
      <c r="N744" s="38" t="s">
        <v>14</v>
      </c>
      <c r="O744" s="41" t="s">
        <v>71</v>
      </c>
      <c r="P744" s="42" t="s">
        <v>856</v>
      </c>
      <c r="Q744" s="38" t="s">
        <v>143</v>
      </c>
      <c r="R744" s="42" t="s">
        <v>857</v>
      </c>
      <c r="S744" s="42" t="s">
        <v>124</v>
      </c>
      <c r="T744" s="42" t="s">
        <v>124</v>
      </c>
      <c r="U744" s="42" t="s">
        <v>124</v>
      </c>
      <c r="V744" s="42" t="s">
        <v>124</v>
      </c>
      <c r="W744" s="42" t="s">
        <v>124</v>
      </c>
      <c r="X744" s="42" t="s">
        <v>124</v>
      </c>
      <c r="Y744" s="43" t="str">
        <f>IF(CCUS_Projects_Database!$R744&lt;&gt;"",HYPERLINK(CCUS_Projects_Database!$R744,"Link 1"),"")</f>
        <v>Link 1</v>
      </c>
      <c r="Z744" s="43" t="str">
        <f>IF(CCUS_Projects_Database!$S744&lt;&gt;"",HYPERLINK(CCUS_Projects_Database!$S744,"Link 2"),"")</f>
        <v/>
      </c>
      <c r="AA744" s="43" t="str">
        <f>IF(CCUS_Projects_Database!$T744&lt;&gt;"",HYPERLINK(CCUS_Projects_Database!$T744,"Link 3"),"")</f>
        <v/>
      </c>
      <c r="AB744" s="43" t="str">
        <f>IF(CCUS_Projects_Database!$U744&lt;&gt;"",HYPERLINK(CCUS_Projects_Database!$U744,"Link 4"),"")</f>
        <v/>
      </c>
      <c r="AC744" s="43" t="str">
        <f>IF(CCUS_Projects_Database!$V744&lt;&gt;"",HYPERLINK(CCUS_Projects_Database!$V744,"Link 5"),"")</f>
        <v/>
      </c>
      <c r="AD744" s="43" t="str">
        <f>IF(CCUS_Projects_Database!$W744&lt;&gt;"",HYPERLINK(CCUS_Projects_Database!$W744,"Link 6"),"")</f>
        <v/>
      </c>
      <c r="AE744" s="43" t="str">
        <f>IF(CCUS_Projects_Database!$X744&lt;&gt;"",HYPERLINK(CCUS_Projects_Database!$X744,"Link 7"),"")</f>
        <v/>
      </c>
    </row>
    <row r="745" ht="15.75" customHeight="1">
      <c r="A745" s="44" t="s">
        <v>2693</v>
      </c>
      <c r="B745" s="45">
        <v>960.0</v>
      </c>
      <c r="C745" s="45" t="s">
        <v>141</v>
      </c>
      <c r="D745" s="46" t="s">
        <v>2694</v>
      </c>
      <c r="E745" s="45" t="s">
        <v>12</v>
      </c>
      <c r="F745" s="45">
        <v>2023.0</v>
      </c>
      <c r="G745" s="45" t="s">
        <v>124</v>
      </c>
      <c r="H745" s="45" t="s">
        <v>124</v>
      </c>
      <c r="I745" s="45" t="s">
        <v>124</v>
      </c>
      <c r="J745" s="45" t="s">
        <v>28</v>
      </c>
      <c r="K745" s="47" t="s">
        <v>124</v>
      </c>
      <c r="L745" s="47"/>
      <c r="M745" s="47" t="s">
        <v>124</v>
      </c>
      <c r="N745" s="45" t="s">
        <v>12</v>
      </c>
      <c r="O745" s="48" t="s">
        <v>71</v>
      </c>
      <c r="P745" s="49" t="s">
        <v>2693</v>
      </c>
      <c r="Q745" s="45" t="s">
        <v>143</v>
      </c>
      <c r="R745" s="49" t="s">
        <v>155</v>
      </c>
      <c r="S745" s="49" t="s">
        <v>124</v>
      </c>
      <c r="T745" s="49" t="s">
        <v>124</v>
      </c>
      <c r="U745" s="49" t="s">
        <v>124</v>
      </c>
      <c r="V745" s="49" t="s">
        <v>124</v>
      </c>
      <c r="W745" s="49" t="s">
        <v>124</v>
      </c>
      <c r="X745" s="49" t="s">
        <v>124</v>
      </c>
      <c r="Y745" s="50" t="str">
        <f>IF(CCUS_Projects_Database!$R745&lt;&gt;"",HYPERLINK(CCUS_Projects_Database!$R745,"Link 1"),"")</f>
        <v>Link 1</v>
      </c>
      <c r="Z745" s="50" t="str">
        <f>IF(CCUS_Projects_Database!$S745&lt;&gt;"",HYPERLINK(CCUS_Projects_Database!$S745,"Link 2"),"")</f>
        <v/>
      </c>
      <c r="AA745" s="50" t="str">
        <f>IF(CCUS_Projects_Database!$T745&lt;&gt;"",HYPERLINK(CCUS_Projects_Database!$T745,"Link 3"),"")</f>
        <v/>
      </c>
      <c r="AB745" s="50" t="str">
        <f>IF(CCUS_Projects_Database!$U745&lt;&gt;"",HYPERLINK(CCUS_Projects_Database!$U745,"Link 4"),"")</f>
        <v/>
      </c>
      <c r="AC745" s="50" t="str">
        <f>IF(CCUS_Projects_Database!$V745&lt;&gt;"",HYPERLINK(CCUS_Projects_Database!$V745,"Link 5"),"")</f>
        <v/>
      </c>
      <c r="AD745" s="50" t="str">
        <f>IF(CCUS_Projects_Database!$W745&lt;&gt;"",HYPERLINK(CCUS_Projects_Database!$W745,"Link 6"),"")</f>
        <v/>
      </c>
      <c r="AE745" s="50" t="str">
        <f>IF(CCUS_Projects_Database!$X745&lt;&gt;"",HYPERLINK(CCUS_Projects_Database!$X745,"Link 7"),"")</f>
        <v/>
      </c>
    </row>
    <row r="746" ht="15.75" customHeight="1">
      <c r="A746" s="37" t="s">
        <v>2695</v>
      </c>
      <c r="B746" s="38">
        <v>1045.0</v>
      </c>
      <c r="C746" s="38" t="s">
        <v>247</v>
      </c>
      <c r="D746" s="39" t="s">
        <v>2696</v>
      </c>
      <c r="E746" s="38" t="s">
        <v>16</v>
      </c>
      <c r="F746" s="38">
        <v>2019.0</v>
      </c>
      <c r="G746" s="38" t="s">
        <v>124</v>
      </c>
      <c r="H746" s="38" t="s">
        <v>124</v>
      </c>
      <c r="I746" s="38" t="s">
        <v>124</v>
      </c>
      <c r="J746" s="38" t="s">
        <v>28</v>
      </c>
      <c r="K746" s="40" t="s">
        <v>124</v>
      </c>
      <c r="L746" s="40"/>
      <c r="M746" s="40">
        <v>0.274</v>
      </c>
      <c r="N746" s="38" t="s">
        <v>60</v>
      </c>
      <c r="O746" s="41" t="s">
        <v>75</v>
      </c>
      <c r="P746" s="42" t="s">
        <v>124</v>
      </c>
      <c r="Q746" s="38" t="s">
        <v>125</v>
      </c>
      <c r="R746" s="42" t="s">
        <v>2697</v>
      </c>
      <c r="S746" s="42" t="s">
        <v>124</v>
      </c>
      <c r="T746" s="42" t="s">
        <v>124</v>
      </c>
      <c r="U746" s="42" t="s">
        <v>124</v>
      </c>
      <c r="V746" s="42" t="s">
        <v>124</v>
      </c>
      <c r="W746" s="42" t="s">
        <v>124</v>
      </c>
      <c r="X746" s="42" t="s">
        <v>124</v>
      </c>
      <c r="Y746" s="43" t="str">
        <f>IF(CCUS_Projects_Database!$R746&lt;&gt;"",HYPERLINK(CCUS_Projects_Database!$R746,"Link 1"),"")</f>
        <v>Link 1</v>
      </c>
      <c r="Z746" s="43" t="str">
        <f>IF(CCUS_Projects_Database!$S746&lt;&gt;"",HYPERLINK(CCUS_Projects_Database!$S746,"Link 2"),"")</f>
        <v/>
      </c>
      <c r="AA746" s="43" t="str">
        <f>IF(CCUS_Projects_Database!$T746&lt;&gt;"",HYPERLINK(CCUS_Projects_Database!$T746,"Link 3"),"")</f>
        <v/>
      </c>
      <c r="AB746" s="43" t="str">
        <f>IF(CCUS_Projects_Database!$U746&lt;&gt;"",HYPERLINK(CCUS_Projects_Database!$U746,"Link 4"),"")</f>
        <v/>
      </c>
      <c r="AC746" s="43" t="str">
        <f>IF(CCUS_Projects_Database!$V746&lt;&gt;"",HYPERLINK(CCUS_Projects_Database!$V746,"Link 5"),"")</f>
        <v/>
      </c>
      <c r="AD746" s="43" t="str">
        <f>IF(CCUS_Projects_Database!$W746&lt;&gt;"",HYPERLINK(CCUS_Projects_Database!$W746,"Link 6"),"")</f>
        <v/>
      </c>
      <c r="AE746" s="43" t="str">
        <f>IF(CCUS_Projects_Database!$X746&lt;&gt;"",HYPERLINK(CCUS_Projects_Database!$X746,"Link 7"),"")</f>
        <v/>
      </c>
    </row>
    <row r="747" ht="15.75" customHeight="1">
      <c r="A747" s="44" t="s">
        <v>2698</v>
      </c>
      <c r="B747" s="45">
        <v>1112.0</v>
      </c>
      <c r="C747" s="45" t="s">
        <v>284</v>
      </c>
      <c r="D747" s="46" t="s">
        <v>2699</v>
      </c>
      <c r="E747" s="45" t="s">
        <v>8</v>
      </c>
      <c r="F747" s="45">
        <v>2023.0</v>
      </c>
      <c r="G747" s="45" t="s">
        <v>124</v>
      </c>
      <c r="H747" s="45">
        <v>2030.0</v>
      </c>
      <c r="I747" s="45" t="s">
        <v>124</v>
      </c>
      <c r="J747" s="45" t="s">
        <v>28</v>
      </c>
      <c r="K747" s="47" t="s">
        <v>124</v>
      </c>
      <c r="L747" s="52">
        <v>0.24</v>
      </c>
      <c r="M747" s="47">
        <v>0.24</v>
      </c>
      <c r="N747" s="45" t="s">
        <v>46</v>
      </c>
      <c r="O747" s="48" t="s">
        <v>71</v>
      </c>
      <c r="P747" s="49" t="s">
        <v>375</v>
      </c>
      <c r="Q747" s="45" t="s">
        <v>125</v>
      </c>
      <c r="R747" s="49" t="s">
        <v>2700</v>
      </c>
      <c r="S747" s="49" t="s">
        <v>124</v>
      </c>
      <c r="T747" s="49" t="s">
        <v>124</v>
      </c>
      <c r="U747" s="49" t="s">
        <v>124</v>
      </c>
      <c r="V747" s="49" t="s">
        <v>124</v>
      </c>
      <c r="W747" s="49" t="s">
        <v>124</v>
      </c>
      <c r="X747" s="49" t="s">
        <v>124</v>
      </c>
      <c r="Y747" s="50" t="str">
        <f>IF(CCUS_Projects_Database!$R747&lt;&gt;"",HYPERLINK(CCUS_Projects_Database!$R747,"Link 1"),"")</f>
        <v>Link 1</v>
      </c>
      <c r="Z747" s="50" t="str">
        <f>IF(CCUS_Projects_Database!$S747&lt;&gt;"",HYPERLINK(CCUS_Projects_Database!$S747,"Link 2"),"")</f>
        <v/>
      </c>
      <c r="AA747" s="50" t="str">
        <f>IF(CCUS_Projects_Database!$T747&lt;&gt;"",HYPERLINK(CCUS_Projects_Database!$T747,"Link 3"),"")</f>
        <v/>
      </c>
      <c r="AB747" s="50" t="str">
        <f>IF(CCUS_Projects_Database!$U747&lt;&gt;"",HYPERLINK(CCUS_Projects_Database!$U747,"Link 4"),"")</f>
        <v/>
      </c>
      <c r="AC747" s="50" t="str">
        <f>IF(CCUS_Projects_Database!$V747&lt;&gt;"",HYPERLINK(CCUS_Projects_Database!$V747,"Link 5"),"")</f>
        <v/>
      </c>
      <c r="AD747" s="50" t="str">
        <f>IF(CCUS_Projects_Database!$W747&lt;&gt;"",HYPERLINK(CCUS_Projects_Database!$W747,"Link 6"),"")</f>
        <v/>
      </c>
      <c r="AE747" s="50" t="str">
        <f>IF(CCUS_Projects_Database!$X747&lt;&gt;"",HYPERLINK(CCUS_Projects_Database!$X747,"Link 7"),"")</f>
        <v/>
      </c>
    </row>
    <row r="748" ht="15.75" customHeight="1">
      <c r="A748" s="37" t="s">
        <v>2701</v>
      </c>
      <c r="B748" s="38">
        <v>786.0</v>
      </c>
      <c r="C748" s="38" t="s">
        <v>299</v>
      </c>
      <c r="D748" s="39" t="s">
        <v>2702</v>
      </c>
      <c r="E748" s="38" t="s">
        <v>12</v>
      </c>
      <c r="F748" s="38">
        <v>2022.0</v>
      </c>
      <c r="G748" s="38" t="s">
        <v>124</v>
      </c>
      <c r="H748" s="38">
        <v>2026.0</v>
      </c>
      <c r="I748" s="38" t="s">
        <v>124</v>
      </c>
      <c r="J748" s="38" t="s">
        <v>28</v>
      </c>
      <c r="K748" s="40" t="s">
        <v>124</v>
      </c>
      <c r="L748" s="51">
        <v>0.5</v>
      </c>
      <c r="M748" s="40">
        <v>0.5</v>
      </c>
      <c r="N748" s="38" t="s">
        <v>12</v>
      </c>
      <c r="O748" s="41" t="s">
        <v>71</v>
      </c>
      <c r="P748" s="42" t="s">
        <v>124</v>
      </c>
      <c r="Q748" s="38" t="s">
        <v>125</v>
      </c>
      <c r="R748" s="42" t="s">
        <v>2502</v>
      </c>
      <c r="S748" s="42" t="s">
        <v>2703</v>
      </c>
      <c r="T748" s="42" t="s">
        <v>2704</v>
      </c>
      <c r="U748" s="42" t="s">
        <v>124</v>
      </c>
      <c r="V748" s="42" t="s">
        <v>124</v>
      </c>
      <c r="W748" s="42" t="s">
        <v>124</v>
      </c>
      <c r="X748" s="42" t="s">
        <v>124</v>
      </c>
      <c r="Y748" s="43" t="str">
        <f>IF(CCUS_Projects_Database!$R748&lt;&gt;"",HYPERLINK(CCUS_Projects_Database!$R748,"Link 1"),"")</f>
        <v>Link 1</v>
      </c>
      <c r="Z748" s="43" t="str">
        <f>IF(CCUS_Projects_Database!$S748&lt;&gt;"",HYPERLINK(CCUS_Projects_Database!$S748,"Link 2"),"")</f>
        <v>Link 2</v>
      </c>
      <c r="AA748" s="43" t="str">
        <f>IF(CCUS_Projects_Database!$T748&lt;&gt;"",HYPERLINK(CCUS_Projects_Database!$T748,"Link 3"),"")</f>
        <v>Link 3</v>
      </c>
      <c r="AB748" s="43" t="str">
        <f>IF(CCUS_Projects_Database!$U748&lt;&gt;"",HYPERLINK(CCUS_Projects_Database!$U748,"Link 4"),"")</f>
        <v/>
      </c>
      <c r="AC748" s="43" t="str">
        <f>IF(CCUS_Projects_Database!$V748&lt;&gt;"",HYPERLINK(CCUS_Projects_Database!$V748,"Link 5"),"")</f>
        <v/>
      </c>
      <c r="AD748" s="43" t="str">
        <f>IF(CCUS_Projects_Database!$W748&lt;&gt;"",HYPERLINK(CCUS_Projects_Database!$W748,"Link 6"),"")</f>
        <v/>
      </c>
      <c r="AE748" s="43" t="str">
        <f>IF(CCUS_Projects_Database!$X748&lt;&gt;"",HYPERLINK(CCUS_Projects_Database!$X748,"Link 7"),"")</f>
        <v/>
      </c>
    </row>
    <row r="749" ht="15.75" customHeight="1">
      <c r="A749" s="44" t="s">
        <v>2705</v>
      </c>
      <c r="B749" s="45">
        <v>380.0</v>
      </c>
      <c r="C749" s="45" t="s">
        <v>257</v>
      </c>
      <c r="D749" s="46" t="s">
        <v>2706</v>
      </c>
      <c r="E749" s="45" t="s">
        <v>8</v>
      </c>
      <c r="F749" s="45">
        <v>2021.0</v>
      </c>
      <c r="G749" s="45">
        <v>2024.0</v>
      </c>
      <c r="H749" s="45">
        <v>2026.0</v>
      </c>
      <c r="I749" s="45" t="s">
        <v>124</v>
      </c>
      <c r="J749" s="45" t="s">
        <v>28</v>
      </c>
      <c r="K749" s="47" t="s">
        <v>124</v>
      </c>
      <c r="L749" s="52">
        <v>0.8</v>
      </c>
      <c r="M749" s="47">
        <v>0.8</v>
      </c>
      <c r="N749" s="45" t="s">
        <v>46</v>
      </c>
      <c r="O749" s="48" t="s">
        <v>71</v>
      </c>
      <c r="P749" s="49" t="s">
        <v>124</v>
      </c>
      <c r="Q749" s="45" t="s">
        <v>125</v>
      </c>
      <c r="R749" s="49" t="s">
        <v>2707</v>
      </c>
      <c r="S749" s="49" t="s">
        <v>2708</v>
      </c>
      <c r="T749" s="49" t="s">
        <v>1120</v>
      </c>
      <c r="U749" s="49" t="s">
        <v>2709</v>
      </c>
      <c r="V749" s="49" t="s">
        <v>2710</v>
      </c>
      <c r="W749" s="49" t="s">
        <v>1834</v>
      </c>
      <c r="X749" s="49" t="s">
        <v>1323</v>
      </c>
      <c r="Y749" s="50" t="str">
        <f>IF(CCUS_Projects_Database!$R749&lt;&gt;"",HYPERLINK(CCUS_Projects_Database!$R749,"Link 1"),"")</f>
        <v>Link 1</v>
      </c>
      <c r="Z749" s="50" t="str">
        <f>IF(CCUS_Projects_Database!$S749&lt;&gt;"",HYPERLINK(CCUS_Projects_Database!$S749,"Link 2"),"")</f>
        <v>Link 2</v>
      </c>
      <c r="AA749" s="50" t="str">
        <f>IF(CCUS_Projects_Database!$T749&lt;&gt;"",HYPERLINK(CCUS_Projects_Database!$T749,"Link 3"),"")</f>
        <v>Link 3</v>
      </c>
      <c r="AB749" s="50" t="str">
        <f>IF(CCUS_Projects_Database!$U749&lt;&gt;"",HYPERLINK(CCUS_Projects_Database!$U749,"Link 4"),"")</f>
        <v>Link 4</v>
      </c>
      <c r="AC749" s="50" t="str">
        <f>IF(CCUS_Projects_Database!$V749&lt;&gt;"",HYPERLINK(CCUS_Projects_Database!$V749,"Link 5"),"")</f>
        <v>Link 5</v>
      </c>
      <c r="AD749" s="50" t="str">
        <f>IF(CCUS_Projects_Database!$W749&lt;&gt;"",HYPERLINK(CCUS_Projects_Database!$W749,"Link 6"),"")</f>
        <v>Link 6</v>
      </c>
      <c r="AE749" s="50" t="str">
        <f>IF(CCUS_Projects_Database!$X749&lt;&gt;"",HYPERLINK(CCUS_Projects_Database!$X749,"Link 7"),"")</f>
        <v>Link 7</v>
      </c>
    </row>
    <row r="750" ht="15.75" customHeight="1">
      <c r="A750" s="37" t="s">
        <v>2711</v>
      </c>
      <c r="B750" s="38">
        <v>115.0</v>
      </c>
      <c r="C750" s="38" t="s">
        <v>141</v>
      </c>
      <c r="D750" s="39" t="s">
        <v>2712</v>
      </c>
      <c r="E750" s="38" t="s">
        <v>6</v>
      </c>
      <c r="F750" s="38">
        <v>2019.0</v>
      </c>
      <c r="G750" s="38">
        <v>2022.0</v>
      </c>
      <c r="H750" s="38">
        <v>2025.0</v>
      </c>
      <c r="I750" s="38" t="s">
        <v>124</v>
      </c>
      <c r="J750" s="38" t="s">
        <v>30</v>
      </c>
      <c r="K750" s="40">
        <v>1.0</v>
      </c>
      <c r="L750" s="51">
        <v>0.5</v>
      </c>
      <c r="M750" s="40">
        <v>0.5</v>
      </c>
      <c r="N750" s="38" t="s">
        <v>64</v>
      </c>
      <c r="O750" s="41" t="s">
        <v>432</v>
      </c>
      <c r="P750" s="42" t="s">
        <v>124</v>
      </c>
      <c r="Q750" s="38" t="s">
        <v>143</v>
      </c>
      <c r="R750" s="42" t="s">
        <v>2713</v>
      </c>
      <c r="S750" s="42" t="s">
        <v>2714</v>
      </c>
      <c r="T750" s="42" t="s">
        <v>2715</v>
      </c>
      <c r="U750" s="42" t="s">
        <v>124</v>
      </c>
      <c r="V750" s="42" t="s">
        <v>124</v>
      </c>
      <c r="W750" s="42" t="s">
        <v>124</v>
      </c>
      <c r="X750" s="42" t="s">
        <v>124</v>
      </c>
      <c r="Y750" s="43" t="str">
        <f>IF(CCUS_Projects_Database!$R750&lt;&gt;"",HYPERLINK(CCUS_Projects_Database!$R750,"Link 1"),"")</f>
        <v>Link 1</v>
      </c>
      <c r="Z750" s="43" t="str">
        <f>IF(CCUS_Projects_Database!$S750&lt;&gt;"",HYPERLINK(CCUS_Projects_Database!$S750,"Link 2"),"")</f>
        <v>Link 2</v>
      </c>
      <c r="AA750" s="43" t="str">
        <f>IF(CCUS_Projects_Database!$T750&lt;&gt;"",HYPERLINK(CCUS_Projects_Database!$T750,"Link 3"),"")</f>
        <v>Link 3</v>
      </c>
      <c r="AB750" s="43" t="str">
        <f>IF(CCUS_Projects_Database!$U750&lt;&gt;"",HYPERLINK(CCUS_Projects_Database!$U750,"Link 4"),"")</f>
        <v/>
      </c>
      <c r="AC750" s="43" t="str">
        <f>IF(CCUS_Projects_Database!$V750&lt;&gt;"",HYPERLINK(CCUS_Projects_Database!$V750,"Link 5"),"")</f>
        <v/>
      </c>
      <c r="AD750" s="43" t="str">
        <f>IF(CCUS_Projects_Database!$W750&lt;&gt;"",HYPERLINK(CCUS_Projects_Database!$W750,"Link 6"),"")</f>
        <v/>
      </c>
      <c r="AE750" s="43" t="str">
        <f>IF(CCUS_Projects_Database!$X750&lt;&gt;"",HYPERLINK(CCUS_Projects_Database!$X750,"Link 7"),"")</f>
        <v/>
      </c>
    </row>
    <row r="751" ht="15.75" customHeight="1">
      <c r="A751" s="44" t="s">
        <v>2716</v>
      </c>
      <c r="B751" s="45">
        <v>622.0</v>
      </c>
      <c r="C751" s="45" t="s">
        <v>2717</v>
      </c>
      <c r="D751" s="46" t="s">
        <v>2718</v>
      </c>
      <c r="E751" s="45" t="s">
        <v>6</v>
      </c>
      <c r="F751" s="45">
        <v>2023.0</v>
      </c>
      <c r="G751" s="45" t="s">
        <v>124</v>
      </c>
      <c r="H751" s="45">
        <v>2027.0</v>
      </c>
      <c r="I751" s="45" t="s">
        <v>124</v>
      </c>
      <c r="J751" s="45" t="s">
        <v>28</v>
      </c>
      <c r="K751" s="47" t="s">
        <v>124</v>
      </c>
      <c r="L751" s="52">
        <v>1.6</v>
      </c>
      <c r="M751" s="47">
        <v>1.6</v>
      </c>
      <c r="N751" s="45" t="s">
        <v>48</v>
      </c>
      <c r="O751" s="48" t="s">
        <v>71</v>
      </c>
      <c r="P751" s="49" t="s">
        <v>124</v>
      </c>
      <c r="Q751" s="45" t="s">
        <v>1430</v>
      </c>
      <c r="R751" s="49" t="s">
        <v>2719</v>
      </c>
      <c r="S751" s="49" t="s">
        <v>2720</v>
      </c>
      <c r="T751" s="49" t="s">
        <v>124</v>
      </c>
      <c r="U751" s="49" t="s">
        <v>124</v>
      </c>
      <c r="V751" s="49" t="s">
        <v>124</v>
      </c>
      <c r="W751" s="49" t="s">
        <v>124</v>
      </c>
      <c r="X751" s="49" t="s">
        <v>124</v>
      </c>
      <c r="Y751" s="50" t="str">
        <f>IF(CCUS_Projects_Database!$R751&lt;&gt;"",HYPERLINK(CCUS_Projects_Database!$R751,"Link 1"),"")</f>
        <v>Link 1</v>
      </c>
      <c r="Z751" s="50" t="str">
        <f>IF(CCUS_Projects_Database!$S751&lt;&gt;"",HYPERLINK(CCUS_Projects_Database!$S751,"Link 2"),"")</f>
        <v>Link 2</v>
      </c>
      <c r="AA751" s="50" t="str">
        <f>IF(CCUS_Projects_Database!$T751&lt;&gt;"",HYPERLINK(CCUS_Projects_Database!$T751,"Link 3"),"")</f>
        <v/>
      </c>
      <c r="AB751" s="50" t="str">
        <f>IF(CCUS_Projects_Database!$U751&lt;&gt;"",HYPERLINK(CCUS_Projects_Database!$U751,"Link 4"),"")</f>
        <v/>
      </c>
      <c r="AC751" s="50" t="str">
        <f>IF(CCUS_Projects_Database!$V751&lt;&gt;"",HYPERLINK(CCUS_Projects_Database!$V751,"Link 5"),"")</f>
        <v/>
      </c>
      <c r="AD751" s="50" t="str">
        <f>IF(CCUS_Projects_Database!$W751&lt;&gt;"",HYPERLINK(CCUS_Projects_Database!$W751,"Link 6"),"")</f>
        <v/>
      </c>
      <c r="AE751" s="50" t="str">
        <f>IF(CCUS_Projects_Database!$X751&lt;&gt;"",HYPERLINK(CCUS_Projects_Database!$X751,"Link 7"),"")</f>
        <v/>
      </c>
    </row>
    <row r="752" ht="15.75" customHeight="1">
      <c r="A752" s="37" t="s">
        <v>2721</v>
      </c>
      <c r="B752" s="38">
        <v>837.0</v>
      </c>
      <c r="C752" s="38" t="s">
        <v>1302</v>
      </c>
      <c r="D752" s="39" t="s">
        <v>2722</v>
      </c>
      <c r="E752" s="38" t="s">
        <v>12</v>
      </c>
      <c r="F752" s="38">
        <v>2023.0</v>
      </c>
      <c r="G752" s="38" t="s">
        <v>124</v>
      </c>
      <c r="H752" s="38" t="s">
        <v>124</v>
      </c>
      <c r="I752" s="38" t="s">
        <v>124</v>
      </c>
      <c r="J752" s="38" t="s">
        <v>28</v>
      </c>
      <c r="K752" s="40" t="s">
        <v>124</v>
      </c>
      <c r="L752" s="40"/>
      <c r="M752" s="40" t="s">
        <v>124</v>
      </c>
      <c r="N752" s="38" t="s">
        <v>12</v>
      </c>
      <c r="O752" s="41" t="s">
        <v>71</v>
      </c>
      <c r="P752" s="42" t="s">
        <v>124</v>
      </c>
      <c r="Q752" s="38" t="s">
        <v>1304</v>
      </c>
      <c r="R752" s="42" t="s">
        <v>2723</v>
      </c>
      <c r="S752" s="42" t="s">
        <v>124</v>
      </c>
      <c r="T752" s="42" t="s">
        <v>124</v>
      </c>
      <c r="U752" s="42" t="s">
        <v>124</v>
      </c>
      <c r="V752" s="42" t="s">
        <v>124</v>
      </c>
      <c r="W752" s="42" t="s">
        <v>124</v>
      </c>
      <c r="X752" s="42" t="s">
        <v>124</v>
      </c>
      <c r="Y752" s="43" t="str">
        <f>IF(CCUS_Projects_Database!$R752&lt;&gt;"",HYPERLINK(CCUS_Projects_Database!$R752,"Link 1"),"")</f>
        <v>Link 1</v>
      </c>
      <c r="Z752" s="43" t="str">
        <f>IF(CCUS_Projects_Database!$S752&lt;&gt;"",HYPERLINK(CCUS_Projects_Database!$S752,"Link 2"),"")</f>
        <v/>
      </c>
      <c r="AA752" s="43" t="str">
        <f>IF(CCUS_Projects_Database!$T752&lt;&gt;"",HYPERLINK(CCUS_Projects_Database!$T752,"Link 3"),"")</f>
        <v/>
      </c>
      <c r="AB752" s="43" t="str">
        <f>IF(CCUS_Projects_Database!$U752&lt;&gt;"",HYPERLINK(CCUS_Projects_Database!$U752,"Link 4"),"")</f>
        <v/>
      </c>
      <c r="AC752" s="43" t="str">
        <f>IF(CCUS_Projects_Database!$V752&lt;&gt;"",HYPERLINK(CCUS_Projects_Database!$V752,"Link 5"),"")</f>
        <v/>
      </c>
      <c r="AD752" s="43" t="str">
        <f>IF(CCUS_Projects_Database!$W752&lt;&gt;"",HYPERLINK(CCUS_Projects_Database!$W752,"Link 6"),"")</f>
        <v/>
      </c>
      <c r="AE752" s="43" t="str">
        <f>IF(CCUS_Projects_Database!$X752&lt;&gt;"",HYPERLINK(CCUS_Projects_Database!$X752,"Link 7"),"")</f>
        <v/>
      </c>
    </row>
    <row r="753" ht="15.75" customHeight="1">
      <c r="A753" s="44" t="s">
        <v>2724</v>
      </c>
      <c r="B753" s="45">
        <v>383.0</v>
      </c>
      <c r="C753" s="45" t="s">
        <v>949</v>
      </c>
      <c r="D753" s="46" t="s">
        <v>2725</v>
      </c>
      <c r="E753" s="45" t="s">
        <v>6</v>
      </c>
      <c r="F753" s="45">
        <v>2021.0</v>
      </c>
      <c r="G753" s="45" t="s">
        <v>124</v>
      </c>
      <c r="H753" s="45">
        <v>2027.0</v>
      </c>
      <c r="I753" s="45" t="s">
        <v>124</v>
      </c>
      <c r="J753" s="45" t="s">
        <v>28</v>
      </c>
      <c r="K753" s="47" t="s">
        <v>124</v>
      </c>
      <c r="L753" s="47"/>
      <c r="M753" s="47" t="s">
        <v>124</v>
      </c>
      <c r="N753" s="45" t="s">
        <v>136</v>
      </c>
      <c r="O753" s="48" t="s">
        <v>73</v>
      </c>
      <c r="P753" s="49" t="s">
        <v>124</v>
      </c>
      <c r="Q753" s="45" t="s">
        <v>951</v>
      </c>
      <c r="R753" s="49" t="s">
        <v>2726</v>
      </c>
      <c r="S753" s="49" t="s">
        <v>124</v>
      </c>
      <c r="T753" s="49" t="s">
        <v>124</v>
      </c>
      <c r="U753" s="49" t="s">
        <v>124</v>
      </c>
      <c r="V753" s="49" t="s">
        <v>124</v>
      </c>
      <c r="W753" s="49" t="s">
        <v>124</v>
      </c>
      <c r="X753" s="49" t="s">
        <v>124</v>
      </c>
      <c r="Y753" s="50" t="str">
        <f>IF(CCUS_Projects_Database!$R753&lt;&gt;"",HYPERLINK(CCUS_Projects_Database!$R753,"Link 1"),"")</f>
        <v>Link 1</v>
      </c>
      <c r="Z753" s="50" t="str">
        <f>IF(CCUS_Projects_Database!$S753&lt;&gt;"",HYPERLINK(CCUS_Projects_Database!$S753,"Link 2"),"")</f>
        <v/>
      </c>
      <c r="AA753" s="50" t="str">
        <f>IF(CCUS_Projects_Database!$T753&lt;&gt;"",HYPERLINK(CCUS_Projects_Database!$T753,"Link 3"),"")</f>
        <v/>
      </c>
      <c r="AB753" s="50" t="str">
        <f>IF(CCUS_Projects_Database!$U753&lt;&gt;"",HYPERLINK(CCUS_Projects_Database!$U753,"Link 4"),"")</f>
        <v/>
      </c>
      <c r="AC753" s="50" t="str">
        <f>IF(CCUS_Projects_Database!$V753&lt;&gt;"",HYPERLINK(CCUS_Projects_Database!$V753,"Link 5"),"")</f>
        <v/>
      </c>
      <c r="AD753" s="50" t="str">
        <f>IF(CCUS_Projects_Database!$W753&lt;&gt;"",HYPERLINK(CCUS_Projects_Database!$W753,"Link 6"),"")</f>
        <v/>
      </c>
      <c r="AE753" s="50" t="str">
        <f>IF(CCUS_Projects_Database!$X753&lt;&gt;"",HYPERLINK(CCUS_Projects_Database!$X753,"Link 7"),"")</f>
        <v/>
      </c>
    </row>
    <row r="754" ht="15.75" customHeight="1">
      <c r="A754" s="37" t="s">
        <v>2727</v>
      </c>
      <c r="B754" s="38">
        <v>384.0</v>
      </c>
      <c r="C754" s="38" t="s">
        <v>157</v>
      </c>
      <c r="D754" s="39" t="s">
        <v>2728</v>
      </c>
      <c r="E754" s="38" t="s">
        <v>8</v>
      </c>
      <c r="F754" s="38">
        <v>2020.0</v>
      </c>
      <c r="G754" s="38">
        <v>2025.0</v>
      </c>
      <c r="H754" s="38">
        <v>2027.0</v>
      </c>
      <c r="I754" s="38" t="s">
        <v>124</v>
      </c>
      <c r="J754" s="38" t="s">
        <v>28</v>
      </c>
      <c r="K754" s="40" t="s">
        <v>124</v>
      </c>
      <c r="L754" s="51">
        <v>0.24</v>
      </c>
      <c r="M754" s="40">
        <v>0.24</v>
      </c>
      <c r="N754" s="38" t="s">
        <v>46</v>
      </c>
      <c r="O754" s="41" t="s">
        <v>71</v>
      </c>
      <c r="P754" s="42" t="s">
        <v>281</v>
      </c>
      <c r="Q754" s="38" t="s">
        <v>125</v>
      </c>
      <c r="R754" s="42" t="s">
        <v>2729</v>
      </c>
      <c r="S754" s="42" t="s">
        <v>2730</v>
      </c>
      <c r="T754" s="42" t="s">
        <v>124</v>
      </c>
      <c r="U754" s="42" t="s">
        <v>124</v>
      </c>
      <c r="V754" s="42" t="s">
        <v>124</v>
      </c>
      <c r="W754" s="42" t="s">
        <v>124</v>
      </c>
      <c r="X754" s="42" t="s">
        <v>124</v>
      </c>
      <c r="Y754" s="43" t="str">
        <f>IF(CCUS_Projects_Database!$R754&lt;&gt;"",HYPERLINK(CCUS_Projects_Database!$R754,"Link 1"),"")</f>
        <v>Link 1</v>
      </c>
      <c r="Z754" s="43" t="str">
        <f>IF(CCUS_Projects_Database!$S754&lt;&gt;"",HYPERLINK(CCUS_Projects_Database!$S754,"Link 2"),"")</f>
        <v>Link 2</v>
      </c>
      <c r="AA754" s="43" t="str">
        <f>IF(CCUS_Projects_Database!$T754&lt;&gt;"",HYPERLINK(CCUS_Projects_Database!$T754,"Link 3"),"")</f>
        <v/>
      </c>
      <c r="AB754" s="43" t="str">
        <f>IF(CCUS_Projects_Database!$U754&lt;&gt;"",HYPERLINK(CCUS_Projects_Database!$U754,"Link 4"),"")</f>
        <v/>
      </c>
      <c r="AC754" s="43" t="str">
        <f>IF(CCUS_Projects_Database!$V754&lt;&gt;"",HYPERLINK(CCUS_Projects_Database!$V754,"Link 5"),"")</f>
        <v/>
      </c>
      <c r="AD754" s="43" t="str">
        <f>IF(CCUS_Projects_Database!$W754&lt;&gt;"",HYPERLINK(CCUS_Projects_Database!$W754,"Link 6"),"")</f>
        <v/>
      </c>
      <c r="AE754" s="43" t="str">
        <f>IF(CCUS_Projects_Database!$X754&lt;&gt;"",HYPERLINK(CCUS_Projects_Database!$X754,"Link 7"),"")</f>
        <v/>
      </c>
    </row>
    <row r="755" ht="15.75" customHeight="1">
      <c r="A755" s="44" t="s">
        <v>2731</v>
      </c>
      <c r="B755" s="45">
        <v>230.0</v>
      </c>
      <c r="C755" s="45" t="s">
        <v>146</v>
      </c>
      <c r="D755" s="46" t="s">
        <v>2732</v>
      </c>
      <c r="E755" s="45" t="s">
        <v>6</v>
      </c>
      <c r="F755" s="45">
        <v>2020.0</v>
      </c>
      <c r="G755" s="45">
        <v>2024.0</v>
      </c>
      <c r="H755" s="45">
        <v>2025.0</v>
      </c>
      <c r="I755" s="45" t="s">
        <v>124</v>
      </c>
      <c r="J755" s="45" t="s">
        <v>28</v>
      </c>
      <c r="K755" s="47" t="s">
        <v>124</v>
      </c>
      <c r="L755" s="52">
        <v>0.7</v>
      </c>
      <c r="M755" s="47">
        <v>0.93</v>
      </c>
      <c r="N755" s="45" t="s">
        <v>48</v>
      </c>
      <c r="O755" s="48" t="s">
        <v>73</v>
      </c>
      <c r="P755" s="49" t="s">
        <v>124</v>
      </c>
      <c r="Q755" s="45" t="s">
        <v>148</v>
      </c>
      <c r="R755" s="49" t="s">
        <v>2733</v>
      </c>
      <c r="S755" s="49" t="s">
        <v>2734</v>
      </c>
      <c r="T755" s="49" t="s">
        <v>124</v>
      </c>
      <c r="U755" s="49" t="s">
        <v>124</v>
      </c>
      <c r="V755" s="49" t="s">
        <v>124</v>
      </c>
      <c r="W755" s="49" t="s">
        <v>124</v>
      </c>
      <c r="X755" s="49" t="s">
        <v>124</v>
      </c>
      <c r="Y755" s="50" t="str">
        <f>IF(CCUS_Projects_Database!$R755&lt;&gt;"",HYPERLINK(CCUS_Projects_Database!$R755,"Link 1"),"")</f>
        <v>Link 1</v>
      </c>
      <c r="Z755" s="50" t="str">
        <f>IF(CCUS_Projects_Database!$S755&lt;&gt;"",HYPERLINK(CCUS_Projects_Database!$S755,"Link 2"),"")</f>
        <v>Link 2</v>
      </c>
      <c r="AA755" s="50" t="str">
        <f>IF(CCUS_Projects_Database!$T755&lt;&gt;"",HYPERLINK(CCUS_Projects_Database!$T755,"Link 3"),"")</f>
        <v/>
      </c>
      <c r="AB755" s="50" t="str">
        <f>IF(CCUS_Projects_Database!$U755&lt;&gt;"",HYPERLINK(CCUS_Projects_Database!$U755,"Link 4"),"")</f>
        <v/>
      </c>
      <c r="AC755" s="50" t="str">
        <f>IF(CCUS_Projects_Database!$V755&lt;&gt;"",HYPERLINK(CCUS_Projects_Database!$V755,"Link 5"),"")</f>
        <v/>
      </c>
      <c r="AD755" s="50" t="str">
        <f>IF(CCUS_Projects_Database!$W755&lt;&gt;"",HYPERLINK(CCUS_Projects_Database!$W755,"Link 6"),"")</f>
        <v/>
      </c>
      <c r="AE755" s="50" t="str">
        <f>IF(CCUS_Projects_Database!$X755&lt;&gt;"",HYPERLINK(CCUS_Projects_Database!$X755,"Link 7"),"")</f>
        <v/>
      </c>
    </row>
    <row r="756" ht="15.75" customHeight="1">
      <c r="A756" s="37" t="s">
        <v>2735</v>
      </c>
      <c r="B756" s="38">
        <v>610.0</v>
      </c>
      <c r="C756" s="38" t="s">
        <v>239</v>
      </c>
      <c r="D756" s="39" t="s">
        <v>2736</v>
      </c>
      <c r="E756" s="38" t="s">
        <v>8</v>
      </c>
      <c r="F756" s="38">
        <v>2022.0</v>
      </c>
      <c r="G756" s="38" t="s">
        <v>124</v>
      </c>
      <c r="H756" s="38" t="s">
        <v>124</v>
      </c>
      <c r="I756" s="38" t="s">
        <v>124</v>
      </c>
      <c r="J756" s="38" t="s">
        <v>28</v>
      </c>
      <c r="K756" s="40" t="s">
        <v>124</v>
      </c>
      <c r="L756" s="40"/>
      <c r="M756" s="40" t="s">
        <v>124</v>
      </c>
      <c r="N756" s="38" t="s">
        <v>54</v>
      </c>
      <c r="O756" s="41" t="s">
        <v>77</v>
      </c>
      <c r="P756" s="42" t="s">
        <v>124</v>
      </c>
      <c r="Q756" s="38" t="s">
        <v>143</v>
      </c>
      <c r="R756" s="42" t="s">
        <v>2737</v>
      </c>
      <c r="S756" s="42" t="s">
        <v>124</v>
      </c>
      <c r="T756" s="42" t="s">
        <v>124</v>
      </c>
      <c r="U756" s="42" t="s">
        <v>124</v>
      </c>
      <c r="V756" s="42" t="s">
        <v>124</v>
      </c>
      <c r="W756" s="42" t="s">
        <v>124</v>
      </c>
      <c r="X756" s="42" t="s">
        <v>124</v>
      </c>
      <c r="Y756" s="43" t="str">
        <f>IF(CCUS_Projects_Database!$R756&lt;&gt;"",HYPERLINK(CCUS_Projects_Database!$R756,"Link 1"),"")</f>
        <v>Link 1</v>
      </c>
      <c r="Z756" s="43" t="str">
        <f>IF(CCUS_Projects_Database!$S756&lt;&gt;"",HYPERLINK(CCUS_Projects_Database!$S756,"Link 2"),"")</f>
        <v/>
      </c>
      <c r="AA756" s="43" t="str">
        <f>IF(CCUS_Projects_Database!$T756&lt;&gt;"",HYPERLINK(CCUS_Projects_Database!$T756,"Link 3"),"")</f>
        <v/>
      </c>
      <c r="AB756" s="43" t="str">
        <f>IF(CCUS_Projects_Database!$U756&lt;&gt;"",HYPERLINK(CCUS_Projects_Database!$U756,"Link 4"),"")</f>
        <v/>
      </c>
      <c r="AC756" s="43" t="str">
        <f>IF(CCUS_Projects_Database!$V756&lt;&gt;"",HYPERLINK(CCUS_Projects_Database!$V756,"Link 5"),"")</f>
        <v/>
      </c>
      <c r="AD756" s="43" t="str">
        <f>IF(CCUS_Projects_Database!$W756&lt;&gt;"",HYPERLINK(CCUS_Projects_Database!$W756,"Link 6"),"")</f>
        <v/>
      </c>
      <c r="AE756" s="43" t="str">
        <f>IF(CCUS_Projects_Database!$X756&lt;&gt;"",HYPERLINK(CCUS_Projects_Database!$X756,"Link 7"),"")</f>
        <v/>
      </c>
    </row>
    <row r="757" ht="15.75" customHeight="1">
      <c r="A757" s="44" t="s">
        <v>2738</v>
      </c>
      <c r="B757" s="45">
        <v>762.0</v>
      </c>
      <c r="C757" s="45" t="s">
        <v>146</v>
      </c>
      <c r="D757" s="46" t="s">
        <v>2739</v>
      </c>
      <c r="E757" s="45" t="s">
        <v>12</v>
      </c>
      <c r="F757" s="45">
        <v>2022.0</v>
      </c>
      <c r="G757" s="45" t="s">
        <v>124</v>
      </c>
      <c r="H757" s="45">
        <v>2030.0</v>
      </c>
      <c r="I757" s="45" t="s">
        <v>124</v>
      </c>
      <c r="J757" s="45" t="s">
        <v>28</v>
      </c>
      <c r="K757" s="47" t="s">
        <v>124</v>
      </c>
      <c r="L757" s="47"/>
      <c r="M757" s="47" t="s">
        <v>124</v>
      </c>
      <c r="N757" s="45" t="s">
        <v>12</v>
      </c>
      <c r="O757" s="48" t="s">
        <v>71</v>
      </c>
      <c r="P757" s="49" t="s">
        <v>2738</v>
      </c>
      <c r="Q757" s="45" t="s">
        <v>148</v>
      </c>
      <c r="R757" s="49" t="s">
        <v>365</v>
      </c>
      <c r="S757" s="49" t="s">
        <v>758</v>
      </c>
      <c r="T757" s="49" t="s">
        <v>2740</v>
      </c>
      <c r="U757" s="49" t="s">
        <v>2741</v>
      </c>
      <c r="V757" s="49" t="s">
        <v>124</v>
      </c>
      <c r="W757" s="49" t="s">
        <v>124</v>
      </c>
      <c r="X757" s="49" t="s">
        <v>124</v>
      </c>
      <c r="Y757" s="50" t="str">
        <f>IF(CCUS_Projects_Database!$R757&lt;&gt;"",HYPERLINK(CCUS_Projects_Database!$R757,"Link 1"),"")</f>
        <v>Link 1</v>
      </c>
      <c r="Z757" s="50" t="str">
        <f>IF(CCUS_Projects_Database!$S757&lt;&gt;"",HYPERLINK(CCUS_Projects_Database!$S757,"Link 2"),"")</f>
        <v>Link 2</v>
      </c>
      <c r="AA757" s="50" t="str">
        <f>IF(CCUS_Projects_Database!$T757&lt;&gt;"",HYPERLINK(CCUS_Projects_Database!$T757,"Link 3"),"")</f>
        <v>Link 3</v>
      </c>
      <c r="AB757" s="50" t="str">
        <f>IF(CCUS_Projects_Database!$U757&lt;&gt;"",HYPERLINK(CCUS_Projects_Database!$U757,"Link 4"),"")</f>
        <v>Link 4</v>
      </c>
      <c r="AC757" s="50" t="str">
        <f>IF(CCUS_Projects_Database!$V757&lt;&gt;"",HYPERLINK(CCUS_Projects_Database!$V757,"Link 5"),"")</f>
        <v/>
      </c>
      <c r="AD757" s="50" t="str">
        <f>IF(CCUS_Projects_Database!$W757&lt;&gt;"",HYPERLINK(CCUS_Projects_Database!$W757,"Link 6"),"")</f>
        <v/>
      </c>
      <c r="AE757" s="50" t="str">
        <f>IF(CCUS_Projects_Database!$X757&lt;&gt;"",HYPERLINK(CCUS_Projects_Database!$X757,"Link 7"),"")</f>
        <v/>
      </c>
    </row>
    <row r="758" ht="15.75" customHeight="1">
      <c r="A758" s="37" t="s">
        <v>2742</v>
      </c>
      <c r="B758" s="38">
        <v>989.0</v>
      </c>
      <c r="C758" s="38" t="s">
        <v>257</v>
      </c>
      <c r="D758" s="39" t="s">
        <v>1278</v>
      </c>
      <c r="E758" s="38" t="s">
        <v>8</v>
      </c>
      <c r="F758" s="38">
        <v>2023.0</v>
      </c>
      <c r="G758" s="38">
        <v>2024.0</v>
      </c>
      <c r="H758" s="38">
        <v>2026.0</v>
      </c>
      <c r="I758" s="38" t="s">
        <v>124</v>
      </c>
      <c r="J758" s="38" t="s">
        <v>28</v>
      </c>
      <c r="K758" s="40">
        <v>2.0</v>
      </c>
      <c r="L758" s="40"/>
      <c r="M758" s="40">
        <v>0.063</v>
      </c>
      <c r="N758" s="38" t="s">
        <v>46</v>
      </c>
      <c r="O758" s="41" t="s">
        <v>71</v>
      </c>
      <c r="P758" s="42" t="s">
        <v>124</v>
      </c>
      <c r="Q758" s="38" t="s">
        <v>125</v>
      </c>
      <c r="R758" s="42" t="s">
        <v>1279</v>
      </c>
      <c r="S758" s="42" t="s">
        <v>1276</v>
      </c>
      <c r="T758" s="42" t="s">
        <v>124</v>
      </c>
      <c r="U758" s="42" t="s">
        <v>124</v>
      </c>
      <c r="V758" s="42" t="s">
        <v>124</v>
      </c>
      <c r="W758" s="42" t="s">
        <v>124</v>
      </c>
      <c r="X758" s="42" t="s">
        <v>124</v>
      </c>
      <c r="Y758" s="43" t="str">
        <f>IF(CCUS_Projects_Database!$R758&lt;&gt;"",HYPERLINK(CCUS_Projects_Database!$R758,"Link 1"),"")</f>
        <v>Link 1</v>
      </c>
      <c r="Z758" s="43" t="str">
        <f>IF(CCUS_Projects_Database!$S758&lt;&gt;"",HYPERLINK(CCUS_Projects_Database!$S758,"Link 2"),"")</f>
        <v>Link 2</v>
      </c>
      <c r="AA758" s="43" t="str">
        <f>IF(CCUS_Projects_Database!$T758&lt;&gt;"",HYPERLINK(CCUS_Projects_Database!$T758,"Link 3"),"")</f>
        <v/>
      </c>
      <c r="AB758" s="43" t="str">
        <f>IF(CCUS_Projects_Database!$U758&lt;&gt;"",HYPERLINK(CCUS_Projects_Database!$U758,"Link 4"),"")</f>
        <v/>
      </c>
      <c r="AC758" s="43" t="str">
        <f>IF(CCUS_Projects_Database!$V758&lt;&gt;"",HYPERLINK(CCUS_Projects_Database!$V758,"Link 5"),"")</f>
        <v/>
      </c>
      <c r="AD758" s="43" t="str">
        <f>IF(CCUS_Projects_Database!$W758&lt;&gt;"",HYPERLINK(CCUS_Projects_Database!$W758,"Link 6"),"")</f>
        <v/>
      </c>
      <c r="AE758" s="43" t="str">
        <f>IF(CCUS_Projects_Database!$X758&lt;&gt;"",HYPERLINK(CCUS_Projects_Database!$X758,"Link 7"),"")</f>
        <v/>
      </c>
    </row>
    <row r="759" ht="15.75" customHeight="1">
      <c r="A759" s="44" t="s">
        <v>2743</v>
      </c>
      <c r="B759" s="45">
        <v>977.0</v>
      </c>
      <c r="C759" s="45" t="s">
        <v>141</v>
      </c>
      <c r="D759" s="46" t="s">
        <v>2744</v>
      </c>
      <c r="E759" s="45" t="s">
        <v>8</v>
      </c>
      <c r="F759" s="45">
        <v>2023.0</v>
      </c>
      <c r="G759" s="45" t="s">
        <v>124</v>
      </c>
      <c r="H759" s="45" t="s">
        <v>124</v>
      </c>
      <c r="I759" s="45" t="s">
        <v>124</v>
      </c>
      <c r="J759" s="45" t="s">
        <v>28</v>
      </c>
      <c r="K759" s="47" t="s">
        <v>124</v>
      </c>
      <c r="L759" s="47"/>
      <c r="M759" s="47" t="s">
        <v>124</v>
      </c>
      <c r="N759" s="45" t="s">
        <v>46</v>
      </c>
      <c r="O759" s="48" t="s">
        <v>71</v>
      </c>
      <c r="P759" s="49" t="s">
        <v>262</v>
      </c>
      <c r="Q759" s="45" t="s">
        <v>143</v>
      </c>
      <c r="R759" s="49" t="s">
        <v>155</v>
      </c>
      <c r="S759" s="49" t="s">
        <v>124</v>
      </c>
      <c r="T759" s="49" t="s">
        <v>124</v>
      </c>
      <c r="U759" s="49" t="s">
        <v>124</v>
      </c>
      <c r="V759" s="49" t="s">
        <v>124</v>
      </c>
      <c r="W759" s="49" t="s">
        <v>124</v>
      </c>
      <c r="X759" s="49" t="s">
        <v>124</v>
      </c>
      <c r="Y759" s="50" t="str">
        <f>IF(CCUS_Projects_Database!$R759&lt;&gt;"",HYPERLINK(CCUS_Projects_Database!$R759,"Link 1"),"")</f>
        <v>Link 1</v>
      </c>
      <c r="Z759" s="50" t="str">
        <f>IF(CCUS_Projects_Database!$S759&lt;&gt;"",HYPERLINK(CCUS_Projects_Database!$S759,"Link 2"),"")</f>
        <v/>
      </c>
      <c r="AA759" s="50" t="str">
        <f>IF(CCUS_Projects_Database!$T759&lt;&gt;"",HYPERLINK(CCUS_Projects_Database!$T759,"Link 3"),"")</f>
        <v/>
      </c>
      <c r="AB759" s="50" t="str">
        <f>IF(CCUS_Projects_Database!$U759&lt;&gt;"",HYPERLINK(CCUS_Projects_Database!$U759,"Link 4"),"")</f>
        <v/>
      </c>
      <c r="AC759" s="50" t="str">
        <f>IF(CCUS_Projects_Database!$V759&lt;&gt;"",HYPERLINK(CCUS_Projects_Database!$V759,"Link 5"),"")</f>
        <v/>
      </c>
      <c r="AD759" s="50" t="str">
        <f>IF(CCUS_Projects_Database!$W759&lt;&gt;"",HYPERLINK(CCUS_Projects_Database!$W759,"Link 6"),"")</f>
        <v/>
      </c>
      <c r="AE759" s="50" t="str">
        <f>IF(CCUS_Projects_Database!$X759&lt;&gt;"",HYPERLINK(CCUS_Projects_Database!$X759,"Link 7"),"")</f>
        <v/>
      </c>
    </row>
    <row r="760" ht="15.75" customHeight="1">
      <c r="A760" s="37" t="s">
        <v>2745</v>
      </c>
      <c r="B760" s="38">
        <v>827.0</v>
      </c>
      <c r="C760" s="38" t="s">
        <v>141</v>
      </c>
      <c r="D760" s="39" t="s">
        <v>2746</v>
      </c>
      <c r="E760" s="38" t="s">
        <v>8</v>
      </c>
      <c r="F760" s="38">
        <v>2023.0</v>
      </c>
      <c r="G760" s="38" t="s">
        <v>124</v>
      </c>
      <c r="H760" s="38">
        <v>2027.0</v>
      </c>
      <c r="I760" s="38" t="s">
        <v>124</v>
      </c>
      <c r="J760" s="38" t="s">
        <v>28</v>
      </c>
      <c r="K760" s="40" t="s">
        <v>124</v>
      </c>
      <c r="L760" s="40"/>
      <c r="M760" s="40">
        <v>2.4</v>
      </c>
      <c r="N760" s="38" t="s">
        <v>136</v>
      </c>
      <c r="O760" s="41" t="s">
        <v>77</v>
      </c>
      <c r="P760" s="42" t="s">
        <v>124</v>
      </c>
      <c r="Q760" s="38" t="s">
        <v>143</v>
      </c>
      <c r="R760" s="42" t="s">
        <v>2747</v>
      </c>
      <c r="S760" s="42" t="s">
        <v>124</v>
      </c>
      <c r="T760" s="42" t="s">
        <v>124</v>
      </c>
      <c r="U760" s="42" t="s">
        <v>124</v>
      </c>
      <c r="V760" s="42" t="s">
        <v>124</v>
      </c>
      <c r="W760" s="42" t="s">
        <v>124</v>
      </c>
      <c r="X760" s="42" t="s">
        <v>124</v>
      </c>
      <c r="Y760" s="43" t="str">
        <f>IF(CCUS_Projects_Database!$R760&lt;&gt;"",HYPERLINK(CCUS_Projects_Database!$R760,"Link 1"),"")</f>
        <v>Link 1</v>
      </c>
      <c r="Z760" s="43" t="str">
        <f>IF(CCUS_Projects_Database!$S760&lt;&gt;"",HYPERLINK(CCUS_Projects_Database!$S760,"Link 2"),"")</f>
        <v/>
      </c>
      <c r="AA760" s="43" t="str">
        <f>IF(CCUS_Projects_Database!$T760&lt;&gt;"",HYPERLINK(CCUS_Projects_Database!$T760,"Link 3"),"")</f>
        <v/>
      </c>
      <c r="AB760" s="43" t="str">
        <f>IF(CCUS_Projects_Database!$U760&lt;&gt;"",HYPERLINK(CCUS_Projects_Database!$U760,"Link 4"),"")</f>
        <v/>
      </c>
      <c r="AC760" s="43" t="str">
        <f>IF(CCUS_Projects_Database!$V760&lt;&gt;"",HYPERLINK(CCUS_Projects_Database!$V760,"Link 5"),"")</f>
        <v/>
      </c>
      <c r="AD760" s="43" t="str">
        <f>IF(CCUS_Projects_Database!$W760&lt;&gt;"",HYPERLINK(CCUS_Projects_Database!$W760,"Link 6"),"")</f>
        <v/>
      </c>
      <c r="AE760" s="43" t="str">
        <f>IF(CCUS_Projects_Database!$X760&lt;&gt;"",HYPERLINK(CCUS_Projects_Database!$X760,"Link 7"),"")</f>
        <v/>
      </c>
    </row>
    <row r="761" ht="15.75" customHeight="1">
      <c r="A761" s="44" t="s">
        <v>2748</v>
      </c>
      <c r="B761" s="45">
        <v>716.0</v>
      </c>
      <c r="C761" s="45" t="s">
        <v>141</v>
      </c>
      <c r="D761" s="46" t="s">
        <v>2749</v>
      </c>
      <c r="E761" s="45" t="s">
        <v>14</v>
      </c>
      <c r="F761" s="45">
        <v>2023.0</v>
      </c>
      <c r="G761" s="45">
        <v>2024.0</v>
      </c>
      <c r="H761" s="45">
        <v>2028.0</v>
      </c>
      <c r="I761" s="45" t="s">
        <v>124</v>
      </c>
      <c r="J761" s="45" t="s">
        <v>28</v>
      </c>
      <c r="K761" s="47" t="s">
        <v>124</v>
      </c>
      <c r="L761" s="52">
        <v>1.8</v>
      </c>
      <c r="M761" s="47">
        <v>1.8</v>
      </c>
      <c r="N761" s="45" t="s">
        <v>14</v>
      </c>
      <c r="O761" s="48" t="s">
        <v>71</v>
      </c>
      <c r="P761" s="49" t="s">
        <v>2748</v>
      </c>
      <c r="Q761" s="45" t="s">
        <v>143</v>
      </c>
      <c r="R761" s="49" t="s">
        <v>613</v>
      </c>
      <c r="S761" s="49" t="s">
        <v>2750</v>
      </c>
      <c r="T761" s="49" t="s">
        <v>2031</v>
      </c>
      <c r="U761" s="49" t="s">
        <v>124</v>
      </c>
      <c r="V761" s="49" t="s">
        <v>124</v>
      </c>
      <c r="W761" s="49" t="s">
        <v>124</v>
      </c>
      <c r="X761" s="49" t="s">
        <v>124</v>
      </c>
      <c r="Y761" s="50" t="str">
        <f>IF(CCUS_Projects_Database!$R761&lt;&gt;"",HYPERLINK(CCUS_Projects_Database!$R761,"Link 1"),"")</f>
        <v>Link 1</v>
      </c>
      <c r="Z761" s="50" t="str">
        <f>IF(CCUS_Projects_Database!$S761&lt;&gt;"",HYPERLINK(CCUS_Projects_Database!$S761,"Link 2"),"")</f>
        <v>Link 2</v>
      </c>
      <c r="AA761" s="50" t="str">
        <f>IF(CCUS_Projects_Database!$T761&lt;&gt;"",HYPERLINK(CCUS_Projects_Database!$T761,"Link 3"),"")</f>
        <v>Link 3</v>
      </c>
      <c r="AB761" s="50" t="str">
        <f>IF(CCUS_Projects_Database!$U761&lt;&gt;"",HYPERLINK(CCUS_Projects_Database!$U761,"Link 4"),"")</f>
        <v/>
      </c>
      <c r="AC761" s="50" t="str">
        <f>IF(CCUS_Projects_Database!$V761&lt;&gt;"",HYPERLINK(CCUS_Projects_Database!$V761,"Link 5"),"")</f>
        <v/>
      </c>
      <c r="AD761" s="50" t="str">
        <f>IF(CCUS_Projects_Database!$W761&lt;&gt;"",HYPERLINK(CCUS_Projects_Database!$W761,"Link 6"),"")</f>
        <v/>
      </c>
      <c r="AE761" s="50" t="str">
        <f>IF(CCUS_Projects_Database!$X761&lt;&gt;"",HYPERLINK(CCUS_Projects_Database!$X761,"Link 7"),"")</f>
        <v/>
      </c>
    </row>
    <row r="762" ht="15.75" customHeight="1">
      <c r="A762" s="37" t="s">
        <v>2751</v>
      </c>
      <c r="B762" s="38">
        <v>261.0</v>
      </c>
      <c r="C762" s="38" t="s">
        <v>141</v>
      </c>
      <c r="D762" s="39" t="s">
        <v>2752</v>
      </c>
      <c r="E762" s="38" t="s">
        <v>8</v>
      </c>
      <c r="F762" s="38">
        <v>2021.0</v>
      </c>
      <c r="G762" s="38" t="s">
        <v>124</v>
      </c>
      <c r="H762" s="38">
        <v>2026.0</v>
      </c>
      <c r="I762" s="38" t="s">
        <v>124</v>
      </c>
      <c r="J762" s="38" t="s">
        <v>28</v>
      </c>
      <c r="K762" s="40" t="s">
        <v>124</v>
      </c>
      <c r="L762" s="51">
        <v>1.1</v>
      </c>
      <c r="M762" s="40">
        <v>1.1</v>
      </c>
      <c r="N762" s="38" t="s">
        <v>136</v>
      </c>
      <c r="O762" s="41" t="s">
        <v>71</v>
      </c>
      <c r="P762" s="42" t="s">
        <v>124</v>
      </c>
      <c r="Q762" s="38" t="s">
        <v>143</v>
      </c>
      <c r="R762" s="42" t="s">
        <v>1919</v>
      </c>
      <c r="S762" s="42" t="s">
        <v>2753</v>
      </c>
      <c r="T762" s="42" t="s">
        <v>124</v>
      </c>
      <c r="U762" s="42" t="s">
        <v>124</v>
      </c>
      <c r="V762" s="42" t="s">
        <v>124</v>
      </c>
      <c r="W762" s="42" t="s">
        <v>124</v>
      </c>
      <c r="X762" s="42" t="s">
        <v>124</v>
      </c>
      <c r="Y762" s="43" t="str">
        <f>IF(CCUS_Projects_Database!$R762&lt;&gt;"",HYPERLINK(CCUS_Projects_Database!$R762,"Link 1"),"")</f>
        <v>Link 1</v>
      </c>
      <c r="Z762" s="43" t="str">
        <f>IF(CCUS_Projects_Database!$S762&lt;&gt;"",HYPERLINK(CCUS_Projects_Database!$S762,"Link 2"),"")</f>
        <v>Link 2</v>
      </c>
      <c r="AA762" s="43" t="str">
        <f>IF(CCUS_Projects_Database!$T762&lt;&gt;"",HYPERLINK(CCUS_Projects_Database!$T762,"Link 3"),"")</f>
        <v/>
      </c>
      <c r="AB762" s="43" t="str">
        <f>IF(CCUS_Projects_Database!$U762&lt;&gt;"",HYPERLINK(CCUS_Projects_Database!$U762,"Link 4"),"")</f>
        <v/>
      </c>
      <c r="AC762" s="43" t="str">
        <f>IF(CCUS_Projects_Database!$V762&lt;&gt;"",HYPERLINK(CCUS_Projects_Database!$V762,"Link 5"),"")</f>
        <v/>
      </c>
      <c r="AD762" s="43" t="str">
        <f>IF(CCUS_Projects_Database!$W762&lt;&gt;"",HYPERLINK(CCUS_Projects_Database!$W762,"Link 6"),"")</f>
        <v/>
      </c>
      <c r="AE762" s="43" t="str">
        <f>IF(CCUS_Projects_Database!$X762&lt;&gt;"",HYPERLINK(CCUS_Projects_Database!$X762,"Link 7"),"")</f>
        <v/>
      </c>
    </row>
    <row r="763" ht="15.75" customHeight="1">
      <c r="A763" s="44" t="s">
        <v>2449</v>
      </c>
      <c r="B763" s="45">
        <v>797.0</v>
      </c>
      <c r="C763" s="45" t="s">
        <v>141</v>
      </c>
      <c r="D763" s="46" t="s">
        <v>2754</v>
      </c>
      <c r="E763" s="45" t="s">
        <v>12</v>
      </c>
      <c r="F763" s="45">
        <v>2023.0</v>
      </c>
      <c r="G763" s="45" t="s">
        <v>124</v>
      </c>
      <c r="H763" s="45" t="s">
        <v>124</v>
      </c>
      <c r="I763" s="45" t="s">
        <v>124</v>
      </c>
      <c r="J763" s="45" t="s">
        <v>28</v>
      </c>
      <c r="K763" s="47" t="s">
        <v>124</v>
      </c>
      <c r="L763" s="52">
        <v>1.27</v>
      </c>
      <c r="M763" s="47">
        <v>1.27</v>
      </c>
      <c r="N763" s="45" t="s">
        <v>12</v>
      </c>
      <c r="O763" s="48" t="s">
        <v>71</v>
      </c>
      <c r="P763" s="49" t="s">
        <v>2449</v>
      </c>
      <c r="Q763" s="45" t="s">
        <v>143</v>
      </c>
      <c r="R763" s="49" t="s">
        <v>1693</v>
      </c>
      <c r="S763" s="49" t="s">
        <v>2755</v>
      </c>
      <c r="T763" s="49" t="s">
        <v>124</v>
      </c>
      <c r="U763" s="49" t="s">
        <v>124</v>
      </c>
      <c r="V763" s="49" t="s">
        <v>124</v>
      </c>
      <c r="W763" s="49" t="s">
        <v>124</v>
      </c>
      <c r="X763" s="49" t="s">
        <v>124</v>
      </c>
      <c r="Y763" s="50" t="str">
        <f>IF(CCUS_Projects_Database!$R763&lt;&gt;"",HYPERLINK(CCUS_Projects_Database!$R763,"Link 1"),"")</f>
        <v>Link 1</v>
      </c>
      <c r="Z763" s="50" t="str">
        <f>IF(CCUS_Projects_Database!$S763&lt;&gt;"",HYPERLINK(CCUS_Projects_Database!$S763,"Link 2"),"")</f>
        <v>Link 2</v>
      </c>
      <c r="AA763" s="50" t="str">
        <f>IF(CCUS_Projects_Database!$T763&lt;&gt;"",HYPERLINK(CCUS_Projects_Database!$T763,"Link 3"),"")</f>
        <v/>
      </c>
      <c r="AB763" s="50" t="str">
        <f>IF(CCUS_Projects_Database!$U763&lt;&gt;"",HYPERLINK(CCUS_Projects_Database!$U763,"Link 4"),"")</f>
        <v/>
      </c>
      <c r="AC763" s="50" t="str">
        <f>IF(CCUS_Projects_Database!$V763&lt;&gt;"",HYPERLINK(CCUS_Projects_Database!$V763,"Link 5"),"")</f>
        <v/>
      </c>
      <c r="AD763" s="50" t="str">
        <f>IF(CCUS_Projects_Database!$W763&lt;&gt;"",HYPERLINK(CCUS_Projects_Database!$W763,"Link 6"),"")</f>
        <v/>
      </c>
      <c r="AE763" s="50" t="str">
        <f>IF(CCUS_Projects_Database!$X763&lt;&gt;"",HYPERLINK(CCUS_Projects_Database!$X763,"Link 7"),"")</f>
        <v/>
      </c>
    </row>
    <row r="764" ht="15.75" customHeight="1">
      <c r="A764" s="37" t="s">
        <v>2756</v>
      </c>
      <c r="B764" s="38">
        <v>387.0</v>
      </c>
      <c r="C764" s="38" t="s">
        <v>196</v>
      </c>
      <c r="D764" s="39" t="s">
        <v>2757</v>
      </c>
      <c r="E764" s="38" t="s">
        <v>6</v>
      </c>
      <c r="F764" s="38">
        <v>2020.0</v>
      </c>
      <c r="G764" s="38">
        <v>2024.0</v>
      </c>
      <c r="H764" s="38">
        <v>2025.0</v>
      </c>
      <c r="I764" s="38" t="s">
        <v>124</v>
      </c>
      <c r="J764" s="38" t="s">
        <v>28</v>
      </c>
      <c r="K764" s="40" t="s">
        <v>124</v>
      </c>
      <c r="L764" s="40"/>
      <c r="M764" s="40">
        <v>1.658</v>
      </c>
      <c r="N764" s="38" t="s">
        <v>136</v>
      </c>
      <c r="O764" s="41" t="s">
        <v>77</v>
      </c>
      <c r="P764" s="42" t="s">
        <v>124</v>
      </c>
      <c r="Q764" s="38" t="s">
        <v>137</v>
      </c>
      <c r="R764" s="42" t="s">
        <v>2758</v>
      </c>
      <c r="S764" s="42" t="s">
        <v>2759</v>
      </c>
      <c r="T764" s="42" t="s">
        <v>2760</v>
      </c>
      <c r="U764" s="42" t="s">
        <v>2761</v>
      </c>
      <c r="V764" s="42" t="s">
        <v>124</v>
      </c>
      <c r="W764" s="42" t="s">
        <v>124</v>
      </c>
      <c r="X764" s="42" t="s">
        <v>124</v>
      </c>
      <c r="Y764" s="43" t="str">
        <f>IF(CCUS_Projects_Database!$R764&lt;&gt;"",HYPERLINK(CCUS_Projects_Database!$R764,"Link 1"),"")</f>
        <v>Link 1</v>
      </c>
      <c r="Z764" s="43" t="str">
        <f>IF(CCUS_Projects_Database!$S764&lt;&gt;"",HYPERLINK(CCUS_Projects_Database!$S764,"Link 2"),"")</f>
        <v>Link 2</v>
      </c>
      <c r="AA764" s="43" t="str">
        <f>IF(CCUS_Projects_Database!$T764&lt;&gt;"",HYPERLINK(CCUS_Projects_Database!$T764,"Link 3"),"")</f>
        <v>Link 3</v>
      </c>
      <c r="AB764" s="43" t="str">
        <f>IF(CCUS_Projects_Database!$U764&lt;&gt;"",HYPERLINK(CCUS_Projects_Database!$U764,"Link 4"),"")</f>
        <v>Link 4</v>
      </c>
      <c r="AC764" s="43" t="str">
        <f>IF(CCUS_Projects_Database!$V764&lt;&gt;"",HYPERLINK(CCUS_Projects_Database!$V764,"Link 5"),"")</f>
        <v/>
      </c>
      <c r="AD764" s="43" t="str">
        <f>IF(CCUS_Projects_Database!$W764&lt;&gt;"",HYPERLINK(CCUS_Projects_Database!$W764,"Link 6"),"")</f>
        <v/>
      </c>
      <c r="AE764" s="43" t="str">
        <f>IF(CCUS_Projects_Database!$X764&lt;&gt;"",HYPERLINK(CCUS_Projects_Database!$X764,"Link 7"),"")</f>
        <v/>
      </c>
    </row>
    <row r="765" ht="15.75" customHeight="1">
      <c r="A765" s="44" t="s">
        <v>2762</v>
      </c>
      <c r="B765" s="45">
        <v>1076.0</v>
      </c>
      <c r="C765" s="45" t="s">
        <v>2763</v>
      </c>
      <c r="D765" s="46" t="s">
        <v>2764</v>
      </c>
      <c r="E765" s="45" t="s">
        <v>8</v>
      </c>
      <c r="F765" s="45">
        <v>2024.0</v>
      </c>
      <c r="G765" s="45" t="s">
        <v>124</v>
      </c>
      <c r="H765" s="45">
        <v>2026.0</v>
      </c>
      <c r="I765" s="45" t="s">
        <v>124</v>
      </c>
      <c r="J765" s="45" t="s">
        <v>28</v>
      </c>
      <c r="K765" s="47" t="s">
        <v>124</v>
      </c>
      <c r="L765" s="52">
        <v>0.1</v>
      </c>
      <c r="M765" s="47">
        <v>0.1</v>
      </c>
      <c r="N765" s="45" t="s">
        <v>56</v>
      </c>
      <c r="O765" s="48" t="s">
        <v>77</v>
      </c>
      <c r="P765" s="49" t="s">
        <v>124</v>
      </c>
      <c r="Q765" s="45" t="s">
        <v>148</v>
      </c>
      <c r="R765" s="49" t="s">
        <v>2765</v>
      </c>
      <c r="S765" s="49" t="s">
        <v>124</v>
      </c>
      <c r="T765" s="49" t="s">
        <v>124</v>
      </c>
      <c r="U765" s="49" t="s">
        <v>124</v>
      </c>
      <c r="V765" s="49" t="s">
        <v>124</v>
      </c>
      <c r="W765" s="49" t="s">
        <v>124</v>
      </c>
      <c r="X765" s="49" t="s">
        <v>124</v>
      </c>
      <c r="Y765" s="50" t="str">
        <f>IF(CCUS_Projects_Database!$R765&lt;&gt;"",HYPERLINK(CCUS_Projects_Database!$R765,"Link 1"),"")</f>
        <v>Link 1</v>
      </c>
      <c r="Z765" s="50" t="str">
        <f>IF(CCUS_Projects_Database!$S765&lt;&gt;"",HYPERLINK(CCUS_Projects_Database!$S765,"Link 2"),"")</f>
        <v/>
      </c>
      <c r="AA765" s="50" t="str">
        <f>IF(CCUS_Projects_Database!$T765&lt;&gt;"",HYPERLINK(CCUS_Projects_Database!$T765,"Link 3"),"")</f>
        <v/>
      </c>
      <c r="AB765" s="50" t="str">
        <f>IF(CCUS_Projects_Database!$U765&lt;&gt;"",HYPERLINK(CCUS_Projects_Database!$U765,"Link 4"),"")</f>
        <v/>
      </c>
      <c r="AC765" s="50" t="str">
        <f>IF(CCUS_Projects_Database!$V765&lt;&gt;"",HYPERLINK(CCUS_Projects_Database!$V765,"Link 5"),"")</f>
        <v/>
      </c>
      <c r="AD765" s="50" t="str">
        <f>IF(CCUS_Projects_Database!$W765&lt;&gt;"",HYPERLINK(CCUS_Projects_Database!$W765,"Link 6"),"")</f>
        <v/>
      </c>
      <c r="AE765" s="50" t="str">
        <f>IF(CCUS_Projects_Database!$X765&lt;&gt;"",HYPERLINK(CCUS_Projects_Database!$X765,"Link 7"),"")</f>
        <v/>
      </c>
    </row>
    <row r="766" ht="15.75" customHeight="1">
      <c r="A766" s="37" t="s">
        <v>2766</v>
      </c>
      <c r="B766" s="38">
        <v>494.0</v>
      </c>
      <c r="C766" s="38" t="s">
        <v>2763</v>
      </c>
      <c r="D766" s="39" t="s">
        <v>2767</v>
      </c>
      <c r="E766" s="38" t="s">
        <v>16</v>
      </c>
      <c r="F766" s="38">
        <v>2019.0</v>
      </c>
      <c r="G766" s="38" t="s">
        <v>124</v>
      </c>
      <c r="H766" s="38">
        <v>2030.0</v>
      </c>
      <c r="I766" s="38" t="s">
        <v>124</v>
      </c>
      <c r="J766" s="38" t="s">
        <v>28</v>
      </c>
      <c r="K766" s="40">
        <v>1.0</v>
      </c>
      <c r="L766" s="51">
        <v>0.1</v>
      </c>
      <c r="M766" s="40">
        <v>0.1</v>
      </c>
      <c r="N766" s="38" t="s">
        <v>56</v>
      </c>
      <c r="O766" s="41" t="s">
        <v>75</v>
      </c>
      <c r="P766" s="42" t="s">
        <v>124</v>
      </c>
      <c r="Q766" s="38" t="s">
        <v>148</v>
      </c>
      <c r="R766" s="42" t="s">
        <v>2768</v>
      </c>
      <c r="S766" s="42" t="s">
        <v>124</v>
      </c>
      <c r="T766" s="42" t="s">
        <v>124</v>
      </c>
      <c r="U766" s="42" t="s">
        <v>124</v>
      </c>
      <c r="V766" s="42" t="s">
        <v>124</v>
      </c>
      <c r="W766" s="42" t="s">
        <v>124</v>
      </c>
      <c r="X766" s="42" t="s">
        <v>124</v>
      </c>
      <c r="Y766" s="43" t="str">
        <f>IF(CCUS_Projects_Database!$R766&lt;&gt;"",HYPERLINK(CCUS_Projects_Database!$R766,"Link 1"),"")</f>
        <v>Link 1</v>
      </c>
      <c r="Z766" s="43" t="str">
        <f>IF(CCUS_Projects_Database!$S766&lt;&gt;"",HYPERLINK(CCUS_Projects_Database!$S766,"Link 2"),"")</f>
        <v/>
      </c>
      <c r="AA766" s="43" t="str">
        <f>IF(CCUS_Projects_Database!$T766&lt;&gt;"",HYPERLINK(CCUS_Projects_Database!$T766,"Link 3"),"")</f>
        <v/>
      </c>
      <c r="AB766" s="43" t="str">
        <f>IF(CCUS_Projects_Database!$U766&lt;&gt;"",HYPERLINK(CCUS_Projects_Database!$U766,"Link 4"),"")</f>
        <v/>
      </c>
      <c r="AC766" s="43" t="str">
        <f>IF(CCUS_Projects_Database!$V766&lt;&gt;"",HYPERLINK(CCUS_Projects_Database!$V766,"Link 5"),"")</f>
        <v/>
      </c>
      <c r="AD766" s="43" t="str">
        <f>IF(CCUS_Projects_Database!$W766&lt;&gt;"",HYPERLINK(CCUS_Projects_Database!$W766,"Link 6"),"")</f>
        <v/>
      </c>
      <c r="AE766" s="43" t="str">
        <f>IF(CCUS_Projects_Database!$X766&lt;&gt;"",HYPERLINK(CCUS_Projects_Database!$X766,"Link 7"),"")</f>
        <v/>
      </c>
    </row>
    <row r="767" ht="15.75" customHeight="1">
      <c r="A767" s="44" t="s">
        <v>2769</v>
      </c>
      <c r="B767" s="45">
        <v>998.0</v>
      </c>
      <c r="C767" s="45" t="s">
        <v>146</v>
      </c>
      <c r="D767" s="46" t="s">
        <v>2770</v>
      </c>
      <c r="E767" s="45" t="s">
        <v>135</v>
      </c>
      <c r="F767" s="45">
        <v>2023.0</v>
      </c>
      <c r="G767" s="45" t="s">
        <v>124</v>
      </c>
      <c r="H767" s="45" t="s">
        <v>124</v>
      </c>
      <c r="I767" s="45" t="s">
        <v>124</v>
      </c>
      <c r="J767" s="45" t="s">
        <v>28</v>
      </c>
      <c r="K767" s="47" t="s">
        <v>124</v>
      </c>
      <c r="L767" s="47"/>
      <c r="M767" s="47" t="s">
        <v>124</v>
      </c>
      <c r="N767" s="45" t="s">
        <v>46</v>
      </c>
      <c r="O767" s="48" t="s">
        <v>77</v>
      </c>
      <c r="P767" s="49" t="s">
        <v>124</v>
      </c>
      <c r="Q767" s="45" t="s">
        <v>148</v>
      </c>
      <c r="R767" s="49" t="s">
        <v>2771</v>
      </c>
      <c r="S767" s="49" t="s">
        <v>124</v>
      </c>
      <c r="T767" s="49" t="s">
        <v>124</v>
      </c>
      <c r="U767" s="49" t="s">
        <v>124</v>
      </c>
      <c r="V767" s="49" t="s">
        <v>124</v>
      </c>
      <c r="W767" s="49" t="s">
        <v>124</v>
      </c>
      <c r="X767" s="49" t="s">
        <v>124</v>
      </c>
      <c r="Y767" s="50" t="str">
        <f>IF(CCUS_Projects_Database!$R767&lt;&gt;"",HYPERLINK(CCUS_Projects_Database!$R767,"Link 1"),"")</f>
        <v>Link 1</v>
      </c>
      <c r="Z767" s="50" t="str">
        <f>IF(CCUS_Projects_Database!$S767&lt;&gt;"",HYPERLINK(CCUS_Projects_Database!$S767,"Link 2"),"")</f>
        <v/>
      </c>
      <c r="AA767" s="50" t="str">
        <f>IF(CCUS_Projects_Database!$T767&lt;&gt;"",HYPERLINK(CCUS_Projects_Database!$T767,"Link 3"),"")</f>
        <v/>
      </c>
      <c r="AB767" s="50" t="str">
        <f>IF(CCUS_Projects_Database!$U767&lt;&gt;"",HYPERLINK(CCUS_Projects_Database!$U767,"Link 4"),"")</f>
        <v/>
      </c>
      <c r="AC767" s="50" t="str">
        <f>IF(CCUS_Projects_Database!$V767&lt;&gt;"",HYPERLINK(CCUS_Projects_Database!$V767,"Link 5"),"")</f>
        <v/>
      </c>
      <c r="AD767" s="50" t="str">
        <f>IF(CCUS_Projects_Database!$W767&lt;&gt;"",HYPERLINK(CCUS_Projects_Database!$W767,"Link 6"),"")</f>
        <v/>
      </c>
      <c r="AE767" s="50" t="str">
        <f>IF(CCUS_Projects_Database!$X767&lt;&gt;"",HYPERLINK(CCUS_Projects_Database!$X767,"Link 7"),"")</f>
        <v/>
      </c>
    </row>
    <row r="768" ht="15.75" customHeight="1">
      <c r="A768" s="37" t="s">
        <v>2772</v>
      </c>
      <c r="B768" s="38">
        <v>1011.0</v>
      </c>
      <c r="C768" s="38" t="s">
        <v>141</v>
      </c>
      <c r="D768" s="39" t="s">
        <v>2773</v>
      </c>
      <c r="E768" s="38" t="s">
        <v>10</v>
      </c>
      <c r="F768" s="38">
        <v>2023.0</v>
      </c>
      <c r="G768" s="38" t="s">
        <v>124</v>
      </c>
      <c r="H768" s="38" t="s">
        <v>124</v>
      </c>
      <c r="I768" s="38" t="s">
        <v>124</v>
      </c>
      <c r="J768" s="38" t="s">
        <v>28</v>
      </c>
      <c r="K768" s="40" t="s">
        <v>124</v>
      </c>
      <c r="L768" s="51">
        <v>2.0</v>
      </c>
      <c r="M768" s="40">
        <v>2.0</v>
      </c>
      <c r="N768" s="38" t="s">
        <v>10</v>
      </c>
      <c r="O768" s="41" t="s">
        <v>77</v>
      </c>
      <c r="P768" s="42" t="s">
        <v>2772</v>
      </c>
      <c r="Q768" s="38" t="s">
        <v>143</v>
      </c>
      <c r="R768" s="42" t="s">
        <v>886</v>
      </c>
      <c r="S768" s="42" t="s">
        <v>887</v>
      </c>
      <c r="T768" s="42" t="s">
        <v>124</v>
      </c>
      <c r="U768" s="42" t="s">
        <v>124</v>
      </c>
      <c r="V768" s="42" t="s">
        <v>124</v>
      </c>
      <c r="W768" s="42" t="s">
        <v>124</v>
      </c>
      <c r="X768" s="42" t="s">
        <v>124</v>
      </c>
      <c r="Y768" s="43" t="str">
        <f>IF(CCUS_Projects_Database!$R768&lt;&gt;"",HYPERLINK(CCUS_Projects_Database!$R768,"Link 1"),"")</f>
        <v>Link 1</v>
      </c>
      <c r="Z768" s="43" t="str">
        <f>IF(CCUS_Projects_Database!$S768&lt;&gt;"",HYPERLINK(CCUS_Projects_Database!$S768,"Link 2"),"")</f>
        <v>Link 2</v>
      </c>
      <c r="AA768" s="43" t="str">
        <f>IF(CCUS_Projects_Database!$T768&lt;&gt;"",HYPERLINK(CCUS_Projects_Database!$T768,"Link 3"),"")</f>
        <v/>
      </c>
      <c r="AB768" s="43" t="str">
        <f>IF(CCUS_Projects_Database!$U768&lt;&gt;"",HYPERLINK(CCUS_Projects_Database!$U768,"Link 4"),"")</f>
        <v/>
      </c>
      <c r="AC768" s="43" t="str">
        <f>IF(CCUS_Projects_Database!$V768&lt;&gt;"",HYPERLINK(CCUS_Projects_Database!$V768,"Link 5"),"")</f>
        <v/>
      </c>
      <c r="AD768" s="43" t="str">
        <f>IF(CCUS_Projects_Database!$W768&lt;&gt;"",HYPERLINK(CCUS_Projects_Database!$W768,"Link 6"),"")</f>
        <v/>
      </c>
      <c r="AE768" s="43" t="str">
        <f>IF(CCUS_Projects_Database!$X768&lt;&gt;"",HYPERLINK(CCUS_Projects_Database!$X768,"Link 7"),"")</f>
        <v/>
      </c>
    </row>
    <row r="769" ht="15.75" customHeight="1">
      <c r="A769" s="44" t="s">
        <v>2774</v>
      </c>
      <c r="B769" s="45">
        <v>860.0</v>
      </c>
      <c r="C769" s="45" t="s">
        <v>146</v>
      </c>
      <c r="D769" s="46" t="s">
        <v>2752</v>
      </c>
      <c r="E769" s="45" t="s">
        <v>12</v>
      </c>
      <c r="F769" s="45">
        <v>2023.0</v>
      </c>
      <c r="G769" s="45" t="s">
        <v>124</v>
      </c>
      <c r="H769" s="45" t="s">
        <v>124</v>
      </c>
      <c r="I769" s="45" t="s">
        <v>124</v>
      </c>
      <c r="J769" s="45" t="s">
        <v>28</v>
      </c>
      <c r="K769" s="47">
        <v>2.0</v>
      </c>
      <c r="L769" s="47"/>
      <c r="M769" s="47" t="s">
        <v>124</v>
      </c>
      <c r="N769" s="45" t="s">
        <v>12</v>
      </c>
      <c r="O769" s="48" t="s">
        <v>71</v>
      </c>
      <c r="P769" s="49" t="s">
        <v>2774</v>
      </c>
      <c r="Q769" s="45" t="s">
        <v>148</v>
      </c>
      <c r="R769" s="49" t="s">
        <v>2092</v>
      </c>
      <c r="S769" s="49" t="s">
        <v>124</v>
      </c>
      <c r="T769" s="49" t="s">
        <v>124</v>
      </c>
      <c r="U769" s="49" t="s">
        <v>124</v>
      </c>
      <c r="V769" s="49" t="s">
        <v>124</v>
      </c>
      <c r="W769" s="49" t="s">
        <v>124</v>
      </c>
      <c r="X769" s="49" t="s">
        <v>124</v>
      </c>
      <c r="Y769" s="50" t="str">
        <f>IF(CCUS_Projects_Database!$R769&lt;&gt;"",HYPERLINK(CCUS_Projects_Database!$R769,"Link 1"),"")</f>
        <v>Link 1</v>
      </c>
      <c r="Z769" s="50" t="str">
        <f>IF(CCUS_Projects_Database!$S769&lt;&gt;"",HYPERLINK(CCUS_Projects_Database!$S769,"Link 2"),"")</f>
        <v/>
      </c>
      <c r="AA769" s="50" t="str">
        <f>IF(CCUS_Projects_Database!$T769&lt;&gt;"",HYPERLINK(CCUS_Projects_Database!$T769,"Link 3"),"")</f>
        <v/>
      </c>
      <c r="AB769" s="50" t="str">
        <f>IF(CCUS_Projects_Database!$U769&lt;&gt;"",HYPERLINK(CCUS_Projects_Database!$U769,"Link 4"),"")</f>
        <v/>
      </c>
      <c r="AC769" s="50" t="str">
        <f>IF(CCUS_Projects_Database!$V769&lt;&gt;"",HYPERLINK(CCUS_Projects_Database!$V769,"Link 5"),"")</f>
        <v/>
      </c>
      <c r="AD769" s="50" t="str">
        <f>IF(CCUS_Projects_Database!$W769&lt;&gt;"",HYPERLINK(CCUS_Projects_Database!$W769,"Link 6"),"")</f>
        <v/>
      </c>
      <c r="AE769" s="50" t="str">
        <f>IF(CCUS_Projects_Database!$X769&lt;&gt;"",HYPERLINK(CCUS_Projects_Database!$X769,"Link 7"),"")</f>
        <v/>
      </c>
    </row>
    <row r="770" ht="15.75" customHeight="1">
      <c r="A770" s="37" t="s">
        <v>2775</v>
      </c>
      <c r="B770" s="38">
        <v>388.0</v>
      </c>
      <c r="C770" s="38" t="s">
        <v>146</v>
      </c>
      <c r="D770" s="39" t="s">
        <v>2776</v>
      </c>
      <c r="E770" s="38" t="s">
        <v>6</v>
      </c>
      <c r="F770" s="38">
        <v>2021.0</v>
      </c>
      <c r="G770" s="38">
        <v>2024.0</v>
      </c>
      <c r="H770" s="38">
        <v>2027.0</v>
      </c>
      <c r="I770" s="38" t="s">
        <v>124</v>
      </c>
      <c r="J770" s="38" t="s">
        <v>28</v>
      </c>
      <c r="K770" s="40">
        <v>1.0</v>
      </c>
      <c r="L770" s="51">
        <v>2.9</v>
      </c>
      <c r="M770" s="40">
        <v>3.3</v>
      </c>
      <c r="N770" s="38" t="s">
        <v>48</v>
      </c>
      <c r="O770" s="41" t="s">
        <v>73</v>
      </c>
      <c r="P770" s="42" t="s">
        <v>2774</v>
      </c>
      <c r="Q770" s="38" t="s">
        <v>148</v>
      </c>
      <c r="R770" s="42" t="s">
        <v>2777</v>
      </c>
      <c r="S770" s="42" t="s">
        <v>2733</v>
      </c>
      <c r="T770" s="42" t="s">
        <v>2778</v>
      </c>
      <c r="U770" s="42" t="s">
        <v>365</v>
      </c>
      <c r="V770" s="42" t="s">
        <v>124</v>
      </c>
      <c r="W770" s="42" t="s">
        <v>124</v>
      </c>
      <c r="X770" s="42" t="s">
        <v>124</v>
      </c>
      <c r="Y770" s="43" t="str">
        <f>IF(CCUS_Projects_Database!$R770&lt;&gt;"",HYPERLINK(CCUS_Projects_Database!$R770,"Link 1"),"")</f>
        <v>Link 1</v>
      </c>
      <c r="Z770" s="43" t="str">
        <f>IF(CCUS_Projects_Database!$S770&lt;&gt;"",HYPERLINK(CCUS_Projects_Database!$S770,"Link 2"),"")</f>
        <v>Link 2</v>
      </c>
      <c r="AA770" s="43" t="str">
        <f>IF(CCUS_Projects_Database!$T770&lt;&gt;"",HYPERLINK(CCUS_Projects_Database!$T770,"Link 3"),"")</f>
        <v>Link 3</v>
      </c>
      <c r="AB770" s="43" t="str">
        <f>IF(CCUS_Projects_Database!$U770&lt;&gt;"",HYPERLINK(CCUS_Projects_Database!$U770,"Link 4"),"")</f>
        <v>Link 4</v>
      </c>
      <c r="AC770" s="43" t="str">
        <f>IF(CCUS_Projects_Database!$V770&lt;&gt;"",HYPERLINK(CCUS_Projects_Database!$V770,"Link 5"),"")</f>
        <v/>
      </c>
      <c r="AD770" s="43" t="str">
        <f>IF(CCUS_Projects_Database!$W770&lt;&gt;"",HYPERLINK(CCUS_Projects_Database!$W770,"Link 6"),"")</f>
        <v/>
      </c>
      <c r="AE770" s="43" t="str">
        <f>IF(CCUS_Projects_Database!$X770&lt;&gt;"",HYPERLINK(CCUS_Projects_Database!$X770,"Link 7"),"")</f>
        <v/>
      </c>
    </row>
    <row r="771" ht="15.75" customHeight="1">
      <c r="A771" s="44" t="s">
        <v>2779</v>
      </c>
      <c r="B771" s="45">
        <v>1028.0</v>
      </c>
      <c r="C771" s="45" t="s">
        <v>243</v>
      </c>
      <c r="D771" s="46" t="s">
        <v>2780</v>
      </c>
      <c r="E771" s="45" t="s">
        <v>16</v>
      </c>
      <c r="F771" s="45">
        <v>2021.0</v>
      </c>
      <c r="G771" s="45">
        <v>2024.0</v>
      </c>
      <c r="H771" s="45">
        <v>2026.0</v>
      </c>
      <c r="I771" s="45" t="s">
        <v>124</v>
      </c>
      <c r="J771" s="45" t="s">
        <v>28</v>
      </c>
      <c r="K771" s="47" t="s">
        <v>124</v>
      </c>
      <c r="L771" s="52">
        <v>0.11</v>
      </c>
      <c r="M771" s="47">
        <v>0.11</v>
      </c>
      <c r="N771" s="45" t="s">
        <v>46</v>
      </c>
      <c r="O771" s="48" t="s">
        <v>75</v>
      </c>
      <c r="P771" s="49" t="s">
        <v>124</v>
      </c>
      <c r="Q771" s="45" t="s">
        <v>125</v>
      </c>
      <c r="R771" s="49" t="s">
        <v>2781</v>
      </c>
      <c r="S771" s="49" t="s">
        <v>124</v>
      </c>
      <c r="T771" s="49" t="s">
        <v>124</v>
      </c>
      <c r="U771" s="49" t="s">
        <v>124</v>
      </c>
      <c r="V771" s="49" t="s">
        <v>124</v>
      </c>
      <c r="W771" s="49" t="s">
        <v>124</v>
      </c>
      <c r="X771" s="49" t="s">
        <v>124</v>
      </c>
      <c r="Y771" s="50" t="str">
        <f>IF(CCUS_Projects_Database!$R771&lt;&gt;"",HYPERLINK(CCUS_Projects_Database!$R771,"Link 1"),"")</f>
        <v>Link 1</v>
      </c>
      <c r="Z771" s="50" t="str">
        <f>IF(CCUS_Projects_Database!$S771&lt;&gt;"",HYPERLINK(CCUS_Projects_Database!$S771,"Link 2"),"")</f>
        <v/>
      </c>
      <c r="AA771" s="50" t="str">
        <f>IF(CCUS_Projects_Database!$T771&lt;&gt;"",HYPERLINK(CCUS_Projects_Database!$T771,"Link 3"),"")</f>
        <v/>
      </c>
      <c r="AB771" s="50" t="str">
        <f>IF(CCUS_Projects_Database!$U771&lt;&gt;"",HYPERLINK(CCUS_Projects_Database!$U771,"Link 4"),"")</f>
        <v/>
      </c>
      <c r="AC771" s="50" t="str">
        <f>IF(CCUS_Projects_Database!$V771&lt;&gt;"",HYPERLINK(CCUS_Projects_Database!$V771,"Link 5"),"")</f>
        <v/>
      </c>
      <c r="AD771" s="50" t="str">
        <f>IF(CCUS_Projects_Database!$W771&lt;&gt;"",HYPERLINK(CCUS_Projects_Database!$W771,"Link 6"),"")</f>
        <v/>
      </c>
      <c r="AE771" s="50" t="str">
        <f>IF(CCUS_Projects_Database!$X771&lt;&gt;"",HYPERLINK(CCUS_Projects_Database!$X771,"Link 7"),"")</f>
        <v/>
      </c>
    </row>
    <row r="772" ht="15.75" customHeight="1">
      <c r="A772" s="37" t="s">
        <v>2782</v>
      </c>
      <c r="B772" s="38">
        <v>639.0</v>
      </c>
      <c r="C772" s="38" t="s">
        <v>157</v>
      </c>
      <c r="D772" s="39" t="s">
        <v>2783</v>
      </c>
      <c r="E772" s="38" t="s">
        <v>8</v>
      </c>
      <c r="F772" s="38">
        <v>2022.0</v>
      </c>
      <c r="G772" s="38" t="s">
        <v>124</v>
      </c>
      <c r="H772" s="38">
        <v>2026.0</v>
      </c>
      <c r="I772" s="38" t="s">
        <v>124</v>
      </c>
      <c r="J772" s="38" t="s">
        <v>28</v>
      </c>
      <c r="K772" s="40" t="s">
        <v>124</v>
      </c>
      <c r="L772" s="40"/>
      <c r="M772" s="40" t="s">
        <v>124</v>
      </c>
      <c r="N772" s="38" t="s">
        <v>46</v>
      </c>
      <c r="O772" s="41" t="s">
        <v>71</v>
      </c>
      <c r="P772" s="42" t="s">
        <v>281</v>
      </c>
      <c r="Q772" s="38" t="s">
        <v>125</v>
      </c>
      <c r="R772" s="42" t="s">
        <v>2784</v>
      </c>
      <c r="S772" s="42" t="s">
        <v>124</v>
      </c>
      <c r="T772" s="42" t="s">
        <v>124</v>
      </c>
      <c r="U772" s="42" t="s">
        <v>124</v>
      </c>
      <c r="V772" s="42" t="s">
        <v>124</v>
      </c>
      <c r="W772" s="42" t="s">
        <v>124</v>
      </c>
      <c r="X772" s="42" t="s">
        <v>124</v>
      </c>
      <c r="Y772" s="43" t="str">
        <f>IF(CCUS_Projects_Database!$R772&lt;&gt;"",HYPERLINK(CCUS_Projects_Database!$R772,"Link 1"),"")</f>
        <v>Link 1</v>
      </c>
      <c r="Z772" s="43" t="str">
        <f>IF(CCUS_Projects_Database!$S772&lt;&gt;"",HYPERLINK(CCUS_Projects_Database!$S772,"Link 2"),"")</f>
        <v/>
      </c>
      <c r="AA772" s="43" t="str">
        <f>IF(CCUS_Projects_Database!$T772&lt;&gt;"",HYPERLINK(CCUS_Projects_Database!$T772,"Link 3"),"")</f>
        <v/>
      </c>
      <c r="AB772" s="43" t="str">
        <f>IF(CCUS_Projects_Database!$U772&lt;&gt;"",HYPERLINK(CCUS_Projects_Database!$U772,"Link 4"),"")</f>
        <v/>
      </c>
      <c r="AC772" s="43" t="str">
        <f>IF(CCUS_Projects_Database!$V772&lt;&gt;"",HYPERLINK(CCUS_Projects_Database!$V772,"Link 5"),"")</f>
        <v/>
      </c>
      <c r="AD772" s="43" t="str">
        <f>IF(CCUS_Projects_Database!$W772&lt;&gt;"",HYPERLINK(CCUS_Projects_Database!$W772,"Link 6"),"")</f>
        <v/>
      </c>
      <c r="AE772" s="43" t="str">
        <f>IF(CCUS_Projects_Database!$X772&lt;&gt;"",HYPERLINK(CCUS_Projects_Database!$X772,"Link 7"),"")</f>
        <v/>
      </c>
    </row>
    <row r="773" ht="15.75" customHeight="1">
      <c r="A773" s="44" t="s">
        <v>2785</v>
      </c>
      <c r="B773" s="45">
        <v>389.0</v>
      </c>
      <c r="C773" s="45" t="s">
        <v>141</v>
      </c>
      <c r="D773" s="46" t="s">
        <v>2786</v>
      </c>
      <c r="E773" s="45" t="s">
        <v>6</v>
      </c>
      <c r="F773" s="45"/>
      <c r="G773" s="45" t="s">
        <v>124</v>
      </c>
      <c r="H773" s="45">
        <v>1972.0</v>
      </c>
      <c r="I773" s="45" t="s">
        <v>124</v>
      </c>
      <c r="J773" s="45" t="s">
        <v>32</v>
      </c>
      <c r="K773" s="47" t="s">
        <v>124</v>
      </c>
      <c r="L773" s="52">
        <v>0.45</v>
      </c>
      <c r="M773" s="47">
        <v>0.5</v>
      </c>
      <c r="N773" s="45" t="s">
        <v>48</v>
      </c>
      <c r="O773" s="48" t="s">
        <v>73</v>
      </c>
      <c r="P773" s="49" t="s">
        <v>124</v>
      </c>
      <c r="Q773" s="45" t="s">
        <v>143</v>
      </c>
      <c r="R773" s="49" t="s">
        <v>2787</v>
      </c>
      <c r="S773" s="49" t="s">
        <v>2788</v>
      </c>
      <c r="T773" s="49" t="s">
        <v>2789</v>
      </c>
      <c r="U773" s="49" t="s">
        <v>124</v>
      </c>
      <c r="V773" s="49" t="s">
        <v>124</v>
      </c>
      <c r="W773" s="49" t="s">
        <v>124</v>
      </c>
      <c r="X773" s="49" t="s">
        <v>124</v>
      </c>
      <c r="Y773" s="50" t="str">
        <f>IF(CCUS_Projects_Database!$R773&lt;&gt;"",HYPERLINK(CCUS_Projects_Database!$R773,"Link 1"),"")</f>
        <v>Link 1</v>
      </c>
      <c r="Z773" s="50" t="str">
        <f>IF(CCUS_Projects_Database!$S773&lt;&gt;"",HYPERLINK(CCUS_Projects_Database!$S773,"Link 2"),"")</f>
        <v>Link 2</v>
      </c>
      <c r="AA773" s="50" t="str">
        <f>IF(CCUS_Projects_Database!$T773&lt;&gt;"",HYPERLINK(CCUS_Projects_Database!$T773,"Link 3"),"")</f>
        <v>Link 3</v>
      </c>
      <c r="AB773" s="50" t="str">
        <f>IF(CCUS_Projects_Database!$U773&lt;&gt;"",HYPERLINK(CCUS_Projects_Database!$U773,"Link 4"),"")</f>
        <v/>
      </c>
      <c r="AC773" s="50" t="str">
        <f>IF(CCUS_Projects_Database!$V773&lt;&gt;"",HYPERLINK(CCUS_Projects_Database!$V773,"Link 5"),"")</f>
        <v/>
      </c>
      <c r="AD773" s="50" t="str">
        <f>IF(CCUS_Projects_Database!$W773&lt;&gt;"",HYPERLINK(CCUS_Projects_Database!$W773,"Link 6"),"")</f>
        <v/>
      </c>
      <c r="AE773" s="50" t="str">
        <f>IF(CCUS_Projects_Database!$X773&lt;&gt;"",HYPERLINK(CCUS_Projects_Database!$X773,"Link 7"),"")</f>
        <v/>
      </c>
    </row>
    <row r="774" ht="15.75" customHeight="1">
      <c r="A774" s="37" t="s">
        <v>2790</v>
      </c>
      <c r="B774" s="38">
        <v>390.0</v>
      </c>
      <c r="C774" s="38" t="s">
        <v>141</v>
      </c>
      <c r="D774" s="39" t="s">
        <v>2791</v>
      </c>
      <c r="E774" s="38" t="s">
        <v>8</v>
      </c>
      <c r="F774" s="38">
        <v>2021.0</v>
      </c>
      <c r="G774" s="38">
        <v>2024.0</v>
      </c>
      <c r="H774" s="38">
        <v>2024.0</v>
      </c>
      <c r="I774" s="38" t="s">
        <v>124</v>
      </c>
      <c r="J774" s="38" t="s">
        <v>28</v>
      </c>
      <c r="K774" s="40" t="s">
        <v>124</v>
      </c>
      <c r="L774" s="51">
        <v>0.465</v>
      </c>
      <c r="M774" s="40">
        <v>0.501</v>
      </c>
      <c r="N774" s="38" t="s">
        <v>50</v>
      </c>
      <c r="O774" s="41" t="s">
        <v>71</v>
      </c>
      <c r="P774" s="42" t="s">
        <v>567</v>
      </c>
      <c r="Q774" s="38" t="s">
        <v>143</v>
      </c>
      <c r="R774" s="42" t="s">
        <v>945</v>
      </c>
      <c r="S774" s="42" t="s">
        <v>946</v>
      </c>
      <c r="T774" s="42" t="s">
        <v>947</v>
      </c>
      <c r="U774" s="42" t="s">
        <v>124</v>
      </c>
      <c r="V774" s="42" t="s">
        <v>124</v>
      </c>
      <c r="W774" s="42" t="s">
        <v>124</v>
      </c>
      <c r="X774" s="42" t="s">
        <v>124</v>
      </c>
      <c r="Y774" s="43" t="str">
        <f>IF(CCUS_Projects_Database!$R774&lt;&gt;"",HYPERLINK(CCUS_Projects_Database!$R774,"Link 1"),"")</f>
        <v>Link 1</v>
      </c>
      <c r="Z774" s="43" t="str">
        <f>IF(CCUS_Projects_Database!$S774&lt;&gt;"",HYPERLINK(CCUS_Projects_Database!$S774,"Link 2"),"")</f>
        <v>Link 2</v>
      </c>
      <c r="AA774" s="43" t="str">
        <f>IF(CCUS_Projects_Database!$T774&lt;&gt;"",HYPERLINK(CCUS_Projects_Database!$T774,"Link 3"),"")</f>
        <v>Link 3</v>
      </c>
      <c r="AB774" s="43" t="str">
        <f>IF(CCUS_Projects_Database!$U774&lt;&gt;"",HYPERLINK(CCUS_Projects_Database!$U774,"Link 4"),"")</f>
        <v/>
      </c>
      <c r="AC774" s="43" t="str">
        <f>IF(CCUS_Projects_Database!$V774&lt;&gt;"",HYPERLINK(CCUS_Projects_Database!$V774,"Link 5"),"")</f>
        <v/>
      </c>
      <c r="AD774" s="43" t="str">
        <f>IF(CCUS_Projects_Database!$W774&lt;&gt;"",HYPERLINK(CCUS_Projects_Database!$W774,"Link 6"),"")</f>
        <v/>
      </c>
      <c r="AE774" s="43" t="str">
        <f>IF(CCUS_Projects_Database!$X774&lt;&gt;"",HYPERLINK(CCUS_Projects_Database!$X774,"Link 7"),"")</f>
        <v/>
      </c>
    </row>
    <row r="775" ht="15.75" customHeight="1">
      <c r="A775" s="44" t="s">
        <v>2792</v>
      </c>
      <c r="B775" s="45">
        <v>907.0</v>
      </c>
      <c r="C775" s="45" t="s">
        <v>157</v>
      </c>
      <c r="D775" s="46" t="s">
        <v>2793</v>
      </c>
      <c r="E775" s="45" t="s">
        <v>14</v>
      </c>
      <c r="F775" s="45">
        <v>2023.0</v>
      </c>
      <c r="G775" s="45" t="s">
        <v>124</v>
      </c>
      <c r="H775" s="45" t="s">
        <v>124</v>
      </c>
      <c r="I775" s="45" t="s">
        <v>124</v>
      </c>
      <c r="J775" s="45" t="s">
        <v>28</v>
      </c>
      <c r="K775" s="47" t="s">
        <v>124</v>
      </c>
      <c r="L775" s="52">
        <v>30.0</v>
      </c>
      <c r="M775" s="47">
        <v>30.0</v>
      </c>
      <c r="N775" s="45" t="s">
        <v>14</v>
      </c>
      <c r="O775" s="48" t="s">
        <v>71</v>
      </c>
      <c r="P775" s="49" t="s">
        <v>124</v>
      </c>
      <c r="Q775" s="45" t="s">
        <v>125</v>
      </c>
      <c r="R775" s="49" t="s">
        <v>2794</v>
      </c>
      <c r="S775" s="49" t="s">
        <v>124</v>
      </c>
      <c r="T775" s="49" t="s">
        <v>124</v>
      </c>
      <c r="U775" s="49" t="s">
        <v>124</v>
      </c>
      <c r="V775" s="49" t="s">
        <v>124</v>
      </c>
      <c r="W775" s="49" t="s">
        <v>124</v>
      </c>
      <c r="X775" s="49" t="s">
        <v>124</v>
      </c>
      <c r="Y775" s="50" t="str">
        <f>IF(CCUS_Projects_Database!$R775&lt;&gt;"",HYPERLINK(CCUS_Projects_Database!$R775,"Link 1"),"")</f>
        <v>Link 1</v>
      </c>
      <c r="Z775" s="50" t="str">
        <f>IF(CCUS_Projects_Database!$S775&lt;&gt;"",HYPERLINK(CCUS_Projects_Database!$S775,"Link 2"),"")</f>
        <v/>
      </c>
      <c r="AA775" s="50" t="str">
        <f>IF(CCUS_Projects_Database!$T775&lt;&gt;"",HYPERLINK(CCUS_Projects_Database!$T775,"Link 3"),"")</f>
        <v/>
      </c>
      <c r="AB775" s="50" t="str">
        <f>IF(CCUS_Projects_Database!$U775&lt;&gt;"",HYPERLINK(CCUS_Projects_Database!$U775,"Link 4"),"")</f>
        <v/>
      </c>
      <c r="AC775" s="50" t="str">
        <f>IF(CCUS_Projects_Database!$V775&lt;&gt;"",HYPERLINK(CCUS_Projects_Database!$V775,"Link 5"),"")</f>
        <v/>
      </c>
      <c r="AD775" s="50" t="str">
        <f>IF(CCUS_Projects_Database!$W775&lt;&gt;"",HYPERLINK(CCUS_Projects_Database!$W775,"Link 6"),"")</f>
        <v/>
      </c>
      <c r="AE775" s="50" t="str">
        <f>IF(CCUS_Projects_Database!$X775&lt;&gt;"",HYPERLINK(CCUS_Projects_Database!$X775,"Link 7"),"")</f>
        <v/>
      </c>
    </row>
    <row r="776" ht="15.75" customHeight="1">
      <c r="A776" s="37" t="s">
        <v>2795</v>
      </c>
      <c r="B776" s="38">
        <v>391.0</v>
      </c>
      <c r="C776" s="38" t="s">
        <v>141</v>
      </c>
      <c r="D776" s="39" t="s">
        <v>2796</v>
      </c>
      <c r="E776" s="38" t="s">
        <v>8</v>
      </c>
      <c r="F776" s="38">
        <v>2019.0</v>
      </c>
      <c r="G776" s="38" t="s">
        <v>124</v>
      </c>
      <c r="H776" s="38">
        <v>2024.0</v>
      </c>
      <c r="I776" s="38" t="s">
        <v>124</v>
      </c>
      <c r="J776" s="38" t="s">
        <v>28</v>
      </c>
      <c r="K776" s="40" t="s">
        <v>124</v>
      </c>
      <c r="L776" s="51">
        <v>1.5</v>
      </c>
      <c r="M776" s="40">
        <v>1.5</v>
      </c>
      <c r="N776" s="38" t="s">
        <v>46</v>
      </c>
      <c r="O776" s="41" t="s">
        <v>73</v>
      </c>
      <c r="P776" s="42" t="s">
        <v>124</v>
      </c>
      <c r="Q776" s="38" t="s">
        <v>143</v>
      </c>
      <c r="R776" s="42" t="s">
        <v>2797</v>
      </c>
      <c r="S776" s="42" t="s">
        <v>2798</v>
      </c>
      <c r="T776" s="42" t="s">
        <v>124</v>
      </c>
      <c r="U776" s="42" t="s">
        <v>124</v>
      </c>
      <c r="V776" s="42" t="s">
        <v>124</v>
      </c>
      <c r="W776" s="42" t="s">
        <v>124</v>
      </c>
      <c r="X776" s="42" t="s">
        <v>124</v>
      </c>
      <c r="Y776" s="43" t="str">
        <f>IF(CCUS_Projects_Database!$R776&lt;&gt;"",HYPERLINK(CCUS_Projects_Database!$R776,"Link 1"),"")</f>
        <v>Link 1</v>
      </c>
      <c r="Z776" s="43" t="str">
        <f>IF(CCUS_Projects_Database!$S776&lt;&gt;"",HYPERLINK(CCUS_Projects_Database!$S776,"Link 2"),"")</f>
        <v>Link 2</v>
      </c>
      <c r="AA776" s="43" t="str">
        <f>IF(CCUS_Projects_Database!$T776&lt;&gt;"",HYPERLINK(CCUS_Projects_Database!$T776,"Link 3"),"")</f>
        <v/>
      </c>
      <c r="AB776" s="43" t="str">
        <f>IF(CCUS_Projects_Database!$U776&lt;&gt;"",HYPERLINK(CCUS_Projects_Database!$U776,"Link 4"),"")</f>
        <v/>
      </c>
      <c r="AC776" s="43" t="str">
        <f>IF(CCUS_Projects_Database!$V776&lt;&gt;"",HYPERLINK(CCUS_Projects_Database!$V776,"Link 5"),"")</f>
        <v/>
      </c>
      <c r="AD776" s="43" t="str">
        <f>IF(CCUS_Projects_Database!$W776&lt;&gt;"",HYPERLINK(CCUS_Projects_Database!$W776,"Link 6"),"")</f>
        <v/>
      </c>
      <c r="AE776" s="43" t="str">
        <f>IF(CCUS_Projects_Database!$X776&lt;&gt;"",HYPERLINK(CCUS_Projects_Database!$X776,"Link 7"),"")</f>
        <v/>
      </c>
    </row>
    <row r="777" ht="15.75" customHeight="1">
      <c r="A777" s="44" t="s">
        <v>2799</v>
      </c>
      <c r="B777" s="45">
        <v>1069.0</v>
      </c>
      <c r="C777" s="45" t="s">
        <v>299</v>
      </c>
      <c r="D777" s="46" t="s">
        <v>2800</v>
      </c>
      <c r="E777" s="45" t="s">
        <v>12</v>
      </c>
      <c r="F777" s="45">
        <v>2022.0</v>
      </c>
      <c r="G777" s="45" t="s">
        <v>124</v>
      </c>
      <c r="H777" s="45" t="s">
        <v>124</v>
      </c>
      <c r="I777" s="45" t="s">
        <v>124</v>
      </c>
      <c r="J777" s="45" t="s">
        <v>28</v>
      </c>
      <c r="K777" s="47" t="s">
        <v>124</v>
      </c>
      <c r="L777" s="47"/>
      <c r="M777" s="47" t="s">
        <v>124</v>
      </c>
      <c r="N777" s="45" t="s">
        <v>12</v>
      </c>
      <c r="O777" s="48" t="s">
        <v>71</v>
      </c>
      <c r="P777" s="49" t="s">
        <v>124</v>
      </c>
      <c r="Q777" s="45" t="s">
        <v>125</v>
      </c>
      <c r="R777" s="49" t="s">
        <v>2801</v>
      </c>
      <c r="S777" s="49" t="s">
        <v>124</v>
      </c>
      <c r="T777" s="49" t="s">
        <v>124</v>
      </c>
      <c r="U777" s="49" t="s">
        <v>124</v>
      </c>
      <c r="V777" s="49" t="s">
        <v>124</v>
      </c>
      <c r="W777" s="49" t="s">
        <v>124</v>
      </c>
      <c r="X777" s="49" t="s">
        <v>124</v>
      </c>
      <c r="Y777" s="50" t="str">
        <f>IF(CCUS_Projects_Database!$R777&lt;&gt;"",HYPERLINK(CCUS_Projects_Database!$R777,"Link 1"),"")</f>
        <v>Link 1</v>
      </c>
      <c r="Z777" s="50" t="str">
        <f>IF(CCUS_Projects_Database!$S777&lt;&gt;"",HYPERLINK(CCUS_Projects_Database!$S777,"Link 2"),"")</f>
        <v/>
      </c>
      <c r="AA777" s="50" t="str">
        <f>IF(CCUS_Projects_Database!$T777&lt;&gt;"",HYPERLINK(CCUS_Projects_Database!$T777,"Link 3"),"")</f>
        <v/>
      </c>
      <c r="AB777" s="50" t="str">
        <f>IF(CCUS_Projects_Database!$U777&lt;&gt;"",HYPERLINK(CCUS_Projects_Database!$U777,"Link 4"),"")</f>
        <v/>
      </c>
      <c r="AC777" s="50" t="str">
        <f>IF(CCUS_Projects_Database!$V777&lt;&gt;"",HYPERLINK(CCUS_Projects_Database!$V777,"Link 5"),"")</f>
        <v/>
      </c>
      <c r="AD777" s="50" t="str">
        <f>IF(CCUS_Projects_Database!$W777&lt;&gt;"",HYPERLINK(CCUS_Projects_Database!$W777,"Link 6"),"")</f>
        <v/>
      </c>
      <c r="AE777" s="50" t="str">
        <f>IF(CCUS_Projects_Database!$X777&lt;&gt;"",HYPERLINK(CCUS_Projects_Database!$X777,"Link 7"),"")</f>
        <v/>
      </c>
    </row>
    <row r="778" ht="15.75" customHeight="1">
      <c r="A778" s="37" t="s">
        <v>2802</v>
      </c>
      <c r="B778" s="38">
        <v>795.0</v>
      </c>
      <c r="C778" s="38" t="s">
        <v>141</v>
      </c>
      <c r="D778" s="39" t="s">
        <v>2803</v>
      </c>
      <c r="E778" s="38" t="s">
        <v>6</v>
      </c>
      <c r="F778" s="38">
        <v>2023.0</v>
      </c>
      <c r="G778" s="38" t="s">
        <v>124</v>
      </c>
      <c r="H778" s="38" t="s">
        <v>124</v>
      </c>
      <c r="I778" s="38" t="s">
        <v>124</v>
      </c>
      <c r="J778" s="38" t="s">
        <v>28</v>
      </c>
      <c r="K778" s="40" t="s">
        <v>124</v>
      </c>
      <c r="L778" s="51">
        <v>2.0</v>
      </c>
      <c r="M778" s="40">
        <v>2.0</v>
      </c>
      <c r="N778" s="38" t="s">
        <v>62</v>
      </c>
      <c r="O778" s="41" t="s">
        <v>71</v>
      </c>
      <c r="P778" s="42" t="s">
        <v>2804</v>
      </c>
      <c r="Q778" s="38" t="s">
        <v>143</v>
      </c>
      <c r="R778" s="42" t="s">
        <v>1693</v>
      </c>
      <c r="S778" s="42" t="s">
        <v>124</v>
      </c>
      <c r="T778" s="42" t="s">
        <v>124</v>
      </c>
      <c r="U778" s="42" t="s">
        <v>124</v>
      </c>
      <c r="V778" s="42" t="s">
        <v>124</v>
      </c>
      <c r="W778" s="42" t="s">
        <v>124</v>
      </c>
      <c r="X778" s="42" t="s">
        <v>124</v>
      </c>
      <c r="Y778" s="43" t="str">
        <f>IF(CCUS_Projects_Database!$R778&lt;&gt;"",HYPERLINK(CCUS_Projects_Database!$R778,"Link 1"),"")</f>
        <v>Link 1</v>
      </c>
      <c r="Z778" s="43" t="str">
        <f>IF(CCUS_Projects_Database!$S778&lt;&gt;"",HYPERLINK(CCUS_Projects_Database!$S778,"Link 2"),"")</f>
        <v/>
      </c>
      <c r="AA778" s="43" t="str">
        <f>IF(CCUS_Projects_Database!$T778&lt;&gt;"",HYPERLINK(CCUS_Projects_Database!$T778,"Link 3"),"")</f>
        <v/>
      </c>
      <c r="AB778" s="43" t="str">
        <f>IF(CCUS_Projects_Database!$U778&lt;&gt;"",HYPERLINK(CCUS_Projects_Database!$U778,"Link 4"),"")</f>
        <v/>
      </c>
      <c r="AC778" s="43" t="str">
        <f>IF(CCUS_Projects_Database!$V778&lt;&gt;"",HYPERLINK(CCUS_Projects_Database!$V778,"Link 5"),"")</f>
        <v/>
      </c>
      <c r="AD778" s="43" t="str">
        <f>IF(CCUS_Projects_Database!$W778&lt;&gt;"",HYPERLINK(CCUS_Projects_Database!$W778,"Link 6"),"")</f>
        <v/>
      </c>
      <c r="AE778" s="43" t="str">
        <f>IF(CCUS_Projects_Database!$X778&lt;&gt;"",HYPERLINK(CCUS_Projects_Database!$X778,"Link 7"),"")</f>
        <v/>
      </c>
    </row>
    <row r="779" ht="15.75" customHeight="1">
      <c r="A779" s="44" t="s">
        <v>2805</v>
      </c>
      <c r="B779" s="45">
        <v>666.0</v>
      </c>
      <c r="C779" s="45" t="s">
        <v>1099</v>
      </c>
      <c r="D779" s="46" t="s">
        <v>2806</v>
      </c>
      <c r="E779" s="45" t="s">
        <v>14</v>
      </c>
      <c r="F779" s="45">
        <v>2023.0</v>
      </c>
      <c r="G779" s="45" t="s">
        <v>124</v>
      </c>
      <c r="H779" s="45">
        <v>2030.0</v>
      </c>
      <c r="I779" s="45" t="s">
        <v>124</v>
      </c>
      <c r="J779" s="45" t="s">
        <v>28</v>
      </c>
      <c r="K779" s="47" t="s">
        <v>124</v>
      </c>
      <c r="L779" s="52">
        <v>2.0</v>
      </c>
      <c r="M779" s="47">
        <v>2.0</v>
      </c>
      <c r="N779" s="45" t="s">
        <v>14</v>
      </c>
      <c r="O779" s="48" t="s">
        <v>71</v>
      </c>
      <c r="P779" s="49" t="s">
        <v>2805</v>
      </c>
      <c r="Q779" s="45" t="s">
        <v>148</v>
      </c>
      <c r="R779" s="49" t="s">
        <v>2807</v>
      </c>
      <c r="S779" s="49" t="s">
        <v>1102</v>
      </c>
      <c r="T779" s="49" t="s">
        <v>124</v>
      </c>
      <c r="U779" s="49" t="s">
        <v>124</v>
      </c>
      <c r="V779" s="49" t="s">
        <v>124</v>
      </c>
      <c r="W779" s="49" t="s">
        <v>124</v>
      </c>
      <c r="X779" s="49" t="s">
        <v>124</v>
      </c>
      <c r="Y779" s="50" t="str">
        <f>IF(CCUS_Projects_Database!$R779&lt;&gt;"",HYPERLINK(CCUS_Projects_Database!$R779,"Link 1"),"")</f>
        <v>Link 1</v>
      </c>
      <c r="Z779" s="50" t="str">
        <f>IF(CCUS_Projects_Database!$S779&lt;&gt;"",HYPERLINK(CCUS_Projects_Database!$S779,"Link 2"),"")</f>
        <v>Link 2</v>
      </c>
      <c r="AA779" s="50" t="str">
        <f>IF(CCUS_Projects_Database!$T779&lt;&gt;"",HYPERLINK(CCUS_Projects_Database!$T779,"Link 3"),"")</f>
        <v/>
      </c>
      <c r="AB779" s="50" t="str">
        <f>IF(CCUS_Projects_Database!$U779&lt;&gt;"",HYPERLINK(CCUS_Projects_Database!$U779,"Link 4"),"")</f>
        <v/>
      </c>
      <c r="AC779" s="50" t="str">
        <f>IF(CCUS_Projects_Database!$V779&lt;&gt;"",HYPERLINK(CCUS_Projects_Database!$V779,"Link 5"),"")</f>
        <v/>
      </c>
      <c r="AD779" s="50" t="str">
        <f>IF(CCUS_Projects_Database!$W779&lt;&gt;"",HYPERLINK(CCUS_Projects_Database!$W779,"Link 6"),"")</f>
        <v/>
      </c>
      <c r="AE779" s="50" t="str">
        <f>IF(CCUS_Projects_Database!$X779&lt;&gt;"",HYPERLINK(CCUS_Projects_Database!$X779,"Link 7"),"")</f>
        <v/>
      </c>
    </row>
    <row r="780" ht="15.75" customHeight="1">
      <c r="A780" s="37" t="s">
        <v>2808</v>
      </c>
      <c r="B780" s="38">
        <v>937.0</v>
      </c>
      <c r="C780" s="38" t="s">
        <v>1099</v>
      </c>
      <c r="D780" s="39" t="s">
        <v>2809</v>
      </c>
      <c r="E780" s="38" t="s">
        <v>8</v>
      </c>
      <c r="F780" s="38">
        <v>2023.0</v>
      </c>
      <c r="G780" s="38" t="s">
        <v>124</v>
      </c>
      <c r="H780" s="38">
        <v>2030.0</v>
      </c>
      <c r="I780" s="38" t="s">
        <v>124</v>
      </c>
      <c r="J780" s="38" t="s">
        <v>28</v>
      </c>
      <c r="K780" s="40" t="s">
        <v>124</v>
      </c>
      <c r="L780" s="40"/>
      <c r="M780" s="40" t="s">
        <v>124</v>
      </c>
      <c r="N780" s="38" t="s">
        <v>58</v>
      </c>
      <c r="O780" s="41" t="s">
        <v>71</v>
      </c>
      <c r="P780" s="42" t="s">
        <v>2805</v>
      </c>
      <c r="Q780" s="38" t="s">
        <v>148</v>
      </c>
      <c r="R780" s="42" t="s">
        <v>124</v>
      </c>
      <c r="S780" s="42" t="s">
        <v>124</v>
      </c>
      <c r="T780" s="42" t="s">
        <v>124</v>
      </c>
      <c r="U780" s="42" t="s">
        <v>124</v>
      </c>
      <c r="V780" s="42" t="s">
        <v>124</v>
      </c>
      <c r="W780" s="42" t="s">
        <v>124</v>
      </c>
      <c r="X780" s="42" t="s">
        <v>124</v>
      </c>
      <c r="Y780" s="43" t="str">
        <f>IF(CCUS_Projects_Database!$R780&lt;&gt;"",HYPERLINK(CCUS_Projects_Database!$R780,"Link 1"),"")</f>
        <v/>
      </c>
      <c r="Z780" s="43" t="str">
        <f>IF(CCUS_Projects_Database!$S780&lt;&gt;"",HYPERLINK(CCUS_Projects_Database!$S780,"Link 2"),"")</f>
        <v/>
      </c>
      <c r="AA780" s="43" t="str">
        <f>IF(CCUS_Projects_Database!$T780&lt;&gt;"",HYPERLINK(CCUS_Projects_Database!$T780,"Link 3"),"")</f>
        <v/>
      </c>
      <c r="AB780" s="43" t="str">
        <f>IF(CCUS_Projects_Database!$U780&lt;&gt;"",HYPERLINK(CCUS_Projects_Database!$U780,"Link 4"),"")</f>
        <v/>
      </c>
      <c r="AC780" s="43" t="str">
        <f>IF(CCUS_Projects_Database!$V780&lt;&gt;"",HYPERLINK(CCUS_Projects_Database!$V780,"Link 5"),"")</f>
        <v/>
      </c>
      <c r="AD780" s="43" t="str">
        <f>IF(CCUS_Projects_Database!$W780&lt;&gt;"",HYPERLINK(CCUS_Projects_Database!$W780,"Link 6"),"")</f>
        <v/>
      </c>
      <c r="AE780" s="43" t="str">
        <f>IF(CCUS_Projects_Database!$X780&lt;&gt;"",HYPERLINK(CCUS_Projects_Database!$X780,"Link 7"),"")</f>
        <v/>
      </c>
    </row>
    <row r="781" ht="15.75" customHeight="1">
      <c r="A781" s="44" t="s">
        <v>2810</v>
      </c>
      <c r="B781" s="45">
        <v>938.0</v>
      </c>
      <c r="C781" s="45" t="s">
        <v>1099</v>
      </c>
      <c r="D781" s="46" t="s">
        <v>2811</v>
      </c>
      <c r="E781" s="45" t="s">
        <v>8</v>
      </c>
      <c r="F781" s="45">
        <v>2023.0</v>
      </c>
      <c r="G781" s="45" t="s">
        <v>124</v>
      </c>
      <c r="H781" s="45">
        <v>2030.0</v>
      </c>
      <c r="I781" s="45" t="s">
        <v>124</v>
      </c>
      <c r="J781" s="45" t="s">
        <v>28</v>
      </c>
      <c r="K781" s="47" t="s">
        <v>124</v>
      </c>
      <c r="L781" s="47"/>
      <c r="M781" s="47" t="s">
        <v>124</v>
      </c>
      <c r="N781" s="45" t="s">
        <v>56</v>
      </c>
      <c r="O781" s="48" t="s">
        <v>71</v>
      </c>
      <c r="P781" s="49" t="s">
        <v>2805</v>
      </c>
      <c r="Q781" s="45" t="s">
        <v>148</v>
      </c>
      <c r="R781" s="49" t="s">
        <v>124</v>
      </c>
      <c r="S781" s="49" t="s">
        <v>124</v>
      </c>
      <c r="T781" s="49" t="s">
        <v>124</v>
      </c>
      <c r="U781" s="49" t="s">
        <v>124</v>
      </c>
      <c r="V781" s="49" t="s">
        <v>124</v>
      </c>
      <c r="W781" s="49" t="s">
        <v>124</v>
      </c>
      <c r="X781" s="49" t="s">
        <v>124</v>
      </c>
      <c r="Y781" s="50" t="str">
        <f>IF(CCUS_Projects_Database!$R781&lt;&gt;"",HYPERLINK(CCUS_Projects_Database!$R781,"Link 1"),"")</f>
        <v/>
      </c>
      <c r="Z781" s="50" t="str">
        <f>IF(CCUS_Projects_Database!$S781&lt;&gt;"",HYPERLINK(CCUS_Projects_Database!$S781,"Link 2"),"")</f>
        <v/>
      </c>
      <c r="AA781" s="50" t="str">
        <f>IF(CCUS_Projects_Database!$T781&lt;&gt;"",HYPERLINK(CCUS_Projects_Database!$T781,"Link 3"),"")</f>
        <v/>
      </c>
      <c r="AB781" s="50" t="str">
        <f>IF(CCUS_Projects_Database!$U781&lt;&gt;"",HYPERLINK(CCUS_Projects_Database!$U781,"Link 4"),"")</f>
        <v/>
      </c>
      <c r="AC781" s="50" t="str">
        <f>IF(CCUS_Projects_Database!$V781&lt;&gt;"",HYPERLINK(CCUS_Projects_Database!$V781,"Link 5"),"")</f>
        <v/>
      </c>
      <c r="AD781" s="50" t="str">
        <f>IF(CCUS_Projects_Database!$W781&lt;&gt;"",HYPERLINK(CCUS_Projects_Database!$W781,"Link 6"),"")</f>
        <v/>
      </c>
      <c r="AE781" s="50" t="str">
        <f>IF(CCUS_Projects_Database!$X781&lt;&gt;"",HYPERLINK(CCUS_Projects_Database!$X781,"Link 7"),"")</f>
        <v/>
      </c>
    </row>
    <row r="782" ht="15.75" customHeight="1">
      <c r="A782" s="37" t="s">
        <v>2812</v>
      </c>
      <c r="B782" s="38">
        <v>667.0</v>
      </c>
      <c r="C782" s="38" t="s">
        <v>1099</v>
      </c>
      <c r="D782" s="39" t="s">
        <v>2813</v>
      </c>
      <c r="E782" s="38" t="s">
        <v>14</v>
      </c>
      <c r="F782" s="38">
        <v>2023.0</v>
      </c>
      <c r="G782" s="38" t="s">
        <v>124</v>
      </c>
      <c r="H782" s="38">
        <v>2030.0</v>
      </c>
      <c r="I782" s="38" t="s">
        <v>124</v>
      </c>
      <c r="J782" s="38" t="s">
        <v>28</v>
      </c>
      <c r="K782" s="40" t="s">
        <v>124</v>
      </c>
      <c r="L782" s="51">
        <v>1.5</v>
      </c>
      <c r="M782" s="40">
        <v>1.5</v>
      </c>
      <c r="N782" s="38" t="s">
        <v>14</v>
      </c>
      <c r="O782" s="41" t="s">
        <v>71</v>
      </c>
      <c r="P782" s="42" t="s">
        <v>2812</v>
      </c>
      <c r="Q782" s="38" t="s">
        <v>148</v>
      </c>
      <c r="R782" s="42" t="s">
        <v>2814</v>
      </c>
      <c r="S782" s="42" t="s">
        <v>1102</v>
      </c>
      <c r="T782" s="42" t="s">
        <v>124</v>
      </c>
      <c r="U782" s="42" t="s">
        <v>124</v>
      </c>
      <c r="V782" s="42" t="s">
        <v>124</v>
      </c>
      <c r="W782" s="42" t="s">
        <v>124</v>
      </c>
      <c r="X782" s="42" t="s">
        <v>124</v>
      </c>
      <c r="Y782" s="43" t="str">
        <f>IF(CCUS_Projects_Database!$R782&lt;&gt;"",HYPERLINK(CCUS_Projects_Database!$R782,"Link 1"),"")</f>
        <v>Link 1</v>
      </c>
      <c r="Z782" s="43" t="str">
        <f>IF(CCUS_Projects_Database!$S782&lt;&gt;"",HYPERLINK(CCUS_Projects_Database!$S782,"Link 2"),"")</f>
        <v>Link 2</v>
      </c>
      <c r="AA782" s="43" t="str">
        <f>IF(CCUS_Projects_Database!$T782&lt;&gt;"",HYPERLINK(CCUS_Projects_Database!$T782,"Link 3"),"")</f>
        <v/>
      </c>
      <c r="AB782" s="43" t="str">
        <f>IF(CCUS_Projects_Database!$U782&lt;&gt;"",HYPERLINK(CCUS_Projects_Database!$U782,"Link 4"),"")</f>
        <v/>
      </c>
      <c r="AC782" s="43" t="str">
        <f>IF(CCUS_Projects_Database!$V782&lt;&gt;"",HYPERLINK(CCUS_Projects_Database!$V782,"Link 5"),"")</f>
        <v/>
      </c>
      <c r="AD782" s="43" t="str">
        <f>IF(CCUS_Projects_Database!$W782&lt;&gt;"",HYPERLINK(CCUS_Projects_Database!$W782,"Link 6"),"")</f>
        <v/>
      </c>
      <c r="AE782" s="43" t="str">
        <f>IF(CCUS_Projects_Database!$X782&lt;&gt;"",HYPERLINK(CCUS_Projects_Database!$X782,"Link 7"),"")</f>
        <v/>
      </c>
    </row>
    <row r="783" ht="15.75" customHeight="1">
      <c r="A783" s="44" t="s">
        <v>2815</v>
      </c>
      <c r="B783" s="45">
        <v>1091.0</v>
      </c>
      <c r="C783" s="45" t="s">
        <v>1099</v>
      </c>
      <c r="D783" s="46" t="s">
        <v>2816</v>
      </c>
      <c r="E783" s="45" t="s">
        <v>8</v>
      </c>
      <c r="F783" s="45">
        <v>2023.0</v>
      </c>
      <c r="G783" s="45" t="s">
        <v>124</v>
      </c>
      <c r="H783" s="45">
        <v>2030.0</v>
      </c>
      <c r="I783" s="45" t="s">
        <v>124</v>
      </c>
      <c r="J783" s="45" t="s">
        <v>28</v>
      </c>
      <c r="K783" s="47" t="s">
        <v>124</v>
      </c>
      <c r="L783" s="47"/>
      <c r="M783" s="47" t="s">
        <v>124</v>
      </c>
      <c r="N783" s="45" t="s">
        <v>46</v>
      </c>
      <c r="O783" s="48" t="s">
        <v>71</v>
      </c>
      <c r="P783" s="49" t="s">
        <v>2812</v>
      </c>
      <c r="Q783" s="45" t="s">
        <v>148</v>
      </c>
      <c r="R783" s="49" t="s">
        <v>1102</v>
      </c>
      <c r="S783" s="49" t="s">
        <v>124</v>
      </c>
      <c r="T783" s="49" t="s">
        <v>124</v>
      </c>
      <c r="U783" s="49" t="s">
        <v>124</v>
      </c>
      <c r="V783" s="49" t="s">
        <v>124</v>
      </c>
      <c r="W783" s="49" t="s">
        <v>124</v>
      </c>
      <c r="X783" s="49" t="s">
        <v>124</v>
      </c>
      <c r="Y783" s="50" t="str">
        <f>IF(CCUS_Projects_Database!$R783&lt;&gt;"",HYPERLINK(CCUS_Projects_Database!$R783,"Link 1"),"")</f>
        <v>Link 1</v>
      </c>
      <c r="Z783" s="50" t="str">
        <f>IF(CCUS_Projects_Database!$S783&lt;&gt;"",HYPERLINK(CCUS_Projects_Database!$S783,"Link 2"),"")</f>
        <v/>
      </c>
      <c r="AA783" s="50" t="str">
        <f>IF(CCUS_Projects_Database!$T783&lt;&gt;"",HYPERLINK(CCUS_Projects_Database!$T783,"Link 3"),"")</f>
        <v/>
      </c>
      <c r="AB783" s="50" t="str">
        <f>IF(CCUS_Projects_Database!$U783&lt;&gt;"",HYPERLINK(CCUS_Projects_Database!$U783,"Link 4"),"")</f>
        <v/>
      </c>
      <c r="AC783" s="50" t="str">
        <f>IF(CCUS_Projects_Database!$V783&lt;&gt;"",HYPERLINK(CCUS_Projects_Database!$V783,"Link 5"),"")</f>
        <v/>
      </c>
      <c r="AD783" s="50" t="str">
        <f>IF(CCUS_Projects_Database!$W783&lt;&gt;"",HYPERLINK(CCUS_Projects_Database!$W783,"Link 6"),"")</f>
        <v/>
      </c>
      <c r="AE783" s="50" t="str">
        <f>IF(CCUS_Projects_Database!$X783&lt;&gt;"",HYPERLINK(CCUS_Projects_Database!$X783,"Link 7"),"")</f>
        <v/>
      </c>
    </row>
    <row r="784" ht="15.75" customHeight="1">
      <c r="A784" s="37" t="s">
        <v>2817</v>
      </c>
      <c r="B784" s="38">
        <v>1092.0</v>
      </c>
      <c r="C784" s="38" t="s">
        <v>1099</v>
      </c>
      <c r="D784" s="39" t="s">
        <v>2818</v>
      </c>
      <c r="E784" s="38" t="s">
        <v>8</v>
      </c>
      <c r="F784" s="38">
        <v>2023.0</v>
      </c>
      <c r="G784" s="38" t="s">
        <v>124</v>
      </c>
      <c r="H784" s="38">
        <v>2030.0</v>
      </c>
      <c r="I784" s="38" t="s">
        <v>124</v>
      </c>
      <c r="J784" s="38" t="s">
        <v>28</v>
      </c>
      <c r="K784" s="40" t="s">
        <v>124</v>
      </c>
      <c r="L784" s="40"/>
      <c r="M784" s="40" t="s">
        <v>124</v>
      </c>
      <c r="N784" s="38" t="s">
        <v>54</v>
      </c>
      <c r="O784" s="41" t="s">
        <v>71</v>
      </c>
      <c r="P784" s="42" t="s">
        <v>2812</v>
      </c>
      <c r="Q784" s="38" t="s">
        <v>148</v>
      </c>
      <c r="R784" s="42" t="s">
        <v>1102</v>
      </c>
      <c r="S784" s="42" t="s">
        <v>124</v>
      </c>
      <c r="T784" s="42" t="s">
        <v>124</v>
      </c>
      <c r="U784" s="42" t="s">
        <v>124</v>
      </c>
      <c r="V784" s="42" t="s">
        <v>124</v>
      </c>
      <c r="W784" s="42" t="s">
        <v>124</v>
      </c>
      <c r="X784" s="42" t="s">
        <v>124</v>
      </c>
      <c r="Y784" s="43" t="str">
        <f>IF(CCUS_Projects_Database!$R784&lt;&gt;"",HYPERLINK(CCUS_Projects_Database!$R784,"Link 1"),"")</f>
        <v>Link 1</v>
      </c>
      <c r="Z784" s="43" t="str">
        <f>IF(CCUS_Projects_Database!$S784&lt;&gt;"",HYPERLINK(CCUS_Projects_Database!$S784,"Link 2"),"")</f>
        <v/>
      </c>
      <c r="AA784" s="43" t="str">
        <f>IF(CCUS_Projects_Database!$T784&lt;&gt;"",HYPERLINK(CCUS_Projects_Database!$T784,"Link 3"),"")</f>
        <v/>
      </c>
      <c r="AB784" s="43" t="str">
        <f>IF(CCUS_Projects_Database!$U784&lt;&gt;"",HYPERLINK(CCUS_Projects_Database!$U784,"Link 4"),"")</f>
        <v/>
      </c>
      <c r="AC784" s="43" t="str">
        <f>IF(CCUS_Projects_Database!$V784&lt;&gt;"",HYPERLINK(CCUS_Projects_Database!$V784,"Link 5"),"")</f>
        <v/>
      </c>
      <c r="AD784" s="43" t="str">
        <f>IF(CCUS_Projects_Database!$W784&lt;&gt;"",HYPERLINK(CCUS_Projects_Database!$W784,"Link 6"),"")</f>
        <v/>
      </c>
      <c r="AE784" s="43" t="str">
        <f>IF(CCUS_Projects_Database!$X784&lt;&gt;"",HYPERLINK(CCUS_Projects_Database!$X784,"Link 7"),"")</f>
        <v/>
      </c>
    </row>
    <row r="785" ht="15.75" customHeight="1">
      <c r="A785" s="44" t="s">
        <v>2819</v>
      </c>
      <c r="B785" s="45">
        <v>514.0</v>
      </c>
      <c r="C785" s="45" t="s">
        <v>239</v>
      </c>
      <c r="D785" s="46" t="s">
        <v>2820</v>
      </c>
      <c r="E785" s="45" t="s">
        <v>12</v>
      </c>
      <c r="F785" s="45">
        <v>2022.0</v>
      </c>
      <c r="G785" s="45" t="s">
        <v>124</v>
      </c>
      <c r="H785" s="45" t="s">
        <v>124</v>
      </c>
      <c r="I785" s="45" t="s">
        <v>124</v>
      </c>
      <c r="J785" s="45" t="s">
        <v>28</v>
      </c>
      <c r="K785" s="47" t="s">
        <v>124</v>
      </c>
      <c r="L785" s="52">
        <v>10.0</v>
      </c>
      <c r="M785" s="47">
        <v>10.0</v>
      </c>
      <c r="N785" s="45" t="s">
        <v>12</v>
      </c>
      <c r="O785" s="48" t="s">
        <v>71</v>
      </c>
      <c r="P785" s="49" t="s">
        <v>2819</v>
      </c>
      <c r="Q785" s="45" t="s">
        <v>143</v>
      </c>
      <c r="R785" s="49" t="s">
        <v>464</v>
      </c>
      <c r="S785" s="49" t="s">
        <v>124</v>
      </c>
      <c r="T785" s="49" t="s">
        <v>124</v>
      </c>
      <c r="U785" s="49" t="s">
        <v>124</v>
      </c>
      <c r="V785" s="49" t="s">
        <v>124</v>
      </c>
      <c r="W785" s="49" t="s">
        <v>124</v>
      </c>
      <c r="X785" s="49" t="s">
        <v>124</v>
      </c>
      <c r="Y785" s="50" t="str">
        <f>IF(CCUS_Projects_Database!$R785&lt;&gt;"",HYPERLINK(CCUS_Projects_Database!$R785,"Link 1"),"")</f>
        <v>Link 1</v>
      </c>
      <c r="Z785" s="50" t="str">
        <f>IF(CCUS_Projects_Database!$S785&lt;&gt;"",HYPERLINK(CCUS_Projects_Database!$S785,"Link 2"),"")</f>
        <v/>
      </c>
      <c r="AA785" s="50" t="str">
        <f>IF(CCUS_Projects_Database!$T785&lt;&gt;"",HYPERLINK(CCUS_Projects_Database!$T785,"Link 3"),"")</f>
        <v/>
      </c>
      <c r="AB785" s="50" t="str">
        <f>IF(CCUS_Projects_Database!$U785&lt;&gt;"",HYPERLINK(CCUS_Projects_Database!$U785,"Link 4"),"")</f>
        <v/>
      </c>
      <c r="AC785" s="50" t="str">
        <f>IF(CCUS_Projects_Database!$V785&lt;&gt;"",HYPERLINK(CCUS_Projects_Database!$V785,"Link 5"),"")</f>
        <v/>
      </c>
      <c r="AD785" s="50" t="str">
        <f>IF(CCUS_Projects_Database!$W785&lt;&gt;"",HYPERLINK(CCUS_Projects_Database!$W785,"Link 6"),"")</f>
        <v/>
      </c>
      <c r="AE785" s="50" t="str">
        <f>IF(CCUS_Projects_Database!$X785&lt;&gt;"",HYPERLINK(CCUS_Projects_Database!$X785,"Link 7"),"")</f>
        <v/>
      </c>
    </row>
    <row r="786" ht="15.75" customHeight="1">
      <c r="A786" s="37" t="s">
        <v>2821</v>
      </c>
      <c r="B786" s="38">
        <v>985.0</v>
      </c>
      <c r="C786" s="38" t="s">
        <v>141</v>
      </c>
      <c r="D786" s="39" t="s">
        <v>2822</v>
      </c>
      <c r="E786" s="38" t="s">
        <v>16</v>
      </c>
      <c r="F786" s="38">
        <v>2021.0</v>
      </c>
      <c r="G786" s="38" t="s">
        <v>124</v>
      </c>
      <c r="H786" s="38">
        <v>2023.0</v>
      </c>
      <c r="I786" s="38" t="s">
        <v>124</v>
      </c>
      <c r="J786" s="38" t="s">
        <v>32</v>
      </c>
      <c r="K786" s="40" t="s">
        <v>124</v>
      </c>
      <c r="L786" s="51">
        <v>0.001</v>
      </c>
      <c r="M786" s="40">
        <v>0.001</v>
      </c>
      <c r="N786" s="38" t="s">
        <v>64</v>
      </c>
      <c r="O786" s="41" t="s">
        <v>75</v>
      </c>
      <c r="P786" s="42" t="s">
        <v>124</v>
      </c>
      <c r="Q786" s="38" t="s">
        <v>143</v>
      </c>
      <c r="R786" s="42" t="s">
        <v>2823</v>
      </c>
      <c r="S786" s="42" t="s">
        <v>124</v>
      </c>
      <c r="T786" s="42" t="s">
        <v>124</v>
      </c>
      <c r="U786" s="42" t="s">
        <v>124</v>
      </c>
      <c r="V786" s="42" t="s">
        <v>124</v>
      </c>
      <c r="W786" s="42" t="s">
        <v>124</v>
      </c>
      <c r="X786" s="42" t="s">
        <v>124</v>
      </c>
      <c r="Y786" s="43" t="str">
        <f>IF(CCUS_Projects_Database!$R786&lt;&gt;"",HYPERLINK(CCUS_Projects_Database!$R786,"Link 1"),"")</f>
        <v>Link 1</v>
      </c>
      <c r="Z786" s="43" t="str">
        <f>IF(CCUS_Projects_Database!$S786&lt;&gt;"",HYPERLINK(CCUS_Projects_Database!$S786,"Link 2"),"")</f>
        <v/>
      </c>
      <c r="AA786" s="43" t="str">
        <f>IF(CCUS_Projects_Database!$T786&lt;&gt;"",HYPERLINK(CCUS_Projects_Database!$T786,"Link 3"),"")</f>
        <v/>
      </c>
      <c r="AB786" s="43" t="str">
        <f>IF(CCUS_Projects_Database!$U786&lt;&gt;"",HYPERLINK(CCUS_Projects_Database!$U786,"Link 4"),"")</f>
        <v/>
      </c>
      <c r="AC786" s="43" t="str">
        <f>IF(CCUS_Projects_Database!$V786&lt;&gt;"",HYPERLINK(CCUS_Projects_Database!$V786,"Link 5"),"")</f>
        <v/>
      </c>
      <c r="AD786" s="43" t="str">
        <f>IF(CCUS_Projects_Database!$W786&lt;&gt;"",HYPERLINK(CCUS_Projects_Database!$W786,"Link 6"),"")</f>
        <v/>
      </c>
      <c r="AE786" s="43" t="str">
        <f>IF(CCUS_Projects_Database!$X786&lt;&gt;"",HYPERLINK(CCUS_Projects_Database!$X786,"Link 7"),"")</f>
        <v/>
      </c>
    </row>
    <row r="787" ht="15.75" customHeight="1">
      <c r="A787" s="44" t="s">
        <v>2824</v>
      </c>
      <c r="B787" s="45">
        <v>769.0</v>
      </c>
      <c r="C787" s="45" t="s">
        <v>141</v>
      </c>
      <c r="D787" s="46" t="s">
        <v>1115</v>
      </c>
      <c r="E787" s="45" t="s">
        <v>10</v>
      </c>
      <c r="F787" s="45">
        <v>2022.0</v>
      </c>
      <c r="G787" s="45" t="s">
        <v>124</v>
      </c>
      <c r="H787" s="45" t="s">
        <v>124</v>
      </c>
      <c r="I787" s="45" t="s">
        <v>124</v>
      </c>
      <c r="J787" s="45" t="s">
        <v>28</v>
      </c>
      <c r="K787" s="47" t="s">
        <v>124</v>
      </c>
      <c r="L787" s="52">
        <v>10.0</v>
      </c>
      <c r="M787" s="47">
        <v>10.0</v>
      </c>
      <c r="N787" s="45" t="s">
        <v>10</v>
      </c>
      <c r="O787" s="48" t="s">
        <v>71</v>
      </c>
      <c r="P787" s="49" t="s">
        <v>630</v>
      </c>
      <c r="Q787" s="45" t="s">
        <v>143</v>
      </c>
      <c r="R787" s="49" t="s">
        <v>2825</v>
      </c>
      <c r="S787" s="49" t="s">
        <v>124</v>
      </c>
      <c r="T787" s="49" t="s">
        <v>124</v>
      </c>
      <c r="U787" s="49" t="s">
        <v>124</v>
      </c>
      <c r="V787" s="49" t="s">
        <v>124</v>
      </c>
      <c r="W787" s="49" t="s">
        <v>124</v>
      </c>
      <c r="X787" s="49" t="s">
        <v>124</v>
      </c>
      <c r="Y787" s="50" t="str">
        <f>IF(CCUS_Projects_Database!$R787&lt;&gt;"",HYPERLINK(CCUS_Projects_Database!$R787,"Link 1"),"")</f>
        <v>Link 1</v>
      </c>
      <c r="Z787" s="50" t="str">
        <f>IF(CCUS_Projects_Database!$S787&lt;&gt;"",HYPERLINK(CCUS_Projects_Database!$S787,"Link 2"),"")</f>
        <v/>
      </c>
      <c r="AA787" s="50" t="str">
        <f>IF(CCUS_Projects_Database!$T787&lt;&gt;"",HYPERLINK(CCUS_Projects_Database!$T787,"Link 3"),"")</f>
        <v/>
      </c>
      <c r="AB787" s="50" t="str">
        <f>IF(CCUS_Projects_Database!$U787&lt;&gt;"",HYPERLINK(CCUS_Projects_Database!$U787,"Link 4"),"")</f>
        <v/>
      </c>
      <c r="AC787" s="50" t="str">
        <f>IF(CCUS_Projects_Database!$V787&lt;&gt;"",HYPERLINK(CCUS_Projects_Database!$V787,"Link 5"),"")</f>
        <v/>
      </c>
      <c r="AD787" s="50" t="str">
        <f>IF(CCUS_Projects_Database!$W787&lt;&gt;"",HYPERLINK(CCUS_Projects_Database!$W787,"Link 6"),"")</f>
        <v/>
      </c>
      <c r="AE787" s="50" t="str">
        <f>IF(CCUS_Projects_Database!$X787&lt;&gt;"",HYPERLINK(CCUS_Projects_Database!$X787,"Link 7"),"")</f>
        <v/>
      </c>
    </row>
    <row r="788" ht="15.75" customHeight="1">
      <c r="A788" s="37" t="s">
        <v>2826</v>
      </c>
      <c r="B788" s="38">
        <v>983.0</v>
      </c>
      <c r="C788" s="38" t="s">
        <v>141</v>
      </c>
      <c r="D788" s="39" t="s">
        <v>387</v>
      </c>
      <c r="E788" s="38" t="s">
        <v>12</v>
      </c>
      <c r="F788" s="38">
        <v>2023.0</v>
      </c>
      <c r="G788" s="38" t="s">
        <v>124</v>
      </c>
      <c r="H788" s="38" t="s">
        <v>124</v>
      </c>
      <c r="I788" s="38" t="s">
        <v>124</v>
      </c>
      <c r="J788" s="38" t="s">
        <v>28</v>
      </c>
      <c r="K788" s="40" t="s">
        <v>124</v>
      </c>
      <c r="L788" s="40"/>
      <c r="M788" s="40" t="s">
        <v>124</v>
      </c>
      <c r="N788" s="38" t="s">
        <v>12</v>
      </c>
      <c r="O788" s="41" t="s">
        <v>71</v>
      </c>
      <c r="P788" s="42" t="s">
        <v>2826</v>
      </c>
      <c r="Q788" s="38" t="s">
        <v>143</v>
      </c>
      <c r="R788" s="42" t="s">
        <v>155</v>
      </c>
      <c r="S788" s="42" t="s">
        <v>124</v>
      </c>
      <c r="T788" s="42" t="s">
        <v>124</v>
      </c>
      <c r="U788" s="42" t="s">
        <v>124</v>
      </c>
      <c r="V788" s="42" t="s">
        <v>124</v>
      </c>
      <c r="W788" s="42" t="s">
        <v>124</v>
      </c>
      <c r="X788" s="42" t="s">
        <v>124</v>
      </c>
      <c r="Y788" s="43" t="str">
        <f>IF(CCUS_Projects_Database!$R788&lt;&gt;"",HYPERLINK(CCUS_Projects_Database!$R788,"Link 1"),"")</f>
        <v>Link 1</v>
      </c>
      <c r="Z788" s="43" t="str">
        <f>IF(CCUS_Projects_Database!$S788&lt;&gt;"",HYPERLINK(CCUS_Projects_Database!$S788,"Link 2"),"")</f>
        <v/>
      </c>
      <c r="AA788" s="43" t="str">
        <f>IF(CCUS_Projects_Database!$T788&lt;&gt;"",HYPERLINK(CCUS_Projects_Database!$T788,"Link 3"),"")</f>
        <v/>
      </c>
      <c r="AB788" s="43" t="str">
        <f>IF(CCUS_Projects_Database!$U788&lt;&gt;"",HYPERLINK(CCUS_Projects_Database!$U788,"Link 4"),"")</f>
        <v/>
      </c>
      <c r="AC788" s="43" t="str">
        <f>IF(CCUS_Projects_Database!$V788&lt;&gt;"",HYPERLINK(CCUS_Projects_Database!$V788,"Link 5"),"")</f>
        <v/>
      </c>
      <c r="AD788" s="43" t="str">
        <f>IF(CCUS_Projects_Database!$W788&lt;&gt;"",HYPERLINK(CCUS_Projects_Database!$W788,"Link 6"),"")</f>
        <v/>
      </c>
      <c r="AE788" s="43" t="str">
        <f>IF(CCUS_Projects_Database!$X788&lt;&gt;"",HYPERLINK(CCUS_Projects_Database!$X788,"Link 7"),"")</f>
        <v/>
      </c>
    </row>
    <row r="789" ht="15.75" customHeight="1">
      <c r="A789" s="44" t="s">
        <v>2827</v>
      </c>
      <c r="B789" s="45">
        <v>710.0</v>
      </c>
      <c r="C789" s="45" t="s">
        <v>284</v>
      </c>
      <c r="D789" s="46" t="s">
        <v>2828</v>
      </c>
      <c r="E789" s="45" t="s">
        <v>12</v>
      </c>
      <c r="F789" s="45">
        <v>2023.0</v>
      </c>
      <c r="G789" s="45">
        <v>2027.0</v>
      </c>
      <c r="H789" s="45">
        <v>2029.0</v>
      </c>
      <c r="I789" s="45" t="s">
        <v>124</v>
      </c>
      <c r="J789" s="45" t="s">
        <v>28</v>
      </c>
      <c r="K789" s="47" t="s">
        <v>124</v>
      </c>
      <c r="L789" s="52">
        <v>7.5</v>
      </c>
      <c r="M789" s="47">
        <v>10.0</v>
      </c>
      <c r="N789" s="45" t="s">
        <v>12</v>
      </c>
      <c r="O789" s="48" t="s">
        <v>71</v>
      </c>
      <c r="P789" s="49" t="s">
        <v>2829</v>
      </c>
      <c r="Q789" s="45" t="s">
        <v>125</v>
      </c>
      <c r="R789" s="49" t="s">
        <v>2830</v>
      </c>
      <c r="S789" s="49" t="s">
        <v>124</v>
      </c>
      <c r="T789" s="49" t="s">
        <v>124</v>
      </c>
      <c r="U789" s="49" t="s">
        <v>124</v>
      </c>
      <c r="V789" s="49" t="s">
        <v>124</v>
      </c>
      <c r="W789" s="49" t="s">
        <v>124</v>
      </c>
      <c r="X789" s="49" t="s">
        <v>124</v>
      </c>
      <c r="Y789" s="50" t="str">
        <f>IF(CCUS_Projects_Database!$R789&lt;&gt;"",HYPERLINK(CCUS_Projects_Database!$R789,"Link 1"),"")</f>
        <v>Link 1</v>
      </c>
      <c r="Z789" s="50" t="str">
        <f>IF(CCUS_Projects_Database!$S789&lt;&gt;"",HYPERLINK(CCUS_Projects_Database!$S789,"Link 2"),"")</f>
        <v/>
      </c>
      <c r="AA789" s="50" t="str">
        <f>IF(CCUS_Projects_Database!$T789&lt;&gt;"",HYPERLINK(CCUS_Projects_Database!$T789,"Link 3"),"")</f>
        <v/>
      </c>
      <c r="AB789" s="50" t="str">
        <f>IF(CCUS_Projects_Database!$U789&lt;&gt;"",HYPERLINK(CCUS_Projects_Database!$U789,"Link 4"),"")</f>
        <v/>
      </c>
      <c r="AC789" s="50" t="str">
        <f>IF(CCUS_Projects_Database!$V789&lt;&gt;"",HYPERLINK(CCUS_Projects_Database!$V789,"Link 5"),"")</f>
        <v/>
      </c>
      <c r="AD789" s="50" t="str">
        <f>IF(CCUS_Projects_Database!$W789&lt;&gt;"",HYPERLINK(CCUS_Projects_Database!$W789,"Link 6"),"")</f>
        <v/>
      </c>
      <c r="AE789" s="50" t="str">
        <f>IF(CCUS_Projects_Database!$X789&lt;&gt;"",HYPERLINK(CCUS_Projects_Database!$X789,"Link 7"),"")</f>
        <v/>
      </c>
    </row>
    <row r="790" ht="15.75" customHeight="1">
      <c r="A790" s="37" t="s">
        <v>2831</v>
      </c>
      <c r="B790" s="38">
        <v>713.0</v>
      </c>
      <c r="C790" s="38" t="s">
        <v>141</v>
      </c>
      <c r="D790" s="39" t="s">
        <v>2024</v>
      </c>
      <c r="E790" s="38" t="s">
        <v>12</v>
      </c>
      <c r="F790" s="38">
        <v>2023.0</v>
      </c>
      <c r="G790" s="38" t="s">
        <v>124</v>
      </c>
      <c r="H790" s="38" t="s">
        <v>124</v>
      </c>
      <c r="I790" s="38" t="s">
        <v>124</v>
      </c>
      <c r="J790" s="38" t="s">
        <v>28</v>
      </c>
      <c r="K790" s="40" t="s">
        <v>124</v>
      </c>
      <c r="L790" s="40"/>
      <c r="M790" s="40" t="s">
        <v>124</v>
      </c>
      <c r="N790" s="38" t="s">
        <v>12</v>
      </c>
      <c r="O790" s="41" t="s">
        <v>71</v>
      </c>
      <c r="P790" s="42" t="s">
        <v>2831</v>
      </c>
      <c r="Q790" s="38" t="s">
        <v>143</v>
      </c>
      <c r="R790" s="42" t="s">
        <v>613</v>
      </c>
      <c r="S790" s="42" t="s">
        <v>124</v>
      </c>
      <c r="T790" s="42" t="s">
        <v>124</v>
      </c>
      <c r="U790" s="42" t="s">
        <v>124</v>
      </c>
      <c r="V790" s="42" t="s">
        <v>124</v>
      </c>
      <c r="W790" s="42" t="s">
        <v>124</v>
      </c>
      <c r="X790" s="42" t="s">
        <v>124</v>
      </c>
      <c r="Y790" s="43" t="str">
        <f>IF(CCUS_Projects_Database!$R790&lt;&gt;"",HYPERLINK(CCUS_Projects_Database!$R790,"Link 1"),"")</f>
        <v>Link 1</v>
      </c>
      <c r="Z790" s="43" t="str">
        <f>IF(CCUS_Projects_Database!$S790&lt;&gt;"",HYPERLINK(CCUS_Projects_Database!$S790,"Link 2"),"")</f>
        <v/>
      </c>
      <c r="AA790" s="43" t="str">
        <f>IF(CCUS_Projects_Database!$T790&lt;&gt;"",HYPERLINK(CCUS_Projects_Database!$T790,"Link 3"),"")</f>
        <v/>
      </c>
      <c r="AB790" s="43" t="str">
        <f>IF(CCUS_Projects_Database!$U790&lt;&gt;"",HYPERLINK(CCUS_Projects_Database!$U790,"Link 4"),"")</f>
        <v/>
      </c>
      <c r="AC790" s="43" t="str">
        <f>IF(CCUS_Projects_Database!$V790&lt;&gt;"",HYPERLINK(CCUS_Projects_Database!$V790,"Link 5"),"")</f>
        <v/>
      </c>
      <c r="AD790" s="43" t="str">
        <f>IF(CCUS_Projects_Database!$W790&lt;&gt;"",HYPERLINK(CCUS_Projects_Database!$W790,"Link 6"),"")</f>
        <v/>
      </c>
      <c r="AE790" s="43" t="str">
        <f>IF(CCUS_Projects_Database!$X790&lt;&gt;"",HYPERLINK(CCUS_Projects_Database!$X790,"Link 7"),"")</f>
        <v/>
      </c>
    </row>
    <row r="791" ht="15.75" customHeight="1">
      <c r="A791" s="44" t="s">
        <v>2832</v>
      </c>
      <c r="B791" s="45">
        <v>1037.0</v>
      </c>
      <c r="C791" s="45" t="s">
        <v>239</v>
      </c>
      <c r="D791" s="46" t="s">
        <v>2833</v>
      </c>
      <c r="E791" s="45" t="s">
        <v>8</v>
      </c>
      <c r="F791" s="45">
        <v>2015.0</v>
      </c>
      <c r="G791" s="45" t="s">
        <v>124</v>
      </c>
      <c r="H791" s="45">
        <v>2028.0</v>
      </c>
      <c r="I791" s="45" t="s">
        <v>124</v>
      </c>
      <c r="J791" s="45" t="s">
        <v>28</v>
      </c>
      <c r="K791" s="47" t="s">
        <v>124</v>
      </c>
      <c r="L791" s="47"/>
      <c r="M791" s="47" t="s">
        <v>124</v>
      </c>
      <c r="N791" s="45" t="s">
        <v>136</v>
      </c>
      <c r="O791" s="48" t="s">
        <v>71</v>
      </c>
      <c r="P791" s="49" t="s">
        <v>124</v>
      </c>
      <c r="Q791" s="45" t="s">
        <v>143</v>
      </c>
      <c r="R791" s="49" t="s">
        <v>124</v>
      </c>
      <c r="S791" s="49" t="s">
        <v>124</v>
      </c>
      <c r="T791" s="49" t="s">
        <v>124</v>
      </c>
      <c r="U791" s="49" t="s">
        <v>124</v>
      </c>
      <c r="V791" s="49" t="s">
        <v>124</v>
      </c>
      <c r="W791" s="49" t="s">
        <v>124</v>
      </c>
      <c r="X791" s="49" t="s">
        <v>124</v>
      </c>
      <c r="Y791" s="50" t="str">
        <f>IF(CCUS_Projects_Database!$R791&lt;&gt;"",HYPERLINK(CCUS_Projects_Database!$R791,"Link 1"),"")</f>
        <v/>
      </c>
      <c r="Z791" s="50" t="str">
        <f>IF(CCUS_Projects_Database!$S791&lt;&gt;"",HYPERLINK(CCUS_Projects_Database!$S791,"Link 2"),"")</f>
        <v/>
      </c>
      <c r="AA791" s="50" t="str">
        <f>IF(CCUS_Projects_Database!$T791&lt;&gt;"",HYPERLINK(CCUS_Projects_Database!$T791,"Link 3"),"")</f>
        <v/>
      </c>
      <c r="AB791" s="50" t="str">
        <f>IF(CCUS_Projects_Database!$U791&lt;&gt;"",HYPERLINK(CCUS_Projects_Database!$U791,"Link 4"),"")</f>
        <v/>
      </c>
      <c r="AC791" s="50" t="str">
        <f>IF(CCUS_Projects_Database!$V791&lt;&gt;"",HYPERLINK(CCUS_Projects_Database!$V791,"Link 5"),"")</f>
        <v/>
      </c>
      <c r="AD791" s="50" t="str">
        <f>IF(CCUS_Projects_Database!$W791&lt;&gt;"",HYPERLINK(CCUS_Projects_Database!$W791,"Link 6"),"")</f>
        <v/>
      </c>
      <c r="AE791" s="50" t="str">
        <f>IF(CCUS_Projects_Database!$X791&lt;&gt;"",HYPERLINK(CCUS_Projects_Database!$X791,"Link 7"),"")</f>
        <v/>
      </c>
    </row>
    <row r="792" ht="15.75" customHeight="1">
      <c r="A792" s="37" t="s">
        <v>2834</v>
      </c>
      <c r="B792" s="38">
        <v>1036.0</v>
      </c>
      <c r="C792" s="38" t="s">
        <v>239</v>
      </c>
      <c r="D792" s="39" t="s">
        <v>2833</v>
      </c>
      <c r="E792" s="38" t="s">
        <v>16</v>
      </c>
      <c r="F792" s="38">
        <v>2015.0</v>
      </c>
      <c r="G792" s="38" t="s">
        <v>124</v>
      </c>
      <c r="H792" s="38">
        <v>2028.0</v>
      </c>
      <c r="I792" s="38" t="s">
        <v>124</v>
      </c>
      <c r="J792" s="38" t="s">
        <v>28</v>
      </c>
      <c r="K792" s="40" t="s">
        <v>124</v>
      </c>
      <c r="L792" s="40"/>
      <c r="M792" s="40">
        <v>0.233</v>
      </c>
      <c r="N792" s="38" t="s">
        <v>62</v>
      </c>
      <c r="O792" s="41" t="s">
        <v>75</v>
      </c>
      <c r="P792" s="42" t="s">
        <v>124</v>
      </c>
      <c r="Q792" s="38" t="s">
        <v>143</v>
      </c>
      <c r="R792" s="42" t="s">
        <v>2835</v>
      </c>
      <c r="S792" s="42" t="s">
        <v>124</v>
      </c>
      <c r="T792" s="42" t="s">
        <v>124</v>
      </c>
      <c r="U792" s="42" t="s">
        <v>124</v>
      </c>
      <c r="V792" s="42" t="s">
        <v>124</v>
      </c>
      <c r="W792" s="42" t="s">
        <v>124</v>
      </c>
      <c r="X792" s="42" t="s">
        <v>124</v>
      </c>
      <c r="Y792" s="43" t="str">
        <f>IF(CCUS_Projects_Database!$R792&lt;&gt;"",HYPERLINK(CCUS_Projects_Database!$R792,"Link 1"),"")</f>
        <v>Link 1</v>
      </c>
      <c r="Z792" s="43" t="str">
        <f>IF(CCUS_Projects_Database!$S792&lt;&gt;"",HYPERLINK(CCUS_Projects_Database!$S792,"Link 2"),"")</f>
        <v/>
      </c>
      <c r="AA792" s="43" t="str">
        <f>IF(CCUS_Projects_Database!$T792&lt;&gt;"",HYPERLINK(CCUS_Projects_Database!$T792,"Link 3"),"")</f>
        <v/>
      </c>
      <c r="AB792" s="43" t="str">
        <f>IF(CCUS_Projects_Database!$U792&lt;&gt;"",HYPERLINK(CCUS_Projects_Database!$U792,"Link 4"),"")</f>
        <v/>
      </c>
      <c r="AC792" s="43" t="str">
        <f>IF(CCUS_Projects_Database!$V792&lt;&gt;"",HYPERLINK(CCUS_Projects_Database!$V792,"Link 5"),"")</f>
        <v/>
      </c>
      <c r="AD792" s="43" t="str">
        <f>IF(CCUS_Projects_Database!$W792&lt;&gt;"",HYPERLINK(CCUS_Projects_Database!$W792,"Link 6"),"")</f>
        <v/>
      </c>
      <c r="AE792" s="43" t="str">
        <f>IF(CCUS_Projects_Database!$X792&lt;&gt;"",HYPERLINK(CCUS_Projects_Database!$X792,"Link 7"),"")</f>
        <v/>
      </c>
    </row>
    <row r="793" ht="15.75" customHeight="1">
      <c r="A793" s="44" t="s">
        <v>2836</v>
      </c>
      <c r="B793" s="45">
        <v>394.0</v>
      </c>
      <c r="C793" s="45" t="s">
        <v>204</v>
      </c>
      <c r="D793" s="46" t="s">
        <v>2837</v>
      </c>
      <c r="E793" s="45" t="s">
        <v>16</v>
      </c>
      <c r="F793" s="45">
        <v>2019.0</v>
      </c>
      <c r="G793" s="45">
        <v>2021.0</v>
      </c>
      <c r="H793" s="45">
        <v>2024.0</v>
      </c>
      <c r="I793" s="45" t="s">
        <v>124</v>
      </c>
      <c r="J793" s="45" t="s">
        <v>30</v>
      </c>
      <c r="K793" s="47" t="s">
        <v>124</v>
      </c>
      <c r="L793" s="52">
        <v>0.1</v>
      </c>
      <c r="M793" s="47">
        <v>0.1</v>
      </c>
      <c r="N793" s="45" t="s">
        <v>46</v>
      </c>
      <c r="O793" s="48" t="s">
        <v>75</v>
      </c>
      <c r="P793" s="49" t="s">
        <v>124</v>
      </c>
      <c r="Q793" s="45" t="s">
        <v>125</v>
      </c>
      <c r="R793" s="49" t="s">
        <v>2838</v>
      </c>
      <c r="S793" s="49" t="s">
        <v>2839</v>
      </c>
      <c r="T793" s="49" t="s">
        <v>2840</v>
      </c>
      <c r="U793" s="49" t="s">
        <v>124</v>
      </c>
      <c r="V793" s="49" t="s">
        <v>124</v>
      </c>
      <c r="W793" s="49" t="s">
        <v>124</v>
      </c>
      <c r="X793" s="49" t="s">
        <v>124</v>
      </c>
      <c r="Y793" s="50" t="str">
        <f>IF(CCUS_Projects_Database!$R793&lt;&gt;"",HYPERLINK(CCUS_Projects_Database!$R793,"Link 1"),"")</f>
        <v>Link 1</v>
      </c>
      <c r="Z793" s="50" t="str">
        <f>IF(CCUS_Projects_Database!$S793&lt;&gt;"",HYPERLINK(CCUS_Projects_Database!$S793,"Link 2"),"")</f>
        <v>Link 2</v>
      </c>
      <c r="AA793" s="50" t="str">
        <f>IF(CCUS_Projects_Database!$T793&lt;&gt;"",HYPERLINK(CCUS_Projects_Database!$T793,"Link 3"),"")</f>
        <v>Link 3</v>
      </c>
      <c r="AB793" s="50" t="str">
        <f>IF(CCUS_Projects_Database!$U793&lt;&gt;"",HYPERLINK(CCUS_Projects_Database!$U793,"Link 4"),"")</f>
        <v/>
      </c>
      <c r="AC793" s="50" t="str">
        <f>IF(CCUS_Projects_Database!$V793&lt;&gt;"",HYPERLINK(CCUS_Projects_Database!$V793,"Link 5"),"")</f>
        <v/>
      </c>
      <c r="AD793" s="50" t="str">
        <f>IF(CCUS_Projects_Database!$W793&lt;&gt;"",HYPERLINK(CCUS_Projects_Database!$W793,"Link 6"),"")</f>
        <v/>
      </c>
      <c r="AE793" s="50" t="str">
        <f>IF(CCUS_Projects_Database!$X793&lt;&gt;"",HYPERLINK(CCUS_Projects_Database!$X793,"Link 7"),"")</f>
        <v/>
      </c>
    </row>
    <row r="794" ht="15.75" customHeight="1">
      <c r="A794" s="37" t="s">
        <v>2841</v>
      </c>
      <c r="B794" s="38">
        <v>845.0</v>
      </c>
      <c r="C794" s="38" t="s">
        <v>157</v>
      </c>
      <c r="D794" s="39" t="s">
        <v>2842</v>
      </c>
      <c r="E794" s="38" t="s">
        <v>12</v>
      </c>
      <c r="F794" s="38">
        <v>2023.0</v>
      </c>
      <c r="G794" s="38">
        <v>2026.0</v>
      </c>
      <c r="H794" s="38">
        <v>2029.0</v>
      </c>
      <c r="I794" s="38" t="s">
        <v>124</v>
      </c>
      <c r="J794" s="38" t="s">
        <v>28</v>
      </c>
      <c r="K794" s="40">
        <v>1.0</v>
      </c>
      <c r="L794" s="51">
        <v>1.5</v>
      </c>
      <c r="M794" s="40">
        <v>1.5</v>
      </c>
      <c r="N794" s="38" t="s">
        <v>12</v>
      </c>
      <c r="O794" s="41" t="s">
        <v>71</v>
      </c>
      <c r="P794" s="42" t="s">
        <v>2843</v>
      </c>
      <c r="Q794" s="38" t="s">
        <v>125</v>
      </c>
      <c r="R794" s="42" t="s">
        <v>2415</v>
      </c>
      <c r="S794" s="42" t="s">
        <v>1204</v>
      </c>
      <c r="T794" s="42" t="s">
        <v>2844</v>
      </c>
      <c r="U794" s="42" t="s">
        <v>124</v>
      </c>
      <c r="V794" s="42" t="s">
        <v>124</v>
      </c>
      <c r="W794" s="42" t="s">
        <v>124</v>
      </c>
      <c r="X794" s="42" t="s">
        <v>124</v>
      </c>
      <c r="Y794" s="43" t="str">
        <f>IF(CCUS_Projects_Database!$R794&lt;&gt;"",HYPERLINK(CCUS_Projects_Database!$R794,"Link 1"),"")</f>
        <v>Link 1</v>
      </c>
      <c r="Z794" s="43" t="str">
        <f>IF(CCUS_Projects_Database!$S794&lt;&gt;"",HYPERLINK(CCUS_Projects_Database!$S794,"Link 2"),"")</f>
        <v>Link 2</v>
      </c>
      <c r="AA794" s="43" t="str">
        <f>IF(CCUS_Projects_Database!$T794&lt;&gt;"",HYPERLINK(CCUS_Projects_Database!$T794,"Link 3"),"")</f>
        <v>Link 3</v>
      </c>
      <c r="AB794" s="43" t="str">
        <f>IF(CCUS_Projects_Database!$U794&lt;&gt;"",HYPERLINK(CCUS_Projects_Database!$U794,"Link 4"),"")</f>
        <v/>
      </c>
      <c r="AC794" s="43" t="str">
        <f>IF(CCUS_Projects_Database!$V794&lt;&gt;"",HYPERLINK(CCUS_Projects_Database!$V794,"Link 5"),"")</f>
        <v/>
      </c>
      <c r="AD794" s="43" t="str">
        <f>IF(CCUS_Projects_Database!$W794&lt;&gt;"",HYPERLINK(CCUS_Projects_Database!$W794,"Link 6"),"")</f>
        <v/>
      </c>
      <c r="AE794" s="43" t="str">
        <f>IF(CCUS_Projects_Database!$X794&lt;&gt;"",HYPERLINK(CCUS_Projects_Database!$X794,"Link 7"),"")</f>
        <v/>
      </c>
    </row>
    <row r="795" ht="15.75" customHeight="1">
      <c r="A795" s="44" t="s">
        <v>2845</v>
      </c>
      <c r="B795" s="45">
        <v>846.0</v>
      </c>
      <c r="C795" s="45" t="s">
        <v>157</v>
      </c>
      <c r="D795" s="46" t="s">
        <v>2842</v>
      </c>
      <c r="E795" s="45" t="s">
        <v>12</v>
      </c>
      <c r="F795" s="45">
        <v>2023.0</v>
      </c>
      <c r="G795" s="45">
        <v>2026.0</v>
      </c>
      <c r="H795" s="45">
        <v>2030.0</v>
      </c>
      <c r="I795" s="45" t="s">
        <v>124</v>
      </c>
      <c r="J795" s="45" t="s">
        <v>28</v>
      </c>
      <c r="K795" s="47">
        <v>2.0</v>
      </c>
      <c r="L795" s="52">
        <v>8.5</v>
      </c>
      <c r="M795" s="47">
        <v>8.5</v>
      </c>
      <c r="N795" s="45" t="s">
        <v>12</v>
      </c>
      <c r="O795" s="48" t="s">
        <v>71</v>
      </c>
      <c r="P795" s="49" t="s">
        <v>2843</v>
      </c>
      <c r="Q795" s="45" t="s">
        <v>125</v>
      </c>
      <c r="R795" s="49" t="s">
        <v>2846</v>
      </c>
      <c r="S795" s="49" t="s">
        <v>1204</v>
      </c>
      <c r="T795" s="49" t="s">
        <v>2844</v>
      </c>
      <c r="U795" s="49" t="s">
        <v>124</v>
      </c>
      <c r="V795" s="49" t="s">
        <v>124</v>
      </c>
      <c r="W795" s="49" t="s">
        <v>124</v>
      </c>
      <c r="X795" s="49" t="s">
        <v>124</v>
      </c>
      <c r="Y795" s="50" t="str">
        <f>IF(CCUS_Projects_Database!$R795&lt;&gt;"",HYPERLINK(CCUS_Projects_Database!$R795,"Link 1"),"")</f>
        <v>Link 1</v>
      </c>
      <c r="Z795" s="50" t="str">
        <f>IF(CCUS_Projects_Database!$S795&lt;&gt;"",HYPERLINK(CCUS_Projects_Database!$S795,"Link 2"),"")</f>
        <v>Link 2</v>
      </c>
      <c r="AA795" s="50" t="str">
        <f>IF(CCUS_Projects_Database!$T795&lt;&gt;"",HYPERLINK(CCUS_Projects_Database!$T795,"Link 3"),"")</f>
        <v>Link 3</v>
      </c>
      <c r="AB795" s="50" t="str">
        <f>IF(CCUS_Projects_Database!$U795&lt;&gt;"",HYPERLINK(CCUS_Projects_Database!$U795,"Link 4"),"")</f>
        <v/>
      </c>
      <c r="AC795" s="50" t="str">
        <f>IF(CCUS_Projects_Database!$V795&lt;&gt;"",HYPERLINK(CCUS_Projects_Database!$V795,"Link 5"),"")</f>
        <v/>
      </c>
      <c r="AD795" s="50" t="str">
        <f>IF(CCUS_Projects_Database!$W795&lt;&gt;"",HYPERLINK(CCUS_Projects_Database!$W795,"Link 6"),"")</f>
        <v/>
      </c>
      <c r="AE795" s="50" t="str">
        <f>IF(CCUS_Projects_Database!$X795&lt;&gt;"",HYPERLINK(CCUS_Projects_Database!$X795,"Link 7"),"")</f>
        <v/>
      </c>
    </row>
    <row r="796" ht="15.75" customHeight="1">
      <c r="A796" s="37" t="s">
        <v>2845</v>
      </c>
      <c r="B796" s="38">
        <v>847.0</v>
      </c>
      <c r="C796" s="38" t="s">
        <v>157</v>
      </c>
      <c r="D796" s="39" t="s">
        <v>2842</v>
      </c>
      <c r="E796" s="38" t="s">
        <v>12</v>
      </c>
      <c r="F796" s="38">
        <v>2023.0</v>
      </c>
      <c r="G796" s="38">
        <v>2026.0</v>
      </c>
      <c r="H796" s="38">
        <v>2040.0</v>
      </c>
      <c r="I796" s="38" t="s">
        <v>124</v>
      </c>
      <c r="J796" s="38" t="s">
        <v>28</v>
      </c>
      <c r="K796" s="40">
        <v>3.0</v>
      </c>
      <c r="L796" s="51">
        <v>30.0</v>
      </c>
      <c r="M796" s="40">
        <v>30.0</v>
      </c>
      <c r="N796" s="38" t="s">
        <v>12</v>
      </c>
      <c r="O796" s="41" t="s">
        <v>71</v>
      </c>
      <c r="P796" s="42" t="s">
        <v>2843</v>
      </c>
      <c r="Q796" s="38" t="s">
        <v>125</v>
      </c>
      <c r="R796" s="42" t="s">
        <v>2415</v>
      </c>
      <c r="S796" s="42" t="s">
        <v>1204</v>
      </c>
      <c r="T796" s="42" t="s">
        <v>2844</v>
      </c>
      <c r="U796" s="42" t="s">
        <v>124</v>
      </c>
      <c r="V796" s="42" t="s">
        <v>124</v>
      </c>
      <c r="W796" s="42" t="s">
        <v>124</v>
      </c>
      <c r="X796" s="42" t="s">
        <v>124</v>
      </c>
      <c r="Y796" s="43" t="str">
        <f>IF(CCUS_Projects_Database!$R796&lt;&gt;"",HYPERLINK(CCUS_Projects_Database!$R796,"Link 1"),"")</f>
        <v>Link 1</v>
      </c>
      <c r="Z796" s="43" t="str">
        <f>IF(CCUS_Projects_Database!$S796&lt;&gt;"",HYPERLINK(CCUS_Projects_Database!$S796,"Link 2"),"")</f>
        <v>Link 2</v>
      </c>
      <c r="AA796" s="43" t="str">
        <f>IF(CCUS_Projects_Database!$T796&lt;&gt;"",HYPERLINK(CCUS_Projects_Database!$T796,"Link 3"),"")</f>
        <v>Link 3</v>
      </c>
      <c r="AB796" s="43" t="str">
        <f>IF(CCUS_Projects_Database!$U796&lt;&gt;"",HYPERLINK(CCUS_Projects_Database!$U796,"Link 4"),"")</f>
        <v/>
      </c>
      <c r="AC796" s="43" t="str">
        <f>IF(CCUS_Projects_Database!$V796&lt;&gt;"",HYPERLINK(CCUS_Projects_Database!$V796,"Link 5"),"")</f>
        <v/>
      </c>
      <c r="AD796" s="43" t="str">
        <f>IF(CCUS_Projects_Database!$W796&lt;&gt;"",HYPERLINK(CCUS_Projects_Database!$W796,"Link 6"),"")</f>
        <v/>
      </c>
      <c r="AE796" s="43" t="str">
        <f>IF(CCUS_Projects_Database!$X796&lt;&gt;"",HYPERLINK(CCUS_Projects_Database!$X796,"Link 7"),"")</f>
        <v/>
      </c>
    </row>
    <row r="797" ht="15.75" customHeight="1">
      <c r="A797" s="44" t="s">
        <v>2847</v>
      </c>
      <c r="B797" s="45">
        <v>991.0</v>
      </c>
      <c r="C797" s="45" t="s">
        <v>257</v>
      </c>
      <c r="D797" s="46" t="s">
        <v>1274</v>
      </c>
      <c r="E797" s="45" t="s">
        <v>8</v>
      </c>
      <c r="F797" s="45">
        <v>2023.0</v>
      </c>
      <c r="G797" s="45">
        <v>2024.0</v>
      </c>
      <c r="H797" s="45">
        <v>2026.0</v>
      </c>
      <c r="I797" s="45" t="s">
        <v>124</v>
      </c>
      <c r="J797" s="45" t="s">
        <v>28</v>
      </c>
      <c r="K797" s="47">
        <v>2.0</v>
      </c>
      <c r="L797" s="47"/>
      <c r="M797" s="47">
        <v>0.094</v>
      </c>
      <c r="N797" s="45" t="s">
        <v>46</v>
      </c>
      <c r="O797" s="48" t="s">
        <v>71</v>
      </c>
      <c r="P797" s="49" t="s">
        <v>124</v>
      </c>
      <c r="Q797" s="45" t="s">
        <v>125</v>
      </c>
      <c r="R797" s="49" t="s">
        <v>1275</v>
      </c>
      <c r="S797" s="49" t="s">
        <v>1276</v>
      </c>
      <c r="T797" s="49" t="s">
        <v>124</v>
      </c>
      <c r="U797" s="49" t="s">
        <v>124</v>
      </c>
      <c r="V797" s="49" t="s">
        <v>124</v>
      </c>
      <c r="W797" s="49" t="s">
        <v>124</v>
      </c>
      <c r="X797" s="49" t="s">
        <v>124</v>
      </c>
      <c r="Y797" s="50" t="str">
        <f>IF(CCUS_Projects_Database!$R797&lt;&gt;"",HYPERLINK(CCUS_Projects_Database!$R797,"Link 1"),"")</f>
        <v>Link 1</v>
      </c>
      <c r="Z797" s="50" t="str">
        <f>IF(CCUS_Projects_Database!$S797&lt;&gt;"",HYPERLINK(CCUS_Projects_Database!$S797,"Link 2"),"")</f>
        <v>Link 2</v>
      </c>
      <c r="AA797" s="50" t="str">
        <f>IF(CCUS_Projects_Database!$T797&lt;&gt;"",HYPERLINK(CCUS_Projects_Database!$T797,"Link 3"),"")</f>
        <v/>
      </c>
      <c r="AB797" s="50" t="str">
        <f>IF(CCUS_Projects_Database!$U797&lt;&gt;"",HYPERLINK(CCUS_Projects_Database!$U797,"Link 4"),"")</f>
        <v/>
      </c>
      <c r="AC797" s="50" t="str">
        <f>IF(CCUS_Projects_Database!$V797&lt;&gt;"",HYPERLINK(CCUS_Projects_Database!$V797,"Link 5"),"")</f>
        <v/>
      </c>
      <c r="AD797" s="50" t="str">
        <f>IF(CCUS_Projects_Database!$W797&lt;&gt;"",HYPERLINK(CCUS_Projects_Database!$W797,"Link 6"),"")</f>
        <v/>
      </c>
      <c r="AE797" s="50" t="str">
        <f>IF(CCUS_Projects_Database!$X797&lt;&gt;"",HYPERLINK(CCUS_Projects_Database!$X797,"Link 7"),"")</f>
        <v/>
      </c>
    </row>
    <row r="798" ht="15.75" customHeight="1">
      <c r="A798" s="37" t="s">
        <v>2848</v>
      </c>
      <c r="B798" s="38">
        <v>720.0</v>
      </c>
      <c r="C798" s="38" t="s">
        <v>141</v>
      </c>
      <c r="D798" s="39" t="s">
        <v>2849</v>
      </c>
      <c r="E798" s="38" t="s">
        <v>12</v>
      </c>
      <c r="F798" s="38">
        <v>2023.0</v>
      </c>
      <c r="G798" s="38" t="s">
        <v>124</v>
      </c>
      <c r="H798" s="38" t="s">
        <v>124</v>
      </c>
      <c r="I798" s="38" t="s">
        <v>124</v>
      </c>
      <c r="J798" s="38" t="s">
        <v>28</v>
      </c>
      <c r="K798" s="40" t="s">
        <v>124</v>
      </c>
      <c r="L798" s="40"/>
      <c r="M798" s="40" t="s">
        <v>124</v>
      </c>
      <c r="N798" s="38" t="s">
        <v>12</v>
      </c>
      <c r="O798" s="41" t="s">
        <v>71</v>
      </c>
      <c r="P798" s="42" t="s">
        <v>2848</v>
      </c>
      <c r="Q798" s="38" t="s">
        <v>143</v>
      </c>
      <c r="R798" s="42" t="s">
        <v>613</v>
      </c>
      <c r="S798" s="42" t="s">
        <v>124</v>
      </c>
      <c r="T798" s="42" t="s">
        <v>124</v>
      </c>
      <c r="U798" s="42" t="s">
        <v>124</v>
      </c>
      <c r="V798" s="42" t="s">
        <v>124</v>
      </c>
      <c r="W798" s="42" t="s">
        <v>124</v>
      </c>
      <c r="X798" s="42" t="s">
        <v>124</v>
      </c>
      <c r="Y798" s="43" t="str">
        <f>IF(CCUS_Projects_Database!$R798&lt;&gt;"",HYPERLINK(CCUS_Projects_Database!$R798,"Link 1"),"")</f>
        <v>Link 1</v>
      </c>
      <c r="Z798" s="43" t="str">
        <f>IF(CCUS_Projects_Database!$S798&lt;&gt;"",HYPERLINK(CCUS_Projects_Database!$S798,"Link 2"),"")</f>
        <v/>
      </c>
      <c r="AA798" s="43" t="str">
        <f>IF(CCUS_Projects_Database!$T798&lt;&gt;"",HYPERLINK(CCUS_Projects_Database!$T798,"Link 3"),"")</f>
        <v/>
      </c>
      <c r="AB798" s="43" t="str">
        <f>IF(CCUS_Projects_Database!$U798&lt;&gt;"",HYPERLINK(CCUS_Projects_Database!$U798,"Link 4"),"")</f>
        <v/>
      </c>
      <c r="AC798" s="43" t="str">
        <f>IF(CCUS_Projects_Database!$V798&lt;&gt;"",HYPERLINK(CCUS_Projects_Database!$V798,"Link 5"),"")</f>
        <v/>
      </c>
      <c r="AD798" s="43" t="str">
        <f>IF(CCUS_Projects_Database!$W798&lt;&gt;"",HYPERLINK(CCUS_Projects_Database!$W798,"Link 6"),"")</f>
        <v/>
      </c>
      <c r="AE798" s="43" t="str">
        <f>IF(CCUS_Projects_Database!$X798&lt;&gt;"",HYPERLINK(CCUS_Projects_Database!$X798,"Link 7"),"")</f>
        <v/>
      </c>
    </row>
    <row r="799" ht="15.75" customHeight="1">
      <c r="A799" s="44" t="s">
        <v>2850</v>
      </c>
      <c r="B799" s="45">
        <v>395.0</v>
      </c>
      <c r="C799" s="45" t="s">
        <v>1771</v>
      </c>
      <c r="D799" s="46" t="s">
        <v>2851</v>
      </c>
      <c r="E799" s="45" t="s">
        <v>6</v>
      </c>
      <c r="F799" s="45">
        <v>2013.0</v>
      </c>
      <c r="G799" s="45">
        <v>2013.0</v>
      </c>
      <c r="H799" s="45">
        <v>2015.0</v>
      </c>
      <c r="I799" s="45" t="s">
        <v>124</v>
      </c>
      <c r="J799" s="45" t="s">
        <v>32</v>
      </c>
      <c r="K799" s="47" t="s">
        <v>124</v>
      </c>
      <c r="L799" s="52">
        <v>0.8</v>
      </c>
      <c r="M799" s="47">
        <v>0.8</v>
      </c>
      <c r="N799" s="45" t="s">
        <v>48</v>
      </c>
      <c r="O799" s="48" t="s">
        <v>432</v>
      </c>
      <c r="P799" s="49" t="s">
        <v>124</v>
      </c>
      <c r="Q799" s="45" t="s">
        <v>137</v>
      </c>
      <c r="R799" s="49" t="s">
        <v>2852</v>
      </c>
      <c r="S799" s="49" t="s">
        <v>2853</v>
      </c>
      <c r="T799" s="49" t="s">
        <v>2854</v>
      </c>
      <c r="U799" s="49" t="s">
        <v>124</v>
      </c>
      <c r="V799" s="49" t="s">
        <v>124</v>
      </c>
      <c r="W799" s="49" t="s">
        <v>124</v>
      </c>
      <c r="X799" s="49" t="s">
        <v>124</v>
      </c>
      <c r="Y799" s="50" t="str">
        <f>IF(CCUS_Projects_Database!$R799&lt;&gt;"",HYPERLINK(CCUS_Projects_Database!$R799,"Link 1"),"")</f>
        <v>Link 1</v>
      </c>
      <c r="Z799" s="50" t="str">
        <f>IF(CCUS_Projects_Database!$S799&lt;&gt;"",HYPERLINK(CCUS_Projects_Database!$S799,"Link 2"),"")</f>
        <v>Link 2</v>
      </c>
      <c r="AA799" s="50" t="str">
        <f>IF(CCUS_Projects_Database!$T799&lt;&gt;"",HYPERLINK(CCUS_Projects_Database!$T799,"Link 3"),"")</f>
        <v>Link 3</v>
      </c>
      <c r="AB799" s="50" t="str">
        <f>IF(CCUS_Projects_Database!$U799&lt;&gt;"",HYPERLINK(CCUS_Projects_Database!$U799,"Link 4"),"")</f>
        <v/>
      </c>
      <c r="AC799" s="50" t="str">
        <f>IF(CCUS_Projects_Database!$V799&lt;&gt;"",HYPERLINK(CCUS_Projects_Database!$V799,"Link 5"),"")</f>
        <v/>
      </c>
      <c r="AD799" s="50" t="str">
        <f>IF(CCUS_Projects_Database!$W799&lt;&gt;"",HYPERLINK(CCUS_Projects_Database!$W799,"Link 6"),"")</f>
        <v/>
      </c>
      <c r="AE799" s="50" t="str">
        <f>IF(CCUS_Projects_Database!$X799&lt;&gt;"",HYPERLINK(CCUS_Projects_Database!$X799,"Link 7"),"")</f>
        <v/>
      </c>
    </row>
    <row r="800" ht="15.75" customHeight="1">
      <c r="A800" s="37" t="s">
        <v>2855</v>
      </c>
      <c r="B800" s="38">
        <v>323.0</v>
      </c>
      <c r="C800" s="38" t="s">
        <v>141</v>
      </c>
      <c r="D800" s="39" t="s">
        <v>2856</v>
      </c>
      <c r="E800" s="38" t="s">
        <v>6</v>
      </c>
      <c r="F800" s="38">
        <v>2009.0</v>
      </c>
      <c r="G800" s="38">
        <v>2011.0</v>
      </c>
      <c r="H800" s="38">
        <v>2013.0</v>
      </c>
      <c r="I800" s="38" t="s">
        <v>124</v>
      </c>
      <c r="J800" s="38" t="s">
        <v>32</v>
      </c>
      <c r="K800" s="40" t="s">
        <v>124</v>
      </c>
      <c r="L800" s="51">
        <v>0.9</v>
      </c>
      <c r="M800" s="40">
        <v>0.9</v>
      </c>
      <c r="N800" s="38" t="s">
        <v>54</v>
      </c>
      <c r="O800" s="41" t="s">
        <v>73</v>
      </c>
      <c r="P800" s="42" t="s">
        <v>124</v>
      </c>
      <c r="Q800" s="38" t="s">
        <v>143</v>
      </c>
      <c r="R800" s="42" t="s">
        <v>2857</v>
      </c>
      <c r="S800" s="42" t="s">
        <v>2299</v>
      </c>
      <c r="T800" s="42" t="s">
        <v>2858</v>
      </c>
      <c r="U800" s="42" t="s">
        <v>124</v>
      </c>
      <c r="V800" s="42" t="s">
        <v>2859</v>
      </c>
      <c r="W800" s="42" t="s">
        <v>2860</v>
      </c>
      <c r="X800" s="42" t="s">
        <v>124</v>
      </c>
      <c r="Y800" s="43" t="str">
        <f>IF(CCUS_Projects_Database!$R800&lt;&gt;"",HYPERLINK(CCUS_Projects_Database!$R800,"Link 1"),"")</f>
        <v>Link 1</v>
      </c>
      <c r="Z800" s="43" t="str">
        <f>IF(CCUS_Projects_Database!$S800&lt;&gt;"",HYPERLINK(CCUS_Projects_Database!$S800,"Link 2"),"")</f>
        <v>Link 2</v>
      </c>
      <c r="AA800" s="43" t="str">
        <f>IF(CCUS_Projects_Database!$T800&lt;&gt;"",HYPERLINK(CCUS_Projects_Database!$T800,"Link 3"),"")</f>
        <v>Link 3</v>
      </c>
      <c r="AB800" s="43" t="str">
        <f>IF(CCUS_Projects_Database!$U800&lt;&gt;"",HYPERLINK(CCUS_Projects_Database!$U800,"Link 4"),"")</f>
        <v/>
      </c>
      <c r="AC800" s="43" t="str">
        <f>IF(CCUS_Projects_Database!$V800&lt;&gt;"",HYPERLINK(CCUS_Projects_Database!$V800,"Link 5"),"")</f>
        <v>Link 5</v>
      </c>
      <c r="AD800" s="43" t="str">
        <f>IF(CCUS_Projects_Database!$W800&lt;&gt;"",HYPERLINK(CCUS_Projects_Database!$W800,"Link 6"),"")</f>
        <v>Link 6</v>
      </c>
      <c r="AE800" s="43" t="str">
        <f>IF(CCUS_Projects_Database!$X800&lt;&gt;"",HYPERLINK(CCUS_Projects_Database!$X800,"Link 7"),"")</f>
        <v/>
      </c>
    </row>
    <row r="801" ht="15.75" customHeight="1">
      <c r="A801" s="44" t="s">
        <v>2861</v>
      </c>
      <c r="B801" s="45">
        <v>1101.0</v>
      </c>
      <c r="C801" s="45" t="s">
        <v>257</v>
      </c>
      <c r="D801" s="46" t="s">
        <v>2862</v>
      </c>
      <c r="E801" s="45" t="s">
        <v>8</v>
      </c>
      <c r="F801" s="45">
        <v>2023.0</v>
      </c>
      <c r="G801" s="45" t="s">
        <v>124</v>
      </c>
      <c r="H801" s="45" t="s">
        <v>124</v>
      </c>
      <c r="I801" s="45" t="s">
        <v>124</v>
      </c>
      <c r="J801" s="45" t="s">
        <v>28</v>
      </c>
      <c r="K801" s="47" t="s">
        <v>124</v>
      </c>
      <c r="L801" s="52">
        <v>0.4</v>
      </c>
      <c r="M801" s="47">
        <v>0.4</v>
      </c>
      <c r="N801" s="45" t="s">
        <v>46</v>
      </c>
      <c r="O801" s="48" t="s">
        <v>77</v>
      </c>
      <c r="P801" s="49" t="s">
        <v>124</v>
      </c>
      <c r="Q801" s="45" t="s">
        <v>125</v>
      </c>
      <c r="R801" s="49" t="s">
        <v>2863</v>
      </c>
      <c r="S801" s="49" t="s">
        <v>124</v>
      </c>
      <c r="T801" s="49" t="s">
        <v>124</v>
      </c>
      <c r="U801" s="49" t="s">
        <v>124</v>
      </c>
      <c r="V801" s="49" t="s">
        <v>124</v>
      </c>
      <c r="W801" s="49" t="s">
        <v>124</v>
      </c>
      <c r="X801" s="49" t="s">
        <v>124</v>
      </c>
      <c r="Y801" s="50" t="str">
        <f>IF(CCUS_Projects_Database!$R801&lt;&gt;"",HYPERLINK(CCUS_Projects_Database!$R801,"Link 1"),"")</f>
        <v>Link 1</v>
      </c>
      <c r="Z801" s="50" t="str">
        <f>IF(CCUS_Projects_Database!$S801&lt;&gt;"",HYPERLINK(CCUS_Projects_Database!$S801,"Link 2"),"")</f>
        <v/>
      </c>
      <c r="AA801" s="50" t="str">
        <f>IF(CCUS_Projects_Database!$T801&lt;&gt;"",HYPERLINK(CCUS_Projects_Database!$T801,"Link 3"),"")</f>
        <v/>
      </c>
      <c r="AB801" s="50" t="str">
        <f>IF(CCUS_Projects_Database!$U801&lt;&gt;"",HYPERLINK(CCUS_Projects_Database!$U801,"Link 4"),"")</f>
        <v/>
      </c>
      <c r="AC801" s="50" t="str">
        <f>IF(CCUS_Projects_Database!$V801&lt;&gt;"",HYPERLINK(CCUS_Projects_Database!$V801,"Link 5"),"")</f>
        <v/>
      </c>
      <c r="AD801" s="50" t="str">
        <f>IF(CCUS_Projects_Database!$W801&lt;&gt;"",HYPERLINK(CCUS_Projects_Database!$W801,"Link 6"),"")</f>
        <v/>
      </c>
      <c r="AE801" s="50" t="str">
        <f>IF(CCUS_Projects_Database!$X801&lt;&gt;"",HYPERLINK(CCUS_Projects_Database!$X801,"Link 7"),"")</f>
        <v/>
      </c>
    </row>
    <row r="802" ht="15.75" customHeight="1">
      <c r="A802" s="37" t="s">
        <v>2864</v>
      </c>
      <c r="B802" s="38">
        <v>396.0</v>
      </c>
      <c r="C802" s="38" t="s">
        <v>257</v>
      </c>
      <c r="D802" s="39" t="s">
        <v>2865</v>
      </c>
      <c r="E802" s="38" t="s">
        <v>8</v>
      </c>
      <c r="F802" s="38">
        <v>2021.0</v>
      </c>
      <c r="G802" s="38" t="s">
        <v>124</v>
      </c>
      <c r="H802" s="38">
        <v>2027.0</v>
      </c>
      <c r="I802" s="38" t="s">
        <v>124</v>
      </c>
      <c r="J802" s="38" t="s">
        <v>28</v>
      </c>
      <c r="K802" s="40" t="s">
        <v>124</v>
      </c>
      <c r="L802" s="51">
        <v>0.18</v>
      </c>
      <c r="M802" s="40">
        <v>0.18</v>
      </c>
      <c r="N802" s="38" t="s">
        <v>46</v>
      </c>
      <c r="O802" s="41" t="s">
        <v>71</v>
      </c>
      <c r="P802" s="42" t="s">
        <v>124</v>
      </c>
      <c r="Q802" s="38" t="s">
        <v>125</v>
      </c>
      <c r="R802" s="42" t="s">
        <v>2866</v>
      </c>
      <c r="S802" s="42" t="s">
        <v>2867</v>
      </c>
      <c r="T802" s="42" t="s">
        <v>124</v>
      </c>
      <c r="U802" s="42" t="s">
        <v>124</v>
      </c>
      <c r="V802" s="42" t="s">
        <v>124</v>
      </c>
      <c r="W802" s="42" t="s">
        <v>124</v>
      </c>
      <c r="X802" s="42" t="s">
        <v>124</v>
      </c>
      <c r="Y802" s="43" t="str">
        <f>IF(CCUS_Projects_Database!$R802&lt;&gt;"",HYPERLINK(CCUS_Projects_Database!$R802,"Link 1"),"")</f>
        <v>Link 1</v>
      </c>
      <c r="Z802" s="43" t="str">
        <f>IF(CCUS_Projects_Database!$S802&lt;&gt;"",HYPERLINK(CCUS_Projects_Database!$S802,"Link 2"),"")</f>
        <v>Link 2</v>
      </c>
      <c r="AA802" s="43" t="str">
        <f>IF(CCUS_Projects_Database!$T802&lt;&gt;"",HYPERLINK(CCUS_Projects_Database!$T802,"Link 3"),"")</f>
        <v/>
      </c>
      <c r="AB802" s="43" t="str">
        <f>IF(CCUS_Projects_Database!$U802&lt;&gt;"",HYPERLINK(CCUS_Projects_Database!$U802,"Link 4"),"")</f>
        <v/>
      </c>
      <c r="AC802" s="43" t="str">
        <f>IF(CCUS_Projects_Database!$V802&lt;&gt;"",HYPERLINK(CCUS_Projects_Database!$V802,"Link 5"),"")</f>
        <v/>
      </c>
      <c r="AD802" s="43" t="str">
        <f>IF(CCUS_Projects_Database!$W802&lt;&gt;"",HYPERLINK(CCUS_Projects_Database!$W802,"Link 6"),"")</f>
        <v/>
      </c>
      <c r="AE802" s="43" t="str">
        <f>IF(CCUS_Projects_Database!$X802&lt;&gt;"",HYPERLINK(CCUS_Projects_Database!$X802,"Link 7"),"")</f>
        <v/>
      </c>
    </row>
    <row r="803" ht="15.75" customHeight="1">
      <c r="A803" s="44" t="s">
        <v>2868</v>
      </c>
      <c r="B803" s="45">
        <v>397.0</v>
      </c>
      <c r="C803" s="45" t="s">
        <v>141</v>
      </c>
      <c r="D803" s="46" t="s">
        <v>2869</v>
      </c>
      <c r="E803" s="45" t="s">
        <v>8</v>
      </c>
      <c r="F803" s="45">
        <v>2019.0</v>
      </c>
      <c r="G803" s="45" t="s">
        <v>124</v>
      </c>
      <c r="H803" s="45">
        <v>2026.0</v>
      </c>
      <c r="I803" s="45" t="s">
        <v>124</v>
      </c>
      <c r="J803" s="45" t="s">
        <v>28</v>
      </c>
      <c r="K803" s="47" t="s">
        <v>124</v>
      </c>
      <c r="L803" s="52">
        <v>0.4</v>
      </c>
      <c r="M803" s="47">
        <v>0.5</v>
      </c>
      <c r="N803" s="45" t="s">
        <v>50</v>
      </c>
      <c r="O803" s="48" t="s">
        <v>73</v>
      </c>
      <c r="P803" s="49" t="s">
        <v>2870</v>
      </c>
      <c r="Q803" s="45" t="s">
        <v>143</v>
      </c>
      <c r="R803" s="49" t="s">
        <v>2871</v>
      </c>
      <c r="S803" s="49" t="s">
        <v>124</v>
      </c>
      <c r="T803" s="49" t="s">
        <v>124</v>
      </c>
      <c r="U803" s="49" t="s">
        <v>124</v>
      </c>
      <c r="V803" s="49" t="s">
        <v>124</v>
      </c>
      <c r="W803" s="49" t="s">
        <v>124</v>
      </c>
      <c r="X803" s="49" t="s">
        <v>124</v>
      </c>
      <c r="Y803" s="50" t="str">
        <f>IF(CCUS_Projects_Database!$R803&lt;&gt;"",HYPERLINK(CCUS_Projects_Database!$R803,"Link 1"),"")</f>
        <v>Link 1</v>
      </c>
      <c r="Z803" s="50" t="str">
        <f>IF(CCUS_Projects_Database!$S803&lt;&gt;"",HYPERLINK(CCUS_Projects_Database!$S803,"Link 2"),"")</f>
        <v/>
      </c>
      <c r="AA803" s="50" t="str">
        <f>IF(CCUS_Projects_Database!$T803&lt;&gt;"",HYPERLINK(CCUS_Projects_Database!$T803,"Link 3"),"")</f>
        <v/>
      </c>
      <c r="AB803" s="50" t="str">
        <f>IF(CCUS_Projects_Database!$U803&lt;&gt;"",HYPERLINK(CCUS_Projects_Database!$U803,"Link 4"),"")</f>
        <v/>
      </c>
      <c r="AC803" s="50" t="str">
        <f>IF(CCUS_Projects_Database!$V803&lt;&gt;"",HYPERLINK(CCUS_Projects_Database!$V803,"Link 5"),"")</f>
        <v/>
      </c>
      <c r="AD803" s="50" t="str">
        <f>IF(CCUS_Projects_Database!$W803&lt;&gt;"",HYPERLINK(CCUS_Projects_Database!$W803,"Link 6"),"")</f>
        <v/>
      </c>
      <c r="AE803" s="50" t="str">
        <f>IF(CCUS_Projects_Database!$X803&lt;&gt;"",HYPERLINK(CCUS_Projects_Database!$X803,"Link 7"),"")</f>
        <v/>
      </c>
    </row>
    <row r="804" ht="15.75" customHeight="1">
      <c r="A804" s="37" t="s">
        <v>2872</v>
      </c>
      <c r="B804" s="38">
        <v>1048.0</v>
      </c>
      <c r="C804" s="38" t="s">
        <v>141</v>
      </c>
      <c r="D804" s="39" t="s">
        <v>2873</v>
      </c>
      <c r="E804" s="38" t="s">
        <v>14</v>
      </c>
      <c r="F804" s="38">
        <v>2021.0</v>
      </c>
      <c r="G804" s="38" t="s">
        <v>124</v>
      </c>
      <c r="H804" s="38" t="s">
        <v>124</v>
      </c>
      <c r="I804" s="38" t="s">
        <v>124</v>
      </c>
      <c r="J804" s="38" t="s">
        <v>28</v>
      </c>
      <c r="K804" s="40" t="s">
        <v>124</v>
      </c>
      <c r="L804" s="51">
        <v>1.0</v>
      </c>
      <c r="M804" s="40">
        <v>1.0</v>
      </c>
      <c r="N804" s="38" t="s">
        <v>14</v>
      </c>
      <c r="O804" s="41" t="s">
        <v>71</v>
      </c>
      <c r="P804" s="42" t="s">
        <v>2872</v>
      </c>
      <c r="Q804" s="38" t="s">
        <v>143</v>
      </c>
      <c r="R804" s="42" t="s">
        <v>194</v>
      </c>
      <c r="S804" s="42" t="s">
        <v>124</v>
      </c>
      <c r="T804" s="42" t="s">
        <v>124</v>
      </c>
      <c r="U804" s="42" t="s">
        <v>124</v>
      </c>
      <c r="V804" s="42" t="s">
        <v>124</v>
      </c>
      <c r="W804" s="42" t="s">
        <v>124</v>
      </c>
      <c r="X804" s="42" t="s">
        <v>124</v>
      </c>
      <c r="Y804" s="43" t="str">
        <f>IF(CCUS_Projects_Database!$R804&lt;&gt;"",HYPERLINK(CCUS_Projects_Database!$R804,"Link 1"),"")</f>
        <v>Link 1</v>
      </c>
      <c r="Z804" s="43" t="str">
        <f>IF(CCUS_Projects_Database!$S804&lt;&gt;"",HYPERLINK(CCUS_Projects_Database!$S804,"Link 2"),"")</f>
        <v/>
      </c>
      <c r="AA804" s="43" t="str">
        <f>IF(CCUS_Projects_Database!$T804&lt;&gt;"",HYPERLINK(CCUS_Projects_Database!$T804,"Link 3"),"")</f>
        <v/>
      </c>
      <c r="AB804" s="43" t="str">
        <f>IF(CCUS_Projects_Database!$U804&lt;&gt;"",HYPERLINK(CCUS_Projects_Database!$U804,"Link 4"),"")</f>
        <v/>
      </c>
      <c r="AC804" s="43" t="str">
        <f>IF(CCUS_Projects_Database!$V804&lt;&gt;"",HYPERLINK(CCUS_Projects_Database!$V804,"Link 5"),"")</f>
        <v/>
      </c>
      <c r="AD804" s="43" t="str">
        <f>IF(CCUS_Projects_Database!$W804&lt;&gt;"",HYPERLINK(CCUS_Projects_Database!$W804,"Link 6"),"")</f>
        <v/>
      </c>
      <c r="AE804" s="43" t="str">
        <f>IF(CCUS_Projects_Database!$X804&lt;&gt;"",HYPERLINK(CCUS_Projects_Database!$X804,"Link 7"),"")</f>
        <v/>
      </c>
    </row>
    <row r="805" ht="15.75" customHeight="1">
      <c r="A805" s="44" t="s">
        <v>2874</v>
      </c>
      <c r="B805" s="45">
        <v>398.0</v>
      </c>
      <c r="C805" s="45" t="s">
        <v>141</v>
      </c>
      <c r="D805" s="46" t="s">
        <v>2873</v>
      </c>
      <c r="E805" s="45" t="s">
        <v>8</v>
      </c>
      <c r="F805" s="45">
        <v>2021.0</v>
      </c>
      <c r="G805" s="45" t="s">
        <v>124</v>
      </c>
      <c r="H805" s="45" t="s">
        <v>124</v>
      </c>
      <c r="I805" s="45" t="s">
        <v>124</v>
      </c>
      <c r="J805" s="45" t="s">
        <v>28</v>
      </c>
      <c r="K805" s="47" t="s">
        <v>124</v>
      </c>
      <c r="L805" s="52">
        <v>0.5</v>
      </c>
      <c r="M805" s="47">
        <v>0.5</v>
      </c>
      <c r="N805" s="45" t="s">
        <v>48</v>
      </c>
      <c r="O805" s="48" t="s">
        <v>77</v>
      </c>
      <c r="P805" s="49" t="s">
        <v>2872</v>
      </c>
      <c r="Q805" s="45" t="s">
        <v>143</v>
      </c>
      <c r="R805" s="49" t="s">
        <v>2875</v>
      </c>
      <c r="S805" s="49" t="s">
        <v>2876</v>
      </c>
      <c r="T805" s="49" t="s">
        <v>124</v>
      </c>
      <c r="U805" s="49" t="s">
        <v>124</v>
      </c>
      <c r="V805" s="49" t="s">
        <v>124</v>
      </c>
      <c r="W805" s="49" t="s">
        <v>124</v>
      </c>
      <c r="X805" s="49" t="s">
        <v>124</v>
      </c>
      <c r="Y805" s="50" t="str">
        <f>IF(CCUS_Projects_Database!$R805&lt;&gt;"",HYPERLINK(CCUS_Projects_Database!$R805,"Link 1"),"")</f>
        <v>Link 1</v>
      </c>
      <c r="Z805" s="50" t="str">
        <f>IF(CCUS_Projects_Database!$S805&lt;&gt;"",HYPERLINK(CCUS_Projects_Database!$S805,"Link 2"),"")</f>
        <v>Link 2</v>
      </c>
      <c r="AA805" s="50" t="str">
        <f>IF(CCUS_Projects_Database!$T805&lt;&gt;"",HYPERLINK(CCUS_Projects_Database!$T805,"Link 3"),"")</f>
        <v/>
      </c>
      <c r="AB805" s="50" t="str">
        <f>IF(CCUS_Projects_Database!$U805&lt;&gt;"",HYPERLINK(CCUS_Projects_Database!$U805,"Link 4"),"")</f>
        <v/>
      </c>
      <c r="AC805" s="50" t="str">
        <f>IF(CCUS_Projects_Database!$V805&lt;&gt;"",HYPERLINK(CCUS_Projects_Database!$V805,"Link 5"),"")</f>
        <v/>
      </c>
      <c r="AD805" s="50" t="str">
        <f>IF(CCUS_Projects_Database!$W805&lt;&gt;"",HYPERLINK(CCUS_Projects_Database!$W805,"Link 6"),"")</f>
        <v/>
      </c>
      <c r="AE805" s="50" t="str">
        <f>IF(CCUS_Projects_Database!$X805&lt;&gt;"",HYPERLINK(CCUS_Projects_Database!$X805,"Link 7"),"")</f>
        <v/>
      </c>
    </row>
    <row r="806" ht="15.75" customHeight="1">
      <c r="A806" s="37" t="s">
        <v>2877</v>
      </c>
      <c r="B806" s="38">
        <v>399.0</v>
      </c>
      <c r="C806" s="38" t="s">
        <v>141</v>
      </c>
      <c r="D806" s="39" t="s">
        <v>2873</v>
      </c>
      <c r="E806" s="38" t="s">
        <v>8</v>
      </c>
      <c r="F806" s="38">
        <v>2021.0</v>
      </c>
      <c r="G806" s="38" t="s">
        <v>124</v>
      </c>
      <c r="H806" s="38" t="s">
        <v>124</v>
      </c>
      <c r="I806" s="38" t="s">
        <v>124</v>
      </c>
      <c r="J806" s="38" t="s">
        <v>28</v>
      </c>
      <c r="K806" s="40" t="s">
        <v>124</v>
      </c>
      <c r="L806" s="51">
        <v>0.5</v>
      </c>
      <c r="M806" s="40">
        <v>0.5</v>
      </c>
      <c r="N806" s="38" t="s">
        <v>48</v>
      </c>
      <c r="O806" s="41" t="s">
        <v>71</v>
      </c>
      <c r="P806" s="42" t="s">
        <v>2872</v>
      </c>
      <c r="Q806" s="38" t="s">
        <v>143</v>
      </c>
      <c r="R806" s="42" t="s">
        <v>2875</v>
      </c>
      <c r="S806" s="42" t="s">
        <v>2878</v>
      </c>
      <c r="T806" s="42" t="s">
        <v>124</v>
      </c>
      <c r="U806" s="42" t="s">
        <v>124</v>
      </c>
      <c r="V806" s="42" t="s">
        <v>124</v>
      </c>
      <c r="W806" s="42" t="s">
        <v>124</v>
      </c>
      <c r="X806" s="42" t="s">
        <v>124</v>
      </c>
      <c r="Y806" s="43" t="str">
        <f>IF(CCUS_Projects_Database!$R806&lt;&gt;"",HYPERLINK(CCUS_Projects_Database!$R806,"Link 1"),"")</f>
        <v>Link 1</v>
      </c>
      <c r="Z806" s="43" t="str">
        <f>IF(CCUS_Projects_Database!$S806&lt;&gt;"",HYPERLINK(CCUS_Projects_Database!$S806,"Link 2"),"")</f>
        <v>Link 2</v>
      </c>
      <c r="AA806" s="43" t="str">
        <f>IF(CCUS_Projects_Database!$T806&lt;&gt;"",HYPERLINK(CCUS_Projects_Database!$T806,"Link 3"),"")</f>
        <v/>
      </c>
      <c r="AB806" s="43" t="str">
        <f>IF(CCUS_Projects_Database!$U806&lt;&gt;"",HYPERLINK(CCUS_Projects_Database!$U806,"Link 4"),"")</f>
        <v/>
      </c>
      <c r="AC806" s="43" t="str">
        <f>IF(CCUS_Projects_Database!$V806&lt;&gt;"",HYPERLINK(CCUS_Projects_Database!$V806,"Link 5"),"")</f>
        <v/>
      </c>
      <c r="AD806" s="43" t="str">
        <f>IF(CCUS_Projects_Database!$W806&lt;&gt;"",HYPERLINK(CCUS_Projects_Database!$W806,"Link 6"),"")</f>
        <v/>
      </c>
      <c r="AE806" s="43" t="str">
        <f>IF(CCUS_Projects_Database!$X806&lt;&gt;"",HYPERLINK(CCUS_Projects_Database!$X806,"Link 7"),"")</f>
        <v/>
      </c>
    </row>
    <row r="807" ht="15.75" customHeight="1">
      <c r="A807" s="44" t="s">
        <v>2879</v>
      </c>
      <c r="B807" s="45">
        <v>400.0</v>
      </c>
      <c r="C807" s="45" t="s">
        <v>141</v>
      </c>
      <c r="D807" s="46" t="s">
        <v>2873</v>
      </c>
      <c r="E807" s="45" t="s">
        <v>8</v>
      </c>
      <c r="F807" s="45">
        <v>2021.0</v>
      </c>
      <c r="G807" s="45" t="s">
        <v>124</v>
      </c>
      <c r="H807" s="45" t="s">
        <v>124</v>
      </c>
      <c r="I807" s="45" t="s">
        <v>124</v>
      </c>
      <c r="J807" s="45" t="s">
        <v>28</v>
      </c>
      <c r="K807" s="47" t="s">
        <v>124</v>
      </c>
      <c r="L807" s="47"/>
      <c r="M807" s="47" t="s">
        <v>124</v>
      </c>
      <c r="N807" s="45" t="s">
        <v>48</v>
      </c>
      <c r="O807" s="48" t="s">
        <v>77</v>
      </c>
      <c r="P807" s="49" t="s">
        <v>2872</v>
      </c>
      <c r="Q807" s="45" t="s">
        <v>143</v>
      </c>
      <c r="R807" s="49" t="s">
        <v>2875</v>
      </c>
      <c r="S807" s="49" t="s">
        <v>2876</v>
      </c>
      <c r="T807" s="49" t="s">
        <v>124</v>
      </c>
      <c r="U807" s="49" t="s">
        <v>124</v>
      </c>
      <c r="V807" s="49" t="s">
        <v>124</v>
      </c>
      <c r="W807" s="49" t="s">
        <v>124</v>
      </c>
      <c r="X807" s="49" t="s">
        <v>124</v>
      </c>
      <c r="Y807" s="50" t="str">
        <f>IF(CCUS_Projects_Database!$R807&lt;&gt;"",HYPERLINK(CCUS_Projects_Database!$R807,"Link 1"),"")</f>
        <v>Link 1</v>
      </c>
      <c r="Z807" s="50" t="str">
        <f>IF(CCUS_Projects_Database!$S807&lt;&gt;"",HYPERLINK(CCUS_Projects_Database!$S807,"Link 2"),"")</f>
        <v>Link 2</v>
      </c>
      <c r="AA807" s="50" t="str">
        <f>IF(CCUS_Projects_Database!$T807&lt;&gt;"",HYPERLINK(CCUS_Projects_Database!$T807,"Link 3"),"")</f>
        <v/>
      </c>
      <c r="AB807" s="50" t="str">
        <f>IF(CCUS_Projects_Database!$U807&lt;&gt;"",HYPERLINK(CCUS_Projects_Database!$U807,"Link 4"),"")</f>
        <v/>
      </c>
      <c r="AC807" s="50" t="str">
        <f>IF(CCUS_Projects_Database!$V807&lt;&gt;"",HYPERLINK(CCUS_Projects_Database!$V807,"Link 5"),"")</f>
        <v/>
      </c>
      <c r="AD807" s="50" t="str">
        <f>IF(CCUS_Projects_Database!$W807&lt;&gt;"",HYPERLINK(CCUS_Projects_Database!$W807,"Link 6"),"")</f>
        <v/>
      </c>
      <c r="AE807" s="50" t="str">
        <f>IF(CCUS_Projects_Database!$X807&lt;&gt;"",HYPERLINK(CCUS_Projects_Database!$X807,"Link 7"),"")</f>
        <v/>
      </c>
    </row>
    <row r="808" ht="15.75" customHeight="1">
      <c r="A808" s="37" t="s">
        <v>2880</v>
      </c>
      <c r="B808" s="38">
        <v>1090.0</v>
      </c>
      <c r="C808" s="38" t="s">
        <v>157</v>
      </c>
      <c r="D808" s="39" t="s">
        <v>2881</v>
      </c>
      <c r="E808" s="38" t="s">
        <v>16</v>
      </c>
      <c r="F808" s="38">
        <v>2024.0</v>
      </c>
      <c r="G808" s="38" t="s">
        <v>124</v>
      </c>
      <c r="H808" s="38">
        <v>2030.0</v>
      </c>
      <c r="I808" s="38" t="s">
        <v>124</v>
      </c>
      <c r="J808" s="38" t="s">
        <v>28</v>
      </c>
      <c r="K808" s="40" t="s">
        <v>124</v>
      </c>
      <c r="L808" s="40"/>
      <c r="M808" s="40" t="s">
        <v>124</v>
      </c>
      <c r="N808" s="38" t="s">
        <v>46</v>
      </c>
      <c r="O808" s="41" t="s">
        <v>75</v>
      </c>
      <c r="P808" s="42" t="s">
        <v>124</v>
      </c>
      <c r="Q808" s="38" t="s">
        <v>125</v>
      </c>
      <c r="R808" s="42" t="s">
        <v>2882</v>
      </c>
      <c r="S808" s="42" t="s">
        <v>124</v>
      </c>
      <c r="T808" s="42" t="s">
        <v>124</v>
      </c>
      <c r="U808" s="42" t="s">
        <v>124</v>
      </c>
      <c r="V808" s="42" t="s">
        <v>124</v>
      </c>
      <c r="W808" s="42" t="s">
        <v>124</v>
      </c>
      <c r="X808" s="42" t="s">
        <v>124</v>
      </c>
      <c r="Y808" s="43" t="str">
        <f>IF(CCUS_Projects_Database!$R808&lt;&gt;"",HYPERLINK(CCUS_Projects_Database!$R808,"Link 1"),"")</f>
        <v>Link 1</v>
      </c>
      <c r="Z808" s="43" t="str">
        <f>IF(CCUS_Projects_Database!$S808&lt;&gt;"",HYPERLINK(CCUS_Projects_Database!$S808,"Link 2"),"")</f>
        <v/>
      </c>
      <c r="AA808" s="43" t="str">
        <f>IF(CCUS_Projects_Database!$T808&lt;&gt;"",HYPERLINK(CCUS_Projects_Database!$T808,"Link 3"),"")</f>
        <v/>
      </c>
      <c r="AB808" s="43" t="str">
        <f>IF(CCUS_Projects_Database!$U808&lt;&gt;"",HYPERLINK(CCUS_Projects_Database!$U808,"Link 4"),"")</f>
        <v/>
      </c>
      <c r="AC808" s="43" t="str">
        <f>IF(CCUS_Projects_Database!$V808&lt;&gt;"",HYPERLINK(CCUS_Projects_Database!$V808,"Link 5"),"")</f>
        <v/>
      </c>
      <c r="AD808" s="43" t="str">
        <f>IF(CCUS_Projects_Database!$W808&lt;&gt;"",HYPERLINK(CCUS_Projects_Database!$W808,"Link 6"),"")</f>
        <v/>
      </c>
      <c r="AE808" s="43" t="str">
        <f>IF(CCUS_Projects_Database!$X808&lt;&gt;"",HYPERLINK(CCUS_Projects_Database!$X808,"Link 7"),"")</f>
        <v/>
      </c>
    </row>
    <row r="809" ht="15.75" customHeight="1">
      <c r="A809" s="44" t="s">
        <v>2883</v>
      </c>
      <c r="B809" s="45">
        <v>401.0</v>
      </c>
      <c r="C809" s="45" t="s">
        <v>299</v>
      </c>
      <c r="D809" s="46" t="s">
        <v>2884</v>
      </c>
      <c r="E809" s="45" t="s">
        <v>8</v>
      </c>
      <c r="F809" s="45">
        <v>2019.0</v>
      </c>
      <c r="G809" s="45" t="s">
        <v>124</v>
      </c>
      <c r="H809" s="45">
        <v>2026.0</v>
      </c>
      <c r="I809" s="45" t="s">
        <v>124</v>
      </c>
      <c r="J809" s="45" t="s">
        <v>28</v>
      </c>
      <c r="K809" s="47" t="s">
        <v>124</v>
      </c>
      <c r="L809" s="52">
        <v>0.45</v>
      </c>
      <c r="M809" s="47">
        <v>0.45</v>
      </c>
      <c r="N809" s="45" t="s">
        <v>46</v>
      </c>
      <c r="O809" s="48" t="s">
        <v>71</v>
      </c>
      <c r="P809" s="49" t="s">
        <v>124</v>
      </c>
      <c r="Q809" s="45" t="s">
        <v>125</v>
      </c>
      <c r="R809" s="49" t="s">
        <v>2885</v>
      </c>
      <c r="S809" s="49" t="s">
        <v>2886</v>
      </c>
      <c r="T809" s="49" t="s">
        <v>2887</v>
      </c>
      <c r="U809" s="49" t="s">
        <v>2888</v>
      </c>
      <c r="V809" s="49" t="s">
        <v>2889</v>
      </c>
      <c r="W809" s="49" t="s">
        <v>2890</v>
      </c>
      <c r="X809" s="49" t="s">
        <v>124</v>
      </c>
      <c r="Y809" s="50" t="str">
        <f>IF(CCUS_Projects_Database!$R809&lt;&gt;"",HYPERLINK(CCUS_Projects_Database!$R809,"Link 1"),"")</f>
        <v>Link 1</v>
      </c>
      <c r="Z809" s="50" t="str">
        <f>IF(CCUS_Projects_Database!$S809&lt;&gt;"",HYPERLINK(CCUS_Projects_Database!$S809,"Link 2"),"")</f>
        <v>Link 2</v>
      </c>
      <c r="AA809" s="50" t="str">
        <f>IF(CCUS_Projects_Database!$T809&lt;&gt;"",HYPERLINK(CCUS_Projects_Database!$T809,"Link 3"),"")</f>
        <v>Link 3</v>
      </c>
      <c r="AB809" s="50" t="str">
        <f>IF(CCUS_Projects_Database!$U809&lt;&gt;"",HYPERLINK(CCUS_Projects_Database!$U809,"Link 4"),"")</f>
        <v>Link 4</v>
      </c>
      <c r="AC809" s="50" t="str">
        <f>IF(CCUS_Projects_Database!$V809&lt;&gt;"",HYPERLINK(CCUS_Projects_Database!$V809,"Link 5"),"")</f>
        <v>Link 5</v>
      </c>
      <c r="AD809" s="50" t="str">
        <f>IF(CCUS_Projects_Database!$W809&lt;&gt;"",HYPERLINK(CCUS_Projects_Database!$W809,"Link 6"),"")</f>
        <v>Link 6</v>
      </c>
      <c r="AE809" s="50" t="str">
        <f>IF(CCUS_Projects_Database!$X809&lt;&gt;"",HYPERLINK(CCUS_Projects_Database!$X809,"Link 7"),"")</f>
        <v/>
      </c>
    </row>
    <row r="810" ht="15.75" customHeight="1">
      <c r="A810" s="37" t="s">
        <v>2891</v>
      </c>
      <c r="B810" s="38">
        <v>1073.0</v>
      </c>
      <c r="C810" s="38" t="s">
        <v>141</v>
      </c>
      <c r="D810" s="39" t="s">
        <v>2892</v>
      </c>
      <c r="E810" s="38" t="s">
        <v>8</v>
      </c>
      <c r="F810" s="38">
        <v>2024.0</v>
      </c>
      <c r="G810" s="38" t="s">
        <v>124</v>
      </c>
      <c r="H810" s="38" t="s">
        <v>124</v>
      </c>
      <c r="I810" s="38" t="s">
        <v>124</v>
      </c>
      <c r="J810" s="38" t="s">
        <v>28</v>
      </c>
      <c r="K810" s="40" t="s">
        <v>124</v>
      </c>
      <c r="L810" s="51">
        <v>0.12</v>
      </c>
      <c r="M810" s="40">
        <v>0.12</v>
      </c>
      <c r="N810" s="38" t="s">
        <v>62</v>
      </c>
      <c r="O810" s="41" t="s">
        <v>77</v>
      </c>
      <c r="P810" s="42" t="s">
        <v>124</v>
      </c>
      <c r="Q810" s="38" t="s">
        <v>143</v>
      </c>
      <c r="R810" s="42" t="s">
        <v>490</v>
      </c>
      <c r="S810" s="42" t="s">
        <v>124</v>
      </c>
      <c r="T810" s="42" t="s">
        <v>124</v>
      </c>
      <c r="U810" s="42" t="s">
        <v>124</v>
      </c>
      <c r="V810" s="42" t="s">
        <v>124</v>
      </c>
      <c r="W810" s="42" t="s">
        <v>124</v>
      </c>
      <c r="X810" s="42" t="s">
        <v>124</v>
      </c>
      <c r="Y810" s="43" t="str">
        <f>IF(CCUS_Projects_Database!$R810&lt;&gt;"",HYPERLINK(CCUS_Projects_Database!$R810,"Link 1"),"")</f>
        <v>Link 1</v>
      </c>
      <c r="Z810" s="43" t="str">
        <f>IF(CCUS_Projects_Database!$S810&lt;&gt;"",HYPERLINK(CCUS_Projects_Database!$S810,"Link 2"),"")</f>
        <v/>
      </c>
      <c r="AA810" s="43" t="str">
        <f>IF(CCUS_Projects_Database!$T810&lt;&gt;"",HYPERLINK(CCUS_Projects_Database!$T810,"Link 3"),"")</f>
        <v/>
      </c>
      <c r="AB810" s="43" t="str">
        <f>IF(CCUS_Projects_Database!$U810&lt;&gt;"",HYPERLINK(CCUS_Projects_Database!$U810,"Link 4"),"")</f>
        <v/>
      </c>
      <c r="AC810" s="43" t="str">
        <f>IF(CCUS_Projects_Database!$V810&lt;&gt;"",HYPERLINK(CCUS_Projects_Database!$V810,"Link 5"),"")</f>
        <v/>
      </c>
      <c r="AD810" s="43" t="str">
        <f>IF(CCUS_Projects_Database!$W810&lt;&gt;"",HYPERLINK(CCUS_Projects_Database!$W810,"Link 6"),"")</f>
        <v/>
      </c>
      <c r="AE810" s="43" t="str">
        <f>IF(CCUS_Projects_Database!$X810&lt;&gt;"",HYPERLINK(CCUS_Projects_Database!$X810,"Link 7"),"")</f>
        <v/>
      </c>
    </row>
    <row r="811" ht="15.75" customHeight="1">
      <c r="A811" s="44" t="s">
        <v>2893</v>
      </c>
      <c r="B811" s="45">
        <v>403.0</v>
      </c>
      <c r="C811" s="45" t="s">
        <v>157</v>
      </c>
      <c r="D811" s="46" t="s">
        <v>2894</v>
      </c>
      <c r="E811" s="45" t="s">
        <v>14</v>
      </c>
      <c r="F811" s="45">
        <v>2020.0</v>
      </c>
      <c r="G811" s="45">
        <v>2024.0</v>
      </c>
      <c r="H811" s="45">
        <v>2027.0</v>
      </c>
      <c r="I811" s="45" t="s">
        <v>124</v>
      </c>
      <c r="J811" s="45" t="s">
        <v>28</v>
      </c>
      <c r="K811" s="47">
        <v>1.0</v>
      </c>
      <c r="L811" s="52">
        <v>3.6</v>
      </c>
      <c r="M811" s="47">
        <v>3.6</v>
      </c>
      <c r="N811" s="45" t="s">
        <v>14</v>
      </c>
      <c r="O811" s="48" t="s">
        <v>71</v>
      </c>
      <c r="P811" s="49" t="s">
        <v>962</v>
      </c>
      <c r="Q811" s="45" t="s">
        <v>125</v>
      </c>
      <c r="R811" s="49" t="s">
        <v>160</v>
      </c>
      <c r="S811" s="49" t="s">
        <v>2895</v>
      </c>
      <c r="T811" s="49" t="s">
        <v>2896</v>
      </c>
      <c r="U811" s="49" t="s">
        <v>2897</v>
      </c>
      <c r="V811" s="49" t="s">
        <v>2898</v>
      </c>
      <c r="W811" s="49" t="s">
        <v>2899</v>
      </c>
      <c r="X811" s="49" t="s">
        <v>2900</v>
      </c>
      <c r="Y811" s="50" t="str">
        <f>IF(CCUS_Projects_Database!$R811&lt;&gt;"",HYPERLINK(CCUS_Projects_Database!$R811,"Link 1"),"")</f>
        <v>Link 1</v>
      </c>
      <c r="Z811" s="50" t="str">
        <f>IF(CCUS_Projects_Database!$S811&lt;&gt;"",HYPERLINK(CCUS_Projects_Database!$S811,"Link 2"),"")</f>
        <v>Link 2</v>
      </c>
      <c r="AA811" s="50" t="str">
        <f>IF(CCUS_Projects_Database!$T811&lt;&gt;"",HYPERLINK(CCUS_Projects_Database!$T811,"Link 3"),"")</f>
        <v>Link 3</v>
      </c>
      <c r="AB811" s="50" t="str">
        <f>IF(CCUS_Projects_Database!$U811&lt;&gt;"",HYPERLINK(CCUS_Projects_Database!$U811,"Link 4"),"")</f>
        <v>Link 4</v>
      </c>
      <c r="AC811" s="50" t="str">
        <f>IF(CCUS_Projects_Database!$V811&lt;&gt;"",HYPERLINK(CCUS_Projects_Database!$V811,"Link 5"),"")</f>
        <v>Link 5</v>
      </c>
      <c r="AD811" s="50" t="str">
        <f>IF(CCUS_Projects_Database!$W811&lt;&gt;"",HYPERLINK(CCUS_Projects_Database!$W811,"Link 6"),"")</f>
        <v>Link 6</v>
      </c>
      <c r="AE811" s="50" t="str">
        <f>IF(CCUS_Projects_Database!$X811&lt;&gt;"",HYPERLINK(CCUS_Projects_Database!$X811,"Link 7"),"")</f>
        <v>Link 7</v>
      </c>
    </row>
    <row r="812" ht="15.75" customHeight="1">
      <c r="A812" s="37" t="s">
        <v>2901</v>
      </c>
      <c r="B812" s="38">
        <v>404.0</v>
      </c>
      <c r="C812" s="38" t="s">
        <v>157</v>
      </c>
      <c r="D812" s="39" t="s">
        <v>2902</v>
      </c>
      <c r="E812" s="38" t="s">
        <v>14</v>
      </c>
      <c r="F812" s="38">
        <v>2020.0</v>
      </c>
      <c r="G812" s="38" t="s">
        <v>124</v>
      </c>
      <c r="H812" s="38">
        <v>2030.0</v>
      </c>
      <c r="I812" s="38" t="s">
        <v>124</v>
      </c>
      <c r="J812" s="38" t="s">
        <v>28</v>
      </c>
      <c r="K812" s="40">
        <v>2.0</v>
      </c>
      <c r="L812" s="51">
        <v>6.4</v>
      </c>
      <c r="M812" s="40">
        <v>6.4</v>
      </c>
      <c r="N812" s="38" t="s">
        <v>14</v>
      </c>
      <c r="O812" s="41" t="s">
        <v>71</v>
      </c>
      <c r="P812" s="42" t="s">
        <v>962</v>
      </c>
      <c r="Q812" s="38" t="s">
        <v>125</v>
      </c>
      <c r="R812" s="42" t="s">
        <v>160</v>
      </c>
      <c r="S812" s="42" t="s">
        <v>2895</v>
      </c>
      <c r="T812" s="42" t="s">
        <v>2896</v>
      </c>
      <c r="U812" s="42" t="s">
        <v>2898</v>
      </c>
      <c r="V812" s="42" t="s">
        <v>2899</v>
      </c>
      <c r="W812" s="42" t="s">
        <v>124</v>
      </c>
      <c r="X812" s="42" t="s">
        <v>124</v>
      </c>
      <c r="Y812" s="43" t="str">
        <f>IF(CCUS_Projects_Database!$R812&lt;&gt;"",HYPERLINK(CCUS_Projects_Database!$R812,"Link 1"),"")</f>
        <v>Link 1</v>
      </c>
      <c r="Z812" s="43" t="str">
        <f>IF(CCUS_Projects_Database!$S812&lt;&gt;"",HYPERLINK(CCUS_Projects_Database!$S812,"Link 2"),"")</f>
        <v>Link 2</v>
      </c>
      <c r="AA812" s="43" t="str">
        <f>IF(CCUS_Projects_Database!$T812&lt;&gt;"",HYPERLINK(CCUS_Projects_Database!$T812,"Link 3"),"")</f>
        <v>Link 3</v>
      </c>
      <c r="AB812" s="43" t="str">
        <f>IF(CCUS_Projects_Database!$U812&lt;&gt;"",HYPERLINK(CCUS_Projects_Database!$U812,"Link 4"),"")</f>
        <v>Link 4</v>
      </c>
      <c r="AC812" s="43" t="str">
        <f>IF(CCUS_Projects_Database!$V812&lt;&gt;"",HYPERLINK(CCUS_Projects_Database!$V812,"Link 5"),"")</f>
        <v>Link 5</v>
      </c>
      <c r="AD812" s="43" t="str">
        <f>IF(CCUS_Projects_Database!$W812&lt;&gt;"",HYPERLINK(CCUS_Projects_Database!$W812,"Link 6"),"")</f>
        <v/>
      </c>
      <c r="AE812" s="43" t="str">
        <f>IF(CCUS_Projects_Database!$X812&lt;&gt;"",HYPERLINK(CCUS_Projects_Database!$X812,"Link 7"),"")</f>
        <v/>
      </c>
    </row>
    <row r="813" ht="15.75" customHeight="1">
      <c r="A813" s="44" t="s">
        <v>2903</v>
      </c>
      <c r="B813" s="45">
        <v>705.0</v>
      </c>
      <c r="C813" s="45" t="s">
        <v>157</v>
      </c>
      <c r="D813" s="46" t="s">
        <v>2902</v>
      </c>
      <c r="E813" s="45" t="s">
        <v>14</v>
      </c>
      <c r="F813" s="45">
        <v>2020.0</v>
      </c>
      <c r="G813" s="45" t="s">
        <v>124</v>
      </c>
      <c r="H813" s="45">
        <v>2035.0</v>
      </c>
      <c r="I813" s="45" t="s">
        <v>124</v>
      </c>
      <c r="J813" s="45" t="s">
        <v>28</v>
      </c>
      <c r="K813" s="47">
        <v>3.0</v>
      </c>
      <c r="L813" s="52">
        <v>5.0</v>
      </c>
      <c r="M813" s="47">
        <v>5.0</v>
      </c>
      <c r="N813" s="45" t="s">
        <v>14</v>
      </c>
      <c r="O813" s="48" t="s">
        <v>71</v>
      </c>
      <c r="P813" s="49" t="s">
        <v>962</v>
      </c>
      <c r="Q813" s="45" t="s">
        <v>125</v>
      </c>
      <c r="R813" s="49" t="s">
        <v>2904</v>
      </c>
      <c r="S813" s="49" t="s">
        <v>124</v>
      </c>
      <c r="T813" s="49" t="s">
        <v>124</v>
      </c>
      <c r="U813" s="49" t="s">
        <v>124</v>
      </c>
      <c r="V813" s="49" t="s">
        <v>124</v>
      </c>
      <c r="W813" s="49" t="s">
        <v>124</v>
      </c>
      <c r="X813" s="49" t="s">
        <v>124</v>
      </c>
      <c r="Y813" s="50" t="str">
        <f>IF(CCUS_Projects_Database!$R813&lt;&gt;"",HYPERLINK(CCUS_Projects_Database!$R813,"Link 1"),"")</f>
        <v>Link 1</v>
      </c>
      <c r="Z813" s="50" t="str">
        <f>IF(CCUS_Projects_Database!$S813&lt;&gt;"",HYPERLINK(CCUS_Projects_Database!$S813,"Link 2"),"")</f>
        <v/>
      </c>
      <c r="AA813" s="50" t="str">
        <f>IF(CCUS_Projects_Database!$T813&lt;&gt;"",HYPERLINK(CCUS_Projects_Database!$T813,"Link 3"),"")</f>
        <v/>
      </c>
      <c r="AB813" s="50" t="str">
        <f>IF(CCUS_Projects_Database!$U813&lt;&gt;"",HYPERLINK(CCUS_Projects_Database!$U813,"Link 4"),"")</f>
        <v/>
      </c>
      <c r="AC813" s="50" t="str">
        <f>IF(CCUS_Projects_Database!$V813&lt;&gt;"",HYPERLINK(CCUS_Projects_Database!$V813,"Link 5"),"")</f>
        <v/>
      </c>
      <c r="AD813" s="50" t="str">
        <f>IF(CCUS_Projects_Database!$W813&lt;&gt;"",HYPERLINK(CCUS_Projects_Database!$W813,"Link 6"),"")</f>
        <v/>
      </c>
      <c r="AE813" s="50" t="str">
        <f>IF(CCUS_Projects_Database!$X813&lt;&gt;"",HYPERLINK(CCUS_Projects_Database!$X813,"Link 7"),"")</f>
        <v/>
      </c>
    </row>
    <row r="814" ht="15.75" customHeight="1">
      <c r="A814" s="37" t="s">
        <v>2905</v>
      </c>
      <c r="B814" s="38">
        <v>971.0</v>
      </c>
      <c r="C814" s="38" t="s">
        <v>141</v>
      </c>
      <c r="D814" s="39" t="s">
        <v>2744</v>
      </c>
      <c r="E814" s="38" t="s">
        <v>12</v>
      </c>
      <c r="F814" s="38">
        <v>2023.0</v>
      </c>
      <c r="G814" s="38" t="s">
        <v>124</v>
      </c>
      <c r="H814" s="38" t="s">
        <v>124</v>
      </c>
      <c r="I814" s="38" t="s">
        <v>124</v>
      </c>
      <c r="J814" s="38" t="s">
        <v>28</v>
      </c>
      <c r="K814" s="40" t="s">
        <v>124</v>
      </c>
      <c r="L814" s="51">
        <v>4.0</v>
      </c>
      <c r="M814" s="40">
        <v>4.0</v>
      </c>
      <c r="N814" s="38" t="s">
        <v>12</v>
      </c>
      <c r="O814" s="41" t="s">
        <v>71</v>
      </c>
      <c r="P814" s="42" t="s">
        <v>2905</v>
      </c>
      <c r="Q814" s="38" t="s">
        <v>143</v>
      </c>
      <c r="R814" s="42" t="s">
        <v>155</v>
      </c>
      <c r="S814" s="42" t="s">
        <v>124</v>
      </c>
      <c r="T814" s="42" t="s">
        <v>124</v>
      </c>
      <c r="U814" s="42" t="s">
        <v>124</v>
      </c>
      <c r="V814" s="42" t="s">
        <v>124</v>
      </c>
      <c r="W814" s="42" t="s">
        <v>124</v>
      </c>
      <c r="X814" s="42" t="s">
        <v>124</v>
      </c>
      <c r="Y814" s="43" t="str">
        <f>IF(CCUS_Projects_Database!$R814&lt;&gt;"",HYPERLINK(CCUS_Projects_Database!$R814,"Link 1"),"")</f>
        <v>Link 1</v>
      </c>
      <c r="Z814" s="43" t="str">
        <f>IF(CCUS_Projects_Database!$S814&lt;&gt;"",HYPERLINK(CCUS_Projects_Database!$S814,"Link 2"),"")</f>
        <v/>
      </c>
      <c r="AA814" s="43" t="str">
        <f>IF(CCUS_Projects_Database!$T814&lt;&gt;"",HYPERLINK(CCUS_Projects_Database!$T814,"Link 3"),"")</f>
        <v/>
      </c>
      <c r="AB814" s="43" t="str">
        <f>IF(CCUS_Projects_Database!$U814&lt;&gt;"",HYPERLINK(CCUS_Projects_Database!$U814,"Link 4"),"")</f>
        <v/>
      </c>
      <c r="AC814" s="43" t="str">
        <f>IF(CCUS_Projects_Database!$V814&lt;&gt;"",HYPERLINK(CCUS_Projects_Database!$V814,"Link 5"),"")</f>
        <v/>
      </c>
      <c r="AD814" s="43" t="str">
        <f>IF(CCUS_Projects_Database!$W814&lt;&gt;"",HYPERLINK(CCUS_Projects_Database!$W814,"Link 6"),"")</f>
        <v/>
      </c>
      <c r="AE814" s="43" t="str">
        <f>IF(CCUS_Projects_Database!$X814&lt;&gt;"",HYPERLINK(CCUS_Projects_Database!$X814,"Link 7"),"")</f>
        <v/>
      </c>
    </row>
    <row r="815" ht="15.75" customHeight="1">
      <c r="A815" s="44" t="s">
        <v>2906</v>
      </c>
      <c r="B815" s="45">
        <v>885.0</v>
      </c>
      <c r="C815" s="45" t="s">
        <v>141</v>
      </c>
      <c r="D815" s="46" t="s">
        <v>348</v>
      </c>
      <c r="E815" s="45" t="s">
        <v>12</v>
      </c>
      <c r="F815" s="45">
        <v>2022.0</v>
      </c>
      <c r="G815" s="45" t="s">
        <v>124</v>
      </c>
      <c r="H815" s="45">
        <v>2026.0</v>
      </c>
      <c r="I815" s="45" t="s">
        <v>124</v>
      </c>
      <c r="J815" s="45" t="s">
        <v>28</v>
      </c>
      <c r="K815" s="47" t="s">
        <v>124</v>
      </c>
      <c r="L815" s="52">
        <v>7.5</v>
      </c>
      <c r="M815" s="47">
        <v>5.0</v>
      </c>
      <c r="N815" s="45" t="s">
        <v>12</v>
      </c>
      <c r="O815" s="48" t="s">
        <v>77</v>
      </c>
      <c r="P815" s="49" t="s">
        <v>124</v>
      </c>
      <c r="Q815" s="45" t="s">
        <v>143</v>
      </c>
      <c r="R815" s="49" t="s">
        <v>349</v>
      </c>
      <c r="S815" s="49" t="s">
        <v>124</v>
      </c>
      <c r="T815" s="49" t="s">
        <v>124</v>
      </c>
      <c r="U815" s="49" t="s">
        <v>124</v>
      </c>
      <c r="V815" s="49" t="s">
        <v>124</v>
      </c>
      <c r="W815" s="49" t="s">
        <v>124</v>
      </c>
      <c r="X815" s="49" t="s">
        <v>124</v>
      </c>
      <c r="Y815" s="50" t="str">
        <f>IF(CCUS_Projects_Database!$R815&lt;&gt;"",HYPERLINK(CCUS_Projects_Database!$R815,"Link 1"),"")</f>
        <v>Link 1</v>
      </c>
      <c r="Z815" s="50" t="str">
        <f>IF(CCUS_Projects_Database!$S815&lt;&gt;"",HYPERLINK(CCUS_Projects_Database!$S815,"Link 2"),"")</f>
        <v/>
      </c>
      <c r="AA815" s="50" t="str">
        <f>IF(CCUS_Projects_Database!$T815&lt;&gt;"",HYPERLINK(CCUS_Projects_Database!$T815,"Link 3"),"")</f>
        <v/>
      </c>
      <c r="AB815" s="50" t="str">
        <f>IF(CCUS_Projects_Database!$U815&lt;&gt;"",HYPERLINK(CCUS_Projects_Database!$U815,"Link 4"),"")</f>
        <v/>
      </c>
      <c r="AC815" s="50" t="str">
        <f>IF(CCUS_Projects_Database!$V815&lt;&gt;"",HYPERLINK(CCUS_Projects_Database!$V815,"Link 5"),"")</f>
        <v/>
      </c>
      <c r="AD815" s="50" t="str">
        <f>IF(CCUS_Projects_Database!$W815&lt;&gt;"",HYPERLINK(CCUS_Projects_Database!$W815,"Link 6"),"")</f>
        <v/>
      </c>
      <c r="AE815" s="50" t="str">
        <f>IF(CCUS_Projects_Database!$X815&lt;&gt;"",HYPERLINK(CCUS_Projects_Database!$X815,"Link 7"),"")</f>
        <v/>
      </c>
    </row>
    <row r="816" ht="15.75" customHeight="1">
      <c r="A816" s="37" t="s">
        <v>2907</v>
      </c>
      <c r="B816" s="38">
        <v>402.0</v>
      </c>
      <c r="C816" s="38" t="s">
        <v>157</v>
      </c>
      <c r="D816" s="39" t="s">
        <v>2908</v>
      </c>
      <c r="E816" s="38" t="s">
        <v>8</v>
      </c>
      <c r="F816" s="38">
        <v>2021.0</v>
      </c>
      <c r="G816" s="38">
        <v>2024.0</v>
      </c>
      <c r="H816" s="38">
        <v>2025.0</v>
      </c>
      <c r="I816" s="38" t="s">
        <v>124</v>
      </c>
      <c r="J816" s="38" t="s">
        <v>28</v>
      </c>
      <c r="K816" s="40" t="s">
        <v>124</v>
      </c>
      <c r="L816" s="51">
        <v>0.9</v>
      </c>
      <c r="M816" s="40">
        <v>0.9</v>
      </c>
      <c r="N816" s="38" t="s">
        <v>46</v>
      </c>
      <c r="O816" s="41" t="s">
        <v>71</v>
      </c>
      <c r="P816" s="42" t="s">
        <v>571</v>
      </c>
      <c r="Q816" s="38" t="s">
        <v>125</v>
      </c>
      <c r="R816" s="42" t="s">
        <v>2909</v>
      </c>
      <c r="S816" s="42" t="s">
        <v>2910</v>
      </c>
      <c r="T816" s="42" t="s">
        <v>2911</v>
      </c>
      <c r="U816" s="42" t="s">
        <v>545</v>
      </c>
      <c r="V816" s="42" t="s">
        <v>124</v>
      </c>
      <c r="W816" s="42" t="s">
        <v>124</v>
      </c>
      <c r="X816" s="42" t="s">
        <v>124</v>
      </c>
      <c r="Y816" s="43" t="str">
        <f>IF(CCUS_Projects_Database!$R816&lt;&gt;"",HYPERLINK(CCUS_Projects_Database!$R816,"Link 1"),"")</f>
        <v>Link 1</v>
      </c>
      <c r="Z816" s="43" t="str">
        <f>IF(CCUS_Projects_Database!$S816&lt;&gt;"",HYPERLINK(CCUS_Projects_Database!$S816,"Link 2"),"")</f>
        <v>Link 2</v>
      </c>
      <c r="AA816" s="43" t="str">
        <f>IF(CCUS_Projects_Database!$T816&lt;&gt;"",HYPERLINK(CCUS_Projects_Database!$T816,"Link 3"),"")</f>
        <v>Link 3</v>
      </c>
      <c r="AB816" s="43" t="str">
        <f>IF(CCUS_Projects_Database!$U816&lt;&gt;"",HYPERLINK(CCUS_Projects_Database!$U816,"Link 4"),"")</f>
        <v>Link 4</v>
      </c>
      <c r="AC816" s="43" t="str">
        <f>IF(CCUS_Projects_Database!$V816&lt;&gt;"",HYPERLINK(CCUS_Projects_Database!$V816,"Link 5"),"")</f>
        <v/>
      </c>
      <c r="AD816" s="43" t="str">
        <f>IF(CCUS_Projects_Database!$W816&lt;&gt;"",HYPERLINK(CCUS_Projects_Database!$W816,"Link 6"),"")</f>
        <v/>
      </c>
      <c r="AE816" s="43" t="str">
        <f>IF(CCUS_Projects_Database!$X816&lt;&gt;"",HYPERLINK(CCUS_Projects_Database!$X816,"Link 7"),"")</f>
        <v/>
      </c>
    </row>
    <row r="817" ht="15.75" customHeight="1">
      <c r="A817" s="44" t="s">
        <v>2912</v>
      </c>
      <c r="B817" s="45">
        <v>820.0</v>
      </c>
      <c r="C817" s="45" t="s">
        <v>1174</v>
      </c>
      <c r="D817" s="46" t="s">
        <v>2913</v>
      </c>
      <c r="E817" s="45" t="s">
        <v>8</v>
      </c>
      <c r="F817" s="45">
        <v>2021.0</v>
      </c>
      <c r="G817" s="45" t="s">
        <v>124</v>
      </c>
      <c r="H817" s="45">
        <v>2030.0</v>
      </c>
      <c r="I817" s="45" t="s">
        <v>124</v>
      </c>
      <c r="J817" s="45" t="s">
        <v>28</v>
      </c>
      <c r="K817" s="47" t="s">
        <v>124</v>
      </c>
      <c r="L817" s="52">
        <v>0.6</v>
      </c>
      <c r="M817" s="47">
        <v>0.6</v>
      </c>
      <c r="N817" s="45" t="s">
        <v>54</v>
      </c>
      <c r="O817" s="48" t="s">
        <v>77</v>
      </c>
      <c r="P817" s="49" t="s">
        <v>124</v>
      </c>
      <c r="Q817" s="45" t="s">
        <v>125</v>
      </c>
      <c r="R817" s="49" t="s">
        <v>2914</v>
      </c>
      <c r="S817" s="49" t="s">
        <v>2915</v>
      </c>
      <c r="T817" s="49" t="s">
        <v>124</v>
      </c>
      <c r="U817" s="49" t="s">
        <v>124</v>
      </c>
      <c r="V817" s="49" t="s">
        <v>124</v>
      </c>
      <c r="W817" s="49" t="s">
        <v>124</v>
      </c>
      <c r="X817" s="49" t="s">
        <v>124</v>
      </c>
      <c r="Y817" s="50" t="str">
        <f>IF(CCUS_Projects_Database!$R817&lt;&gt;"",HYPERLINK(CCUS_Projects_Database!$R817,"Link 1"),"")</f>
        <v>Link 1</v>
      </c>
      <c r="Z817" s="50" t="str">
        <f>IF(CCUS_Projects_Database!$S817&lt;&gt;"",HYPERLINK(CCUS_Projects_Database!$S817,"Link 2"),"")</f>
        <v>Link 2</v>
      </c>
      <c r="AA817" s="50" t="str">
        <f>IF(CCUS_Projects_Database!$T817&lt;&gt;"",HYPERLINK(CCUS_Projects_Database!$T817,"Link 3"),"")</f>
        <v/>
      </c>
      <c r="AB817" s="50" t="str">
        <f>IF(CCUS_Projects_Database!$U817&lt;&gt;"",HYPERLINK(CCUS_Projects_Database!$U817,"Link 4"),"")</f>
        <v/>
      </c>
      <c r="AC817" s="50" t="str">
        <f>IF(CCUS_Projects_Database!$V817&lt;&gt;"",HYPERLINK(CCUS_Projects_Database!$V817,"Link 5"),"")</f>
        <v/>
      </c>
      <c r="AD817" s="50" t="str">
        <f>IF(CCUS_Projects_Database!$W817&lt;&gt;"",HYPERLINK(CCUS_Projects_Database!$W817,"Link 6"),"")</f>
        <v/>
      </c>
      <c r="AE817" s="50" t="str">
        <f>IF(CCUS_Projects_Database!$X817&lt;&gt;"",HYPERLINK(CCUS_Projects_Database!$X817,"Link 7"),"")</f>
        <v/>
      </c>
    </row>
    <row r="818" ht="15.75" customHeight="1">
      <c r="A818" s="37" t="s">
        <v>2916</v>
      </c>
      <c r="B818" s="38">
        <v>549.0</v>
      </c>
      <c r="C818" s="38" t="s">
        <v>141</v>
      </c>
      <c r="D818" s="39" t="s">
        <v>2917</v>
      </c>
      <c r="E818" s="38" t="s">
        <v>8</v>
      </c>
      <c r="F818" s="38">
        <v>2022.0</v>
      </c>
      <c r="G818" s="38" t="s">
        <v>124</v>
      </c>
      <c r="H818" s="38" t="s">
        <v>124</v>
      </c>
      <c r="I818" s="38" t="s">
        <v>124</v>
      </c>
      <c r="J818" s="38" t="s">
        <v>28</v>
      </c>
      <c r="K818" s="40" t="s">
        <v>124</v>
      </c>
      <c r="L818" s="40"/>
      <c r="M818" s="40" t="s">
        <v>124</v>
      </c>
      <c r="N818" s="38" t="s">
        <v>58</v>
      </c>
      <c r="O818" s="41" t="s">
        <v>71</v>
      </c>
      <c r="P818" s="42" t="s">
        <v>124</v>
      </c>
      <c r="Q818" s="38" t="s">
        <v>143</v>
      </c>
      <c r="R818" s="42" t="s">
        <v>740</v>
      </c>
      <c r="S818" s="42" t="s">
        <v>124</v>
      </c>
      <c r="T818" s="42" t="s">
        <v>124</v>
      </c>
      <c r="U818" s="42" t="s">
        <v>124</v>
      </c>
      <c r="V818" s="42" t="s">
        <v>124</v>
      </c>
      <c r="W818" s="42" t="s">
        <v>124</v>
      </c>
      <c r="X818" s="42" t="s">
        <v>124</v>
      </c>
      <c r="Y818" s="43" t="str">
        <f>IF(CCUS_Projects_Database!$R818&lt;&gt;"",HYPERLINK(CCUS_Projects_Database!$R818,"Link 1"),"")</f>
        <v>Link 1</v>
      </c>
      <c r="Z818" s="43" t="str">
        <f>IF(CCUS_Projects_Database!$S818&lt;&gt;"",HYPERLINK(CCUS_Projects_Database!$S818,"Link 2"),"")</f>
        <v/>
      </c>
      <c r="AA818" s="43" t="str">
        <f>IF(CCUS_Projects_Database!$T818&lt;&gt;"",HYPERLINK(CCUS_Projects_Database!$T818,"Link 3"),"")</f>
        <v/>
      </c>
      <c r="AB818" s="43" t="str">
        <f>IF(CCUS_Projects_Database!$U818&lt;&gt;"",HYPERLINK(CCUS_Projects_Database!$U818,"Link 4"),"")</f>
        <v/>
      </c>
      <c r="AC818" s="43" t="str">
        <f>IF(CCUS_Projects_Database!$V818&lt;&gt;"",HYPERLINK(CCUS_Projects_Database!$V818,"Link 5"),"")</f>
        <v/>
      </c>
      <c r="AD818" s="43" t="str">
        <f>IF(CCUS_Projects_Database!$W818&lt;&gt;"",HYPERLINK(CCUS_Projects_Database!$W818,"Link 6"),"")</f>
        <v/>
      </c>
      <c r="AE818" s="43" t="str">
        <f>IF(CCUS_Projects_Database!$X818&lt;&gt;"",HYPERLINK(CCUS_Projects_Database!$X818,"Link 7"),"")</f>
        <v/>
      </c>
    </row>
    <row r="819" ht="15.75" customHeight="1">
      <c r="A819" s="44" t="s">
        <v>2918</v>
      </c>
      <c r="B819" s="45">
        <v>405.0</v>
      </c>
      <c r="C819" s="45" t="s">
        <v>157</v>
      </c>
      <c r="D819" s="46" t="s">
        <v>2919</v>
      </c>
      <c r="E819" s="45" t="s">
        <v>8</v>
      </c>
      <c r="F819" s="45">
        <v>2019.0</v>
      </c>
      <c r="G819" s="45" t="s">
        <v>124</v>
      </c>
      <c r="H819" s="45">
        <v>2027.0</v>
      </c>
      <c r="I819" s="45" t="s">
        <v>124</v>
      </c>
      <c r="J819" s="45" t="s">
        <v>28</v>
      </c>
      <c r="K819" s="47" t="s">
        <v>124</v>
      </c>
      <c r="L819" s="52">
        <v>3.0</v>
      </c>
      <c r="M819" s="47">
        <v>3.0</v>
      </c>
      <c r="N819" s="45" t="s">
        <v>46</v>
      </c>
      <c r="O819" s="48" t="s">
        <v>71</v>
      </c>
      <c r="P819" s="49" t="s">
        <v>962</v>
      </c>
      <c r="Q819" s="45" t="s">
        <v>125</v>
      </c>
      <c r="R819" s="49" t="s">
        <v>2356</v>
      </c>
      <c r="S819" s="49" t="s">
        <v>2357</v>
      </c>
      <c r="T819" s="49" t="s">
        <v>2920</v>
      </c>
      <c r="U819" s="49" t="s">
        <v>124</v>
      </c>
      <c r="V819" s="49" t="s">
        <v>124</v>
      </c>
      <c r="W819" s="49" t="s">
        <v>124</v>
      </c>
      <c r="X819" s="49" t="s">
        <v>124</v>
      </c>
      <c r="Y819" s="50" t="str">
        <f>IF(CCUS_Projects_Database!$R819&lt;&gt;"",HYPERLINK(CCUS_Projects_Database!$R819,"Link 1"),"")</f>
        <v>Link 1</v>
      </c>
      <c r="Z819" s="50" t="str">
        <f>IF(CCUS_Projects_Database!$S819&lt;&gt;"",HYPERLINK(CCUS_Projects_Database!$S819,"Link 2"),"")</f>
        <v>Link 2</v>
      </c>
      <c r="AA819" s="50" t="str">
        <f>IF(CCUS_Projects_Database!$T819&lt;&gt;"",HYPERLINK(CCUS_Projects_Database!$T819,"Link 3"),"")</f>
        <v>Link 3</v>
      </c>
      <c r="AB819" s="50" t="str">
        <f>IF(CCUS_Projects_Database!$U819&lt;&gt;"",HYPERLINK(CCUS_Projects_Database!$U819,"Link 4"),"")</f>
        <v/>
      </c>
      <c r="AC819" s="50" t="str">
        <f>IF(CCUS_Projects_Database!$V819&lt;&gt;"",HYPERLINK(CCUS_Projects_Database!$V819,"Link 5"),"")</f>
        <v/>
      </c>
      <c r="AD819" s="50" t="str">
        <f>IF(CCUS_Projects_Database!$W819&lt;&gt;"",HYPERLINK(CCUS_Projects_Database!$W819,"Link 6"),"")</f>
        <v/>
      </c>
      <c r="AE819" s="50" t="str">
        <f>IF(CCUS_Projects_Database!$X819&lt;&gt;"",HYPERLINK(CCUS_Projects_Database!$X819,"Link 7"),"")</f>
        <v/>
      </c>
    </row>
    <row r="820" ht="15.75" customHeight="1">
      <c r="A820" s="37" t="s">
        <v>2921</v>
      </c>
      <c r="B820" s="38">
        <v>406.0</v>
      </c>
      <c r="C820" s="38" t="s">
        <v>141</v>
      </c>
      <c r="D820" s="39" t="s">
        <v>2922</v>
      </c>
      <c r="E820" s="38" t="s">
        <v>6</v>
      </c>
      <c r="F820" s="38">
        <v>2016.0</v>
      </c>
      <c r="G820" s="38" t="s">
        <v>124</v>
      </c>
      <c r="H820" s="38">
        <v>2024.0</v>
      </c>
      <c r="I820" s="38" t="s">
        <v>124</v>
      </c>
      <c r="J820" s="38" t="s">
        <v>28</v>
      </c>
      <c r="K820" s="40" t="s">
        <v>124</v>
      </c>
      <c r="L820" s="51">
        <v>1.65</v>
      </c>
      <c r="M820" s="40">
        <v>1.65</v>
      </c>
      <c r="N820" s="38" t="s">
        <v>136</v>
      </c>
      <c r="O820" s="41" t="s">
        <v>71</v>
      </c>
      <c r="P820" s="42" t="s">
        <v>2923</v>
      </c>
      <c r="Q820" s="38" t="s">
        <v>143</v>
      </c>
      <c r="R820" s="42" t="s">
        <v>2924</v>
      </c>
      <c r="S820" s="42" t="s">
        <v>2925</v>
      </c>
      <c r="T820" s="42" t="s">
        <v>2926</v>
      </c>
      <c r="U820" s="42" t="s">
        <v>124</v>
      </c>
      <c r="V820" s="42" t="s">
        <v>124</v>
      </c>
      <c r="W820" s="42" t="s">
        <v>124</v>
      </c>
      <c r="X820" s="42" t="s">
        <v>124</v>
      </c>
      <c r="Y820" s="43" t="str">
        <f>IF(CCUS_Projects_Database!$R820&lt;&gt;"",HYPERLINK(CCUS_Projects_Database!$R820,"Link 1"),"")</f>
        <v>Link 1</v>
      </c>
      <c r="Z820" s="43" t="str">
        <f>IF(CCUS_Projects_Database!$S820&lt;&gt;"",HYPERLINK(CCUS_Projects_Database!$S820,"Link 2"),"")</f>
        <v>Link 2</v>
      </c>
      <c r="AA820" s="43" t="str">
        <f>IF(CCUS_Projects_Database!$T820&lt;&gt;"",HYPERLINK(CCUS_Projects_Database!$T820,"Link 3"),"")</f>
        <v>Link 3</v>
      </c>
      <c r="AB820" s="43" t="str">
        <f>IF(CCUS_Projects_Database!$U820&lt;&gt;"",HYPERLINK(CCUS_Projects_Database!$U820,"Link 4"),"")</f>
        <v/>
      </c>
      <c r="AC820" s="43" t="str">
        <f>IF(CCUS_Projects_Database!$V820&lt;&gt;"",HYPERLINK(CCUS_Projects_Database!$V820,"Link 5"),"")</f>
        <v/>
      </c>
      <c r="AD820" s="43" t="str">
        <f>IF(CCUS_Projects_Database!$W820&lt;&gt;"",HYPERLINK(CCUS_Projects_Database!$W820,"Link 6"),"")</f>
        <v/>
      </c>
      <c r="AE820" s="43" t="str">
        <f>IF(CCUS_Projects_Database!$X820&lt;&gt;"",HYPERLINK(CCUS_Projects_Database!$X820,"Link 7"),"")</f>
        <v/>
      </c>
    </row>
    <row r="821" ht="15.75" customHeight="1">
      <c r="A821" s="44" t="s">
        <v>2927</v>
      </c>
      <c r="B821" s="45">
        <v>789.0</v>
      </c>
      <c r="C821" s="45" t="s">
        <v>181</v>
      </c>
      <c r="D821" s="46" t="s">
        <v>2928</v>
      </c>
      <c r="E821" s="45" t="s">
        <v>8</v>
      </c>
      <c r="F821" s="45">
        <v>2022.0</v>
      </c>
      <c r="G821" s="45">
        <v>2024.0</v>
      </c>
      <c r="H821" s="45">
        <v>2028.0</v>
      </c>
      <c r="I821" s="45" t="s">
        <v>124</v>
      </c>
      <c r="J821" s="45" t="s">
        <v>28</v>
      </c>
      <c r="K821" s="47" t="s">
        <v>124</v>
      </c>
      <c r="L821" s="47"/>
      <c r="M821" s="47" t="s">
        <v>124</v>
      </c>
      <c r="N821" s="45" t="s">
        <v>136</v>
      </c>
      <c r="O821" s="48" t="s">
        <v>77</v>
      </c>
      <c r="P821" s="49" t="s">
        <v>124</v>
      </c>
      <c r="Q821" s="45" t="s">
        <v>184</v>
      </c>
      <c r="R821" s="49" t="s">
        <v>2929</v>
      </c>
      <c r="S821" s="49" t="s">
        <v>2930</v>
      </c>
      <c r="T821" s="49" t="s">
        <v>124</v>
      </c>
      <c r="U821" s="49" t="s">
        <v>124</v>
      </c>
      <c r="V821" s="49" t="s">
        <v>124</v>
      </c>
      <c r="W821" s="49" t="s">
        <v>124</v>
      </c>
      <c r="X821" s="49" t="s">
        <v>124</v>
      </c>
      <c r="Y821" s="50" t="str">
        <f>IF(CCUS_Projects_Database!$R821&lt;&gt;"",HYPERLINK(CCUS_Projects_Database!$R821,"Link 1"),"")</f>
        <v>Link 1</v>
      </c>
      <c r="Z821" s="50" t="str">
        <f>IF(CCUS_Projects_Database!$S821&lt;&gt;"",HYPERLINK(CCUS_Projects_Database!$S821,"Link 2"),"")</f>
        <v>Link 2</v>
      </c>
      <c r="AA821" s="50" t="str">
        <f>IF(CCUS_Projects_Database!$T821&lt;&gt;"",HYPERLINK(CCUS_Projects_Database!$T821,"Link 3"),"")</f>
        <v/>
      </c>
      <c r="AB821" s="50" t="str">
        <f>IF(CCUS_Projects_Database!$U821&lt;&gt;"",HYPERLINK(CCUS_Projects_Database!$U821,"Link 4"),"")</f>
        <v/>
      </c>
      <c r="AC821" s="50" t="str">
        <f>IF(CCUS_Projects_Database!$V821&lt;&gt;"",HYPERLINK(CCUS_Projects_Database!$V821,"Link 5"),"")</f>
        <v/>
      </c>
      <c r="AD821" s="50" t="str">
        <f>IF(CCUS_Projects_Database!$W821&lt;&gt;"",HYPERLINK(CCUS_Projects_Database!$W821,"Link 6"),"")</f>
        <v/>
      </c>
      <c r="AE821" s="50" t="str">
        <f>IF(CCUS_Projects_Database!$X821&lt;&gt;"",HYPERLINK(CCUS_Projects_Database!$X821,"Link 7"),"")</f>
        <v/>
      </c>
    </row>
    <row r="822" ht="15.75" customHeight="1">
      <c r="A822" s="37" t="s">
        <v>2931</v>
      </c>
      <c r="B822" s="38">
        <v>790.0</v>
      </c>
      <c r="C822" s="38" t="s">
        <v>181</v>
      </c>
      <c r="D822" s="39" t="s">
        <v>2928</v>
      </c>
      <c r="E822" s="38" t="s">
        <v>8</v>
      </c>
      <c r="F822" s="38">
        <v>2022.0</v>
      </c>
      <c r="G822" s="38" t="s">
        <v>124</v>
      </c>
      <c r="H822" s="38" t="s">
        <v>124</v>
      </c>
      <c r="I822" s="38" t="s">
        <v>124</v>
      </c>
      <c r="J822" s="38" t="s">
        <v>28</v>
      </c>
      <c r="K822" s="40">
        <v>2.0</v>
      </c>
      <c r="L822" s="40"/>
      <c r="M822" s="40" t="s">
        <v>124</v>
      </c>
      <c r="N822" s="38" t="s">
        <v>136</v>
      </c>
      <c r="O822" s="41" t="s">
        <v>77</v>
      </c>
      <c r="P822" s="42" t="s">
        <v>124</v>
      </c>
      <c r="Q822" s="38" t="s">
        <v>184</v>
      </c>
      <c r="R822" s="42" t="s">
        <v>2929</v>
      </c>
      <c r="S822" s="42" t="s">
        <v>124</v>
      </c>
      <c r="T822" s="42" t="s">
        <v>124</v>
      </c>
      <c r="U822" s="42" t="s">
        <v>124</v>
      </c>
      <c r="V822" s="42" t="s">
        <v>124</v>
      </c>
      <c r="W822" s="42" t="s">
        <v>124</v>
      </c>
      <c r="X822" s="42" t="s">
        <v>124</v>
      </c>
      <c r="Y822" s="43" t="str">
        <f>IF(CCUS_Projects_Database!$R822&lt;&gt;"",HYPERLINK(CCUS_Projects_Database!$R822,"Link 1"),"")</f>
        <v>Link 1</v>
      </c>
      <c r="Z822" s="43" t="str">
        <f>IF(CCUS_Projects_Database!$S822&lt;&gt;"",HYPERLINK(CCUS_Projects_Database!$S822,"Link 2"),"")</f>
        <v/>
      </c>
      <c r="AA822" s="43" t="str">
        <f>IF(CCUS_Projects_Database!$T822&lt;&gt;"",HYPERLINK(CCUS_Projects_Database!$T822,"Link 3"),"")</f>
        <v/>
      </c>
      <c r="AB822" s="43" t="str">
        <f>IF(CCUS_Projects_Database!$U822&lt;&gt;"",HYPERLINK(CCUS_Projects_Database!$U822,"Link 4"),"")</f>
        <v/>
      </c>
      <c r="AC822" s="43" t="str">
        <f>IF(CCUS_Projects_Database!$V822&lt;&gt;"",HYPERLINK(CCUS_Projects_Database!$V822,"Link 5"),"")</f>
        <v/>
      </c>
      <c r="AD822" s="43" t="str">
        <f>IF(CCUS_Projects_Database!$W822&lt;&gt;"",HYPERLINK(CCUS_Projects_Database!$W822,"Link 6"),"")</f>
        <v/>
      </c>
      <c r="AE822" s="43" t="str">
        <f>IF(CCUS_Projects_Database!$X822&lt;&gt;"",HYPERLINK(CCUS_Projects_Database!$X822,"Link 7"),"")</f>
        <v/>
      </c>
    </row>
    <row r="823" ht="15.75" customHeight="1">
      <c r="A823" s="44" t="s">
        <v>2932</v>
      </c>
      <c r="B823" s="45">
        <v>994.0</v>
      </c>
      <c r="C823" s="45" t="s">
        <v>247</v>
      </c>
      <c r="D823" s="46" t="s">
        <v>2933</v>
      </c>
      <c r="E823" s="45" t="s">
        <v>16</v>
      </c>
      <c r="F823" s="45">
        <v>2023.0</v>
      </c>
      <c r="G823" s="45" t="s">
        <v>124</v>
      </c>
      <c r="H823" s="45" t="s">
        <v>124</v>
      </c>
      <c r="I823" s="45" t="s">
        <v>124</v>
      </c>
      <c r="J823" s="45" t="s">
        <v>28</v>
      </c>
      <c r="K823" s="47" t="s">
        <v>124</v>
      </c>
      <c r="L823" s="52">
        <v>0.4</v>
      </c>
      <c r="M823" s="47">
        <v>0.4</v>
      </c>
      <c r="N823" s="45" t="s">
        <v>46</v>
      </c>
      <c r="O823" s="48" t="s">
        <v>75</v>
      </c>
      <c r="P823" s="49" t="s">
        <v>124</v>
      </c>
      <c r="Q823" s="45" t="s">
        <v>125</v>
      </c>
      <c r="R823" s="49" t="s">
        <v>2934</v>
      </c>
      <c r="S823" s="49" t="s">
        <v>124</v>
      </c>
      <c r="T823" s="49" t="s">
        <v>124</v>
      </c>
      <c r="U823" s="49" t="s">
        <v>124</v>
      </c>
      <c r="V823" s="49" t="s">
        <v>124</v>
      </c>
      <c r="W823" s="49" t="s">
        <v>124</v>
      </c>
      <c r="X823" s="49" t="s">
        <v>124</v>
      </c>
      <c r="Y823" s="50" t="str">
        <f>IF(CCUS_Projects_Database!$R823&lt;&gt;"",HYPERLINK(CCUS_Projects_Database!$R823,"Link 1"),"")</f>
        <v>Link 1</v>
      </c>
      <c r="Z823" s="50" t="str">
        <f>IF(CCUS_Projects_Database!$S823&lt;&gt;"",HYPERLINK(CCUS_Projects_Database!$S823,"Link 2"),"")</f>
        <v/>
      </c>
      <c r="AA823" s="50" t="str">
        <f>IF(CCUS_Projects_Database!$T823&lt;&gt;"",HYPERLINK(CCUS_Projects_Database!$T823,"Link 3"),"")</f>
        <v/>
      </c>
      <c r="AB823" s="50" t="str">
        <f>IF(CCUS_Projects_Database!$U823&lt;&gt;"",HYPERLINK(CCUS_Projects_Database!$U823,"Link 4"),"")</f>
        <v/>
      </c>
      <c r="AC823" s="50" t="str">
        <f>IF(CCUS_Projects_Database!$V823&lt;&gt;"",HYPERLINK(CCUS_Projects_Database!$V823,"Link 5"),"")</f>
        <v/>
      </c>
      <c r="AD823" s="50" t="str">
        <f>IF(CCUS_Projects_Database!$W823&lt;&gt;"",HYPERLINK(CCUS_Projects_Database!$W823,"Link 6"),"")</f>
        <v/>
      </c>
      <c r="AE823" s="50" t="str">
        <f>IF(CCUS_Projects_Database!$X823&lt;&gt;"",HYPERLINK(CCUS_Projects_Database!$X823,"Link 7"),"")</f>
        <v/>
      </c>
    </row>
    <row r="824" ht="15.75" customHeight="1">
      <c r="A824" s="37" t="s">
        <v>2935</v>
      </c>
      <c r="B824" s="38">
        <v>821.0</v>
      </c>
      <c r="C824" s="38" t="s">
        <v>557</v>
      </c>
      <c r="D824" s="39" t="s">
        <v>2936</v>
      </c>
      <c r="E824" s="38" t="s">
        <v>16</v>
      </c>
      <c r="F824" s="38">
        <v>2022.0</v>
      </c>
      <c r="G824" s="38" t="s">
        <v>124</v>
      </c>
      <c r="H824" s="38">
        <v>2024.0</v>
      </c>
      <c r="I824" s="38" t="s">
        <v>124</v>
      </c>
      <c r="J824" s="38" t="s">
        <v>28</v>
      </c>
      <c r="K824" s="40" t="s">
        <v>124</v>
      </c>
      <c r="L824" s="40"/>
      <c r="M824" s="40" t="s">
        <v>124</v>
      </c>
      <c r="N824" s="38" t="s">
        <v>136</v>
      </c>
      <c r="O824" s="41" t="s">
        <v>75</v>
      </c>
      <c r="P824" s="42" t="s">
        <v>124</v>
      </c>
      <c r="Q824" s="38" t="s">
        <v>125</v>
      </c>
      <c r="R824" s="42" t="s">
        <v>2937</v>
      </c>
      <c r="S824" s="42" t="s">
        <v>124</v>
      </c>
      <c r="T824" s="42" t="s">
        <v>124</v>
      </c>
      <c r="U824" s="42" t="s">
        <v>124</v>
      </c>
      <c r="V824" s="42" t="s">
        <v>124</v>
      </c>
      <c r="W824" s="42" t="s">
        <v>124</v>
      </c>
      <c r="X824" s="42" t="s">
        <v>124</v>
      </c>
      <c r="Y824" s="43" t="str">
        <f>IF(CCUS_Projects_Database!$R824&lt;&gt;"",HYPERLINK(CCUS_Projects_Database!$R824,"Link 1"),"")</f>
        <v>Link 1</v>
      </c>
      <c r="Z824" s="43" t="str">
        <f>IF(CCUS_Projects_Database!$S824&lt;&gt;"",HYPERLINK(CCUS_Projects_Database!$S824,"Link 2"),"")</f>
        <v/>
      </c>
      <c r="AA824" s="43" t="str">
        <f>IF(CCUS_Projects_Database!$T824&lt;&gt;"",HYPERLINK(CCUS_Projects_Database!$T824,"Link 3"),"")</f>
        <v/>
      </c>
      <c r="AB824" s="43" t="str">
        <f>IF(CCUS_Projects_Database!$U824&lt;&gt;"",HYPERLINK(CCUS_Projects_Database!$U824,"Link 4"),"")</f>
        <v/>
      </c>
      <c r="AC824" s="43" t="str">
        <f>IF(CCUS_Projects_Database!$V824&lt;&gt;"",HYPERLINK(CCUS_Projects_Database!$V824,"Link 5"),"")</f>
        <v/>
      </c>
      <c r="AD824" s="43" t="str">
        <f>IF(CCUS_Projects_Database!$W824&lt;&gt;"",HYPERLINK(CCUS_Projects_Database!$W824,"Link 6"),"")</f>
        <v/>
      </c>
      <c r="AE824" s="43" t="str">
        <f>IF(CCUS_Projects_Database!$X824&lt;&gt;"",HYPERLINK(CCUS_Projects_Database!$X824,"Link 7"),"")</f>
        <v/>
      </c>
    </row>
    <row r="825" ht="15.75" customHeight="1">
      <c r="A825" s="44" t="s">
        <v>2938</v>
      </c>
      <c r="B825" s="45">
        <v>940.0</v>
      </c>
      <c r="C825" s="45" t="s">
        <v>122</v>
      </c>
      <c r="D825" s="46" t="s">
        <v>2939</v>
      </c>
      <c r="E825" s="45" t="s">
        <v>8</v>
      </c>
      <c r="F825" s="45">
        <v>2023.0</v>
      </c>
      <c r="G825" s="45" t="s">
        <v>124</v>
      </c>
      <c r="H825" s="45" t="s">
        <v>124</v>
      </c>
      <c r="I825" s="45" t="s">
        <v>124</v>
      </c>
      <c r="J825" s="45" t="s">
        <v>28</v>
      </c>
      <c r="K825" s="47" t="s">
        <v>124</v>
      </c>
      <c r="L825" s="52">
        <v>0.2</v>
      </c>
      <c r="M825" s="47">
        <v>0.2</v>
      </c>
      <c r="N825" s="45" t="s">
        <v>46</v>
      </c>
      <c r="O825" s="48" t="s">
        <v>77</v>
      </c>
      <c r="P825" s="49" t="s">
        <v>124</v>
      </c>
      <c r="Q825" s="45" t="s">
        <v>125</v>
      </c>
      <c r="R825" s="49" t="s">
        <v>2940</v>
      </c>
      <c r="S825" s="49" t="s">
        <v>124</v>
      </c>
      <c r="T825" s="49" t="s">
        <v>124</v>
      </c>
      <c r="U825" s="49" t="s">
        <v>124</v>
      </c>
      <c r="V825" s="49" t="s">
        <v>124</v>
      </c>
      <c r="W825" s="49" t="s">
        <v>124</v>
      </c>
      <c r="X825" s="49" t="s">
        <v>124</v>
      </c>
      <c r="Y825" s="50" t="str">
        <f>IF(CCUS_Projects_Database!$R825&lt;&gt;"",HYPERLINK(CCUS_Projects_Database!$R825,"Link 1"),"")</f>
        <v>Link 1</v>
      </c>
      <c r="Z825" s="50" t="str">
        <f>IF(CCUS_Projects_Database!$S825&lt;&gt;"",HYPERLINK(CCUS_Projects_Database!$S825,"Link 2"),"")</f>
        <v/>
      </c>
      <c r="AA825" s="50" t="str">
        <f>IF(CCUS_Projects_Database!$T825&lt;&gt;"",HYPERLINK(CCUS_Projects_Database!$T825,"Link 3"),"")</f>
        <v/>
      </c>
      <c r="AB825" s="50" t="str">
        <f>IF(CCUS_Projects_Database!$U825&lt;&gt;"",HYPERLINK(CCUS_Projects_Database!$U825,"Link 4"),"")</f>
        <v/>
      </c>
      <c r="AC825" s="50" t="str">
        <f>IF(CCUS_Projects_Database!$V825&lt;&gt;"",HYPERLINK(CCUS_Projects_Database!$V825,"Link 5"),"")</f>
        <v/>
      </c>
      <c r="AD825" s="50" t="str">
        <f>IF(CCUS_Projects_Database!$W825&lt;&gt;"",HYPERLINK(CCUS_Projects_Database!$W825,"Link 6"),"")</f>
        <v/>
      </c>
      <c r="AE825" s="50" t="str">
        <f>IF(CCUS_Projects_Database!$X825&lt;&gt;"",HYPERLINK(CCUS_Projects_Database!$X825,"Link 7"),"")</f>
        <v/>
      </c>
    </row>
    <row r="826" ht="15.75" customHeight="1">
      <c r="A826" s="37" t="s">
        <v>2941</v>
      </c>
      <c r="B826" s="38">
        <v>1050.0</v>
      </c>
      <c r="C826" s="38" t="s">
        <v>141</v>
      </c>
      <c r="D826" s="39" t="s">
        <v>2942</v>
      </c>
      <c r="E826" s="38" t="s">
        <v>12</v>
      </c>
      <c r="F826" s="38">
        <v>2023.0</v>
      </c>
      <c r="G826" s="38" t="s">
        <v>124</v>
      </c>
      <c r="H826" s="38" t="s">
        <v>124</v>
      </c>
      <c r="I826" s="38" t="s">
        <v>124</v>
      </c>
      <c r="J826" s="38" t="s">
        <v>28</v>
      </c>
      <c r="K826" s="40" t="s">
        <v>124</v>
      </c>
      <c r="L826" s="40"/>
      <c r="M826" s="40" t="s">
        <v>124</v>
      </c>
      <c r="N826" s="38" t="s">
        <v>12</v>
      </c>
      <c r="O826" s="41" t="s">
        <v>71</v>
      </c>
      <c r="P826" s="42" t="s">
        <v>2941</v>
      </c>
      <c r="Q826" s="38" t="s">
        <v>143</v>
      </c>
      <c r="R826" s="42" t="s">
        <v>194</v>
      </c>
      <c r="S826" s="42" t="s">
        <v>124</v>
      </c>
      <c r="T826" s="42" t="s">
        <v>124</v>
      </c>
      <c r="U826" s="42" t="s">
        <v>124</v>
      </c>
      <c r="V826" s="42" t="s">
        <v>124</v>
      </c>
      <c r="W826" s="42" t="s">
        <v>124</v>
      </c>
      <c r="X826" s="42" t="s">
        <v>124</v>
      </c>
      <c r="Y826" s="43" t="str">
        <f>IF(CCUS_Projects_Database!$R826&lt;&gt;"",HYPERLINK(CCUS_Projects_Database!$R826,"Link 1"),"")</f>
        <v>Link 1</v>
      </c>
      <c r="Z826" s="43" t="str">
        <f>IF(CCUS_Projects_Database!$S826&lt;&gt;"",HYPERLINK(CCUS_Projects_Database!$S826,"Link 2"),"")</f>
        <v/>
      </c>
      <c r="AA826" s="43" t="str">
        <f>IF(CCUS_Projects_Database!$T826&lt;&gt;"",HYPERLINK(CCUS_Projects_Database!$T826,"Link 3"),"")</f>
        <v/>
      </c>
      <c r="AB826" s="43" t="str">
        <f>IF(CCUS_Projects_Database!$U826&lt;&gt;"",HYPERLINK(CCUS_Projects_Database!$U826,"Link 4"),"")</f>
        <v/>
      </c>
      <c r="AC826" s="43" t="str">
        <f>IF(CCUS_Projects_Database!$V826&lt;&gt;"",HYPERLINK(CCUS_Projects_Database!$V826,"Link 5"),"")</f>
        <v/>
      </c>
      <c r="AD826" s="43" t="str">
        <f>IF(CCUS_Projects_Database!$W826&lt;&gt;"",HYPERLINK(CCUS_Projects_Database!$W826,"Link 6"),"")</f>
        <v/>
      </c>
      <c r="AE826" s="43" t="str">
        <f>IF(CCUS_Projects_Database!$X826&lt;&gt;"",HYPERLINK(CCUS_Projects_Database!$X826,"Link 7"),"")</f>
        <v/>
      </c>
    </row>
    <row r="827" ht="15.75" customHeight="1">
      <c r="A827" s="44" t="s">
        <v>2943</v>
      </c>
      <c r="B827" s="45">
        <v>1022.0</v>
      </c>
      <c r="C827" s="45" t="s">
        <v>146</v>
      </c>
      <c r="D827" s="46" t="s">
        <v>2944</v>
      </c>
      <c r="E827" s="45" t="s">
        <v>12</v>
      </c>
      <c r="F827" s="45">
        <v>2024.0</v>
      </c>
      <c r="G827" s="45" t="s">
        <v>124</v>
      </c>
      <c r="H827" s="45" t="s">
        <v>124</v>
      </c>
      <c r="I827" s="45" t="s">
        <v>124</v>
      </c>
      <c r="J827" s="45" t="s">
        <v>28</v>
      </c>
      <c r="K827" s="47" t="s">
        <v>124</v>
      </c>
      <c r="L827" s="47"/>
      <c r="M827" s="47" t="s">
        <v>124</v>
      </c>
      <c r="N827" s="45" t="s">
        <v>12</v>
      </c>
      <c r="O827" s="48" t="s">
        <v>71</v>
      </c>
      <c r="P827" s="49" t="s">
        <v>124</v>
      </c>
      <c r="Q827" s="45" t="s">
        <v>148</v>
      </c>
      <c r="R827" s="49" t="s">
        <v>2945</v>
      </c>
      <c r="S827" s="49" t="s">
        <v>124</v>
      </c>
      <c r="T827" s="49" t="s">
        <v>124</v>
      </c>
      <c r="U827" s="49" t="s">
        <v>124</v>
      </c>
      <c r="V827" s="49" t="s">
        <v>124</v>
      </c>
      <c r="W827" s="49" t="s">
        <v>124</v>
      </c>
      <c r="X827" s="49" t="s">
        <v>124</v>
      </c>
      <c r="Y827" s="50" t="str">
        <f>IF(CCUS_Projects_Database!$R827&lt;&gt;"",HYPERLINK(CCUS_Projects_Database!$R827,"Link 1"),"")</f>
        <v>Link 1</v>
      </c>
      <c r="Z827" s="50" t="str">
        <f>IF(CCUS_Projects_Database!$S827&lt;&gt;"",HYPERLINK(CCUS_Projects_Database!$S827,"Link 2"),"")</f>
        <v/>
      </c>
      <c r="AA827" s="50" t="str">
        <f>IF(CCUS_Projects_Database!$T827&lt;&gt;"",HYPERLINK(CCUS_Projects_Database!$T827,"Link 3"),"")</f>
        <v/>
      </c>
      <c r="AB827" s="50" t="str">
        <f>IF(CCUS_Projects_Database!$U827&lt;&gt;"",HYPERLINK(CCUS_Projects_Database!$U827,"Link 4"),"")</f>
        <v/>
      </c>
      <c r="AC827" s="50" t="str">
        <f>IF(CCUS_Projects_Database!$V827&lt;&gt;"",HYPERLINK(CCUS_Projects_Database!$V827,"Link 5"),"")</f>
        <v/>
      </c>
      <c r="AD827" s="50" t="str">
        <f>IF(CCUS_Projects_Database!$W827&lt;&gt;"",HYPERLINK(CCUS_Projects_Database!$W827,"Link 6"),"")</f>
        <v/>
      </c>
      <c r="AE827" s="50" t="str">
        <f>IF(CCUS_Projects_Database!$X827&lt;&gt;"",HYPERLINK(CCUS_Projects_Database!$X827,"Link 7"),"")</f>
        <v/>
      </c>
    </row>
    <row r="828" ht="15.75" customHeight="1">
      <c r="A828" s="37" t="s">
        <v>2946</v>
      </c>
      <c r="B828" s="38">
        <v>659.0</v>
      </c>
      <c r="C828" s="38" t="s">
        <v>239</v>
      </c>
      <c r="D828" s="39" t="s">
        <v>2947</v>
      </c>
      <c r="E828" s="38" t="s">
        <v>12</v>
      </c>
      <c r="F828" s="38" t="s">
        <v>124</v>
      </c>
      <c r="G828" s="38" t="s">
        <v>124</v>
      </c>
      <c r="H828" s="38">
        <v>2020.0</v>
      </c>
      <c r="I828" s="38" t="s">
        <v>124</v>
      </c>
      <c r="J828" s="38" t="s">
        <v>32</v>
      </c>
      <c r="K828" s="40" t="s">
        <v>124</v>
      </c>
      <c r="L828" s="51">
        <v>3.0</v>
      </c>
      <c r="M828" s="40">
        <v>3.0</v>
      </c>
      <c r="N828" s="38" t="s">
        <v>12</v>
      </c>
      <c r="O828" s="41" t="s">
        <v>73</v>
      </c>
      <c r="P828" s="42" t="s">
        <v>124</v>
      </c>
      <c r="Q828" s="38" t="s">
        <v>143</v>
      </c>
      <c r="R828" s="42" t="s">
        <v>124</v>
      </c>
      <c r="S828" s="42" t="s">
        <v>124</v>
      </c>
      <c r="T828" s="42" t="s">
        <v>124</v>
      </c>
      <c r="U828" s="42" t="s">
        <v>124</v>
      </c>
      <c r="V828" s="42" t="s">
        <v>124</v>
      </c>
      <c r="W828" s="42" t="s">
        <v>124</v>
      </c>
      <c r="X828" s="42" t="s">
        <v>124</v>
      </c>
      <c r="Y828" s="43" t="str">
        <f>IF(CCUS_Projects_Database!$R828&lt;&gt;"",HYPERLINK(CCUS_Projects_Database!$R828,"Link 1"),"")</f>
        <v/>
      </c>
      <c r="Z828" s="43" t="str">
        <f>IF(CCUS_Projects_Database!$S828&lt;&gt;"",HYPERLINK(CCUS_Projects_Database!$S828,"Link 2"),"")</f>
        <v/>
      </c>
      <c r="AA828" s="43" t="str">
        <f>IF(CCUS_Projects_Database!$T828&lt;&gt;"",HYPERLINK(CCUS_Projects_Database!$T828,"Link 3"),"")</f>
        <v/>
      </c>
      <c r="AB828" s="43" t="str">
        <f>IF(CCUS_Projects_Database!$U828&lt;&gt;"",HYPERLINK(CCUS_Projects_Database!$U828,"Link 4"),"")</f>
        <v/>
      </c>
      <c r="AC828" s="43" t="str">
        <f>IF(CCUS_Projects_Database!$V828&lt;&gt;"",HYPERLINK(CCUS_Projects_Database!$V828,"Link 5"),"")</f>
        <v/>
      </c>
      <c r="AD828" s="43" t="str">
        <f>IF(CCUS_Projects_Database!$W828&lt;&gt;"",HYPERLINK(CCUS_Projects_Database!$W828,"Link 6"),"")</f>
        <v/>
      </c>
      <c r="AE828" s="43" t="str">
        <f>IF(CCUS_Projects_Database!$X828&lt;&gt;"",HYPERLINK(CCUS_Projects_Database!$X828,"Link 7"),"")</f>
        <v/>
      </c>
    </row>
    <row r="829" ht="15.75" customHeight="1">
      <c r="A829" s="44" t="s">
        <v>2948</v>
      </c>
      <c r="B829" s="45">
        <v>678.0</v>
      </c>
      <c r="C829" s="45" t="s">
        <v>2949</v>
      </c>
      <c r="D829" s="46" t="s">
        <v>2950</v>
      </c>
      <c r="E829" s="45" t="s">
        <v>10</v>
      </c>
      <c r="F829" s="45">
        <v>2022.0</v>
      </c>
      <c r="G829" s="45" t="s">
        <v>124</v>
      </c>
      <c r="H829" s="45">
        <v>2029.0</v>
      </c>
      <c r="I829" s="45" t="s">
        <v>124</v>
      </c>
      <c r="J829" s="45" t="s">
        <v>28</v>
      </c>
      <c r="K829" s="47" t="s">
        <v>124</v>
      </c>
      <c r="L829" s="52">
        <v>10.0</v>
      </c>
      <c r="M829" s="47">
        <v>10.0</v>
      </c>
      <c r="N829" s="45" t="s">
        <v>10</v>
      </c>
      <c r="O829" s="48" t="s">
        <v>71</v>
      </c>
      <c r="P829" s="49" t="s">
        <v>1286</v>
      </c>
      <c r="Q829" s="45" t="s">
        <v>125</v>
      </c>
      <c r="R829" s="49" t="s">
        <v>407</v>
      </c>
      <c r="S829" s="49" t="s">
        <v>124</v>
      </c>
      <c r="T829" s="49" t="s">
        <v>124</v>
      </c>
      <c r="U829" s="49" t="s">
        <v>124</v>
      </c>
      <c r="V829" s="49" t="s">
        <v>124</v>
      </c>
      <c r="W829" s="49" t="s">
        <v>124</v>
      </c>
      <c r="X829" s="49" t="s">
        <v>124</v>
      </c>
      <c r="Y829" s="50" t="str">
        <f>IF(CCUS_Projects_Database!$R829&lt;&gt;"",HYPERLINK(CCUS_Projects_Database!$R829,"Link 1"),"")</f>
        <v>Link 1</v>
      </c>
      <c r="Z829" s="50" t="str">
        <f>IF(CCUS_Projects_Database!$S829&lt;&gt;"",HYPERLINK(CCUS_Projects_Database!$S829,"Link 2"),"")</f>
        <v/>
      </c>
      <c r="AA829" s="50" t="str">
        <f>IF(CCUS_Projects_Database!$T829&lt;&gt;"",HYPERLINK(CCUS_Projects_Database!$T829,"Link 3"),"")</f>
        <v/>
      </c>
      <c r="AB829" s="50" t="str">
        <f>IF(CCUS_Projects_Database!$U829&lt;&gt;"",HYPERLINK(CCUS_Projects_Database!$U829,"Link 4"),"")</f>
        <v/>
      </c>
      <c r="AC829" s="50" t="str">
        <f>IF(CCUS_Projects_Database!$V829&lt;&gt;"",HYPERLINK(CCUS_Projects_Database!$V829,"Link 5"),"")</f>
        <v/>
      </c>
      <c r="AD829" s="50" t="str">
        <f>IF(CCUS_Projects_Database!$W829&lt;&gt;"",HYPERLINK(CCUS_Projects_Database!$W829,"Link 6"),"")</f>
        <v/>
      </c>
      <c r="AE829" s="50" t="str">
        <f>IF(CCUS_Projects_Database!$X829&lt;&gt;"",HYPERLINK(CCUS_Projects_Database!$X829,"Link 7"),"")</f>
        <v/>
      </c>
    </row>
    <row r="830" ht="15.75" customHeight="1">
      <c r="A830" s="37" t="s">
        <v>2951</v>
      </c>
      <c r="B830" s="38">
        <v>980.0</v>
      </c>
      <c r="C830" s="38" t="s">
        <v>141</v>
      </c>
      <c r="D830" s="39" t="s">
        <v>2469</v>
      </c>
      <c r="E830" s="38" t="s">
        <v>8</v>
      </c>
      <c r="F830" s="38">
        <v>2023.0</v>
      </c>
      <c r="G830" s="38" t="s">
        <v>124</v>
      </c>
      <c r="H830" s="38" t="s">
        <v>124</v>
      </c>
      <c r="I830" s="38" t="s">
        <v>124</v>
      </c>
      <c r="J830" s="38" t="s">
        <v>28</v>
      </c>
      <c r="K830" s="40" t="s">
        <v>124</v>
      </c>
      <c r="L830" s="40"/>
      <c r="M830" s="40" t="s">
        <v>124</v>
      </c>
      <c r="N830" s="38" t="s">
        <v>54</v>
      </c>
      <c r="O830" s="41" t="s">
        <v>71</v>
      </c>
      <c r="P830" s="42" t="s">
        <v>2468</v>
      </c>
      <c r="Q830" s="38" t="s">
        <v>143</v>
      </c>
      <c r="R830" s="42" t="s">
        <v>155</v>
      </c>
      <c r="S830" s="42" t="s">
        <v>124</v>
      </c>
      <c r="T830" s="42" t="s">
        <v>124</v>
      </c>
      <c r="U830" s="42" t="s">
        <v>124</v>
      </c>
      <c r="V830" s="42" t="s">
        <v>124</v>
      </c>
      <c r="W830" s="42" t="s">
        <v>124</v>
      </c>
      <c r="X830" s="42" t="s">
        <v>124</v>
      </c>
      <c r="Y830" s="43" t="str">
        <f>IF(CCUS_Projects_Database!$R830&lt;&gt;"",HYPERLINK(CCUS_Projects_Database!$R830,"Link 1"),"")</f>
        <v>Link 1</v>
      </c>
      <c r="Z830" s="43" t="str">
        <f>IF(CCUS_Projects_Database!$S830&lt;&gt;"",HYPERLINK(CCUS_Projects_Database!$S830,"Link 2"),"")</f>
        <v/>
      </c>
      <c r="AA830" s="43" t="str">
        <f>IF(CCUS_Projects_Database!$T830&lt;&gt;"",HYPERLINK(CCUS_Projects_Database!$T830,"Link 3"),"")</f>
        <v/>
      </c>
      <c r="AB830" s="43" t="str">
        <f>IF(CCUS_Projects_Database!$U830&lt;&gt;"",HYPERLINK(CCUS_Projects_Database!$U830,"Link 4"),"")</f>
        <v/>
      </c>
      <c r="AC830" s="43" t="str">
        <f>IF(CCUS_Projects_Database!$V830&lt;&gt;"",HYPERLINK(CCUS_Projects_Database!$V830,"Link 5"),"")</f>
        <v/>
      </c>
      <c r="AD830" s="43" t="str">
        <f>IF(CCUS_Projects_Database!$W830&lt;&gt;"",HYPERLINK(CCUS_Projects_Database!$W830,"Link 6"),"")</f>
        <v/>
      </c>
      <c r="AE830" s="43" t="str">
        <f>IF(CCUS_Projects_Database!$X830&lt;&gt;"",HYPERLINK(CCUS_Projects_Database!$X830,"Link 7"),"")</f>
        <v/>
      </c>
    </row>
    <row r="831" ht="15.75" customHeight="1">
      <c r="A831" s="44" t="s">
        <v>2952</v>
      </c>
      <c r="B831" s="45">
        <v>409.0</v>
      </c>
      <c r="C831" s="45" t="s">
        <v>247</v>
      </c>
      <c r="D831" s="46" t="s">
        <v>889</v>
      </c>
      <c r="E831" s="45" t="s">
        <v>8</v>
      </c>
      <c r="F831" s="45">
        <v>2022.0</v>
      </c>
      <c r="G831" s="45" t="s">
        <v>124</v>
      </c>
      <c r="H831" s="45">
        <v>2026.0</v>
      </c>
      <c r="I831" s="45" t="s">
        <v>124</v>
      </c>
      <c r="J831" s="45" t="s">
        <v>28</v>
      </c>
      <c r="K831" s="47" t="s">
        <v>124</v>
      </c>
      <c r="L831" s="52">
        <v>1.3</v>
      </c>
      <c r="M831" s="47">
        <v>1.3</v>
      </c>
      <c r="N831" s="45" t="s">
        <v>136</v>
      </c>
      <c r="O831" s="48" t="s">
        <v>71</v>
      </c>
      <c r="P831" s="49" t="s">
        <v>2953</v>
      </c>
      <c r="Q831" s="45" t="s">
        <v>125</v>
      </c>
      <c r="R831" s="49" t="s">
        <v>2954</v>
      </c>
      <c r="S831" s="49" t="s">
        <v>124</v>
      </c>
      <c r="T831" s="49" t="s">
        <v>124</v>
      </c>
      <c r="U831" s="49" t="s">
        <v>124</v>
      </c>
      <c r="V831" s="49" t="s">
        <v>124</v>
      </c>
      <c r="W831" s="49" t="s">
        <v>124</v>
      </c>
      <c r="X831" s="49" t="s">
        <v>124</v>
      </c>
      <c r="Y831" s="50" t="str">
        <f>IF(CCUS_Projects_Database!$R831&lt;&gt;"",HYPERLINK(CCUS_Projects_Database!$R831,"Link 1"),"")</f>
        <v>Link 1</v>
      </c>
      <c r="Z831" s="50" t="str">
        <f>IF(CCUS_Projects_Database!$S831&lt;&gt;"",HYPERLINK(CCUS_Projects_Database!$S831,"Link 2"),"")</f>
        <v/>
      </c>
      <c r="AA831" s="50" t="str">
        <f>IF(CCUS_Projects_Database!$T831&lt;&gt;"",HYPERLINK(CCUS_Projects_Database!$T831,"Link 3"),"")</f>
        <v/>
      </c>
      <c r="AB831" s="50" t="str">
        <f>IF(CCUS_Projects_Database!$U831&lt;&gt;"",HYPERLINK(CCUS_Projects_Database!$U831,"Link 4"),"")</f>
        <v/>
      </c>
      <c r="AC831" s="50" t="str">
        <f>IF(CCUS_Projects_Database!$V831&lt;&gt;"",HYPERLINK(CCUS_Projects_Database!$V831,"Link 5"),"")</f>
        <v/>
      </c>
      <c r="AD831" s="50" t="str">
        <f>IF(CCUS_Projects_Database!$W831&lt;&gt;"",HYPERLINK(CCUS_Projects_Database!$W831,"Link 6"),"")</f>
        <v/>
      </c>
      <c r="AE831" s="50" t="str">
        <f>IF(CCUS_Projects_Database!$X831&lt;&gt;"",HYPERLINK(CCUS_Projects_Database!$X831,"Link 7"),"")</f>
        <v/>
      </c>
    </row>
    <row r="832" ht="15.75" customHeight="1">
      <c r="A832" s="37" t="s">
        <v>2955</v>
      </c>
      <c r="B832" s="38">
        <v>959.0</v>
      </c>
      <c r="C832" s="38" t="s">
        <v>141</v>
      </c>
      <c r="D832" s="39" t="s">
        <v>2956</v>
      </c>
      <c r="E832" s="38" t="s">
        <v>12</v>
      </c>
      <c r="F832" s="38">
        <v>2023.0</v>
      </c>
      <c r="G832" s="38" t="s">
        <v>124</v>
      </c>
      <c r="H832" s="38" t="s">
        <v>124</v>
      </c>
      <c r="I832" s="38" t="s">
        <v>124</v>
      </c>
      <c r="J832" s="38" t="s">
        <v>28</v>
      </c>
      <c r="K832" s="40" t="s">
        <v>124</v>
      </c>
      <c r="L832" s="40"/>
      <c r="M832" s="40">
        <v>1.667</v>
      </c>
      <c r="N832" s="38" t="s">
        <v>12</v>
      </c>
      <c r="O832" s="41" t="s">
        <v>71</v>
      </c>
      <c r="P832" s="42" t="s">
        <v>2955</v>
      </c>
      <c r="Q832" s="38" t="s">
        <v>143</v>
      </c>
      <c r="R832" s="42" t="s">
        <v>2957</v>
      </c>
      <c r="S832" s="42" t="s">
        <v>2958</v>
      </c>
      <c r="T832" s="42" t="s">
        <v>2959</v>
      </c>
      <c r="U832" s="42" t="s">
        <v>2960</v>
      </c>
      <c r="V832" s="42" t="s">
        <v>124</v>
      </c>
      <c r="W832" s="42" t="s">
        <v>124</v>
      </c>
      <c r="X832" s="42" t="s">
        <v>124</v>
      </c>
      <c r="Y832" s="43" t="str">
        <f>IF(CCUS_Projects_Database!$R832&lt;&gt;"",HYPERLINK(CCUS_Projects_Database!$R832,"Link 1"),"")</f>
        <v>Link 1</v>
      </c>
      <c r="Z832" s="43" t="str">
        <f>IF(CCUS_Projects_Database!$S832&lt;&gt;"",HYPERLINK(CCUS_Projects_Database!$S832,"Link 2"),"")</f>
        <v>Link 2</v>
      </c>
      <c r="AA832" s="43" t="str">
        <f>IF(CCUS_Projects_Database!$T832&lt;&gt;"",HYPERLINK(CCUS_Projects_Database!$T832,"Link 3"),"")</f>
        <v>Link 3</v>
      </c>
      <c r="AB832" s="43" t="str">
        <f>IF(CCUS_Projects_Database!$U832&lt;&gt;"",HYPERLINK(CCUS_Projects_Database!$U832,"Link 4"),"")</f>
        <v>Link 4</v>
      </c>
      <c r="AC832" s="43" t="str">
        <f>IF(CCUS_Projects_Database!$V832&lt;&gt;"",HYPERLINK(CCUS_Projects_Database!$V832,"Link 5"),"")</f>
        <v/>
      </c>
      <c r="AD832" s="43" t="str">
        <f>IF(CCUS_Projects_Database!$W832&lt;&gt;"",HYPERLINK(CCUS_Projects_Database!$W832,"Link 6"),"")</f>
        <v/>
      </c>
      <c r="AE832" s="43" t="str">
        <f>IF(CCUS_Projects_Database!$X832&lt;&gt;"",HYPERLINK(CCUS_Projects_Database!$X832,"Link 7"),"")</f>
        <v/>
      </c>
    </row>
    <row r="833" ht="15.75" customHeight="1">
      <c r="A833" s="44" t="s">
        <v>2961</v>
      </c>
      <c r="B833" s="45">
        <v>530.0</v>
      </c>
      <c r="C833" s="45" t="s">
        <v>284</v>
      </c>
      <c r="D833" s="46" t="s">
        <v>2962</v>
      </c>
      <c r="E833" s="45" t="s">
        <v>12</v>
      </c>
      <c r="F833" s="45">
        <v>2022.0</v>
      </c>
      <c r="G833" s="45">
        <v>2025.0</v>
      </c>
      <c r="H833" s="45">
        <v>2030.0</v>
      </c>
      <c r="I833" s="45" t="s">
        <v>124</v>
      </c>
      <c r="J833" s="45" t="s">
        <v>28</v>
      </c>
      <c r="K833" s="47" t="s">
        <v>124</v>
      </c>
      <c r="L833" s="52">
        <v>5.0</v>
      </c>
      <c r="M833" s="47">
        <v>5.0</v>
      </c>
      <c r="N833" s="45" t="s">
        <v>12</v>
      </c>
      <c r="O833" s="48" t="s">
        <v>71</v>
      </c>
      <c r="P833" s="49" t="s">
        <v>2963</v>
      </c>
      <c r="Q833" s="45" t="s">
        <v>125</v>
      </c>
      <c r="R833" s="49" t="s">
        <v>2964</v>
      </c>
      <c r="S833" s="49" t="s">
        <v>2965</v>
      </c>
      <c r="T833" s="49" t="s">
        <v>2966</v>
      </c>
      <c r="U833" s="49" t="s">
        <v>124</v>
      </c>
      <c r="V833" s="49" t="s">
        <v>124</v>
      </c>
      <c r="W833" s="49" t="s">
        <v>124</v>
      </c>
      <c r="X833" s="49" t="s">
        <v>124</v>
      </c>
      <c r="Y833" s="50" t="str">
        <f>IF(CCUS_Projects_Database!$R833&lt;&gt;"",HYPERLINK(CCUS_Projects_Database!$R833,"Link 1"),"")</f>
        <v>Link 1</v>
      </c>
      <c r="Z833" s="50" t="str">
        <f>IF(CCUS_Projects_Database!$S833&lt;&gt;"",HYPERLINK(CCUS_Projects_Database!$S833,"Link 2"),"")</f>
        <v>Link 2</v>
      </c>
      <c r="AA833" s="50" t="str">
        <f>IF(CCUS_Projects_Database!$T833&lt;&gt;"",HYPERLINK(CCUS_Projects_Database!$T833,"Link 3"),"")</f>
        <v>Link 3</v>
      </c>
      <c r="AB833" s="50" t="str">
        <f>IF(CCUS_Projects_Database!$U833&lt;&gt;"",HYPERLINK(CCUS_Projects_Database!$U833,"Link 4"),"")</f>
        <v/>
      </c>
      <c r="AC833" s="50" t="str">
        <f>IF(CCUS_Projects_Database!$V833&lt;&gt;"",HYPERLINK(CCUS_Projects_Database!$V833,"Link 5"),"")</f>
        <v/>
      </c>
      <c r="AD833" s="50" t="str">
        <f>IF(CCUS_Projects_Database!$W833&lt;&gt;"",HYPERLINK(CCUS_Projects_Database!$W833,"Link 6"),"")</f>
        <v/>
      </c>
      <c r="AE833" s="50" t="str">
        <f>IF(CCUS_Projects_Database!$X833&lt;&gt;"",HYPERLINK(CCUS_Projects_Database!$X833,"Link 7"),"")</f>
        <v/>
      </c>
    </row>
    <row r="834" ht="15.75" customHeight="1">
      <c r="A834" s="37" t="s">
        <v>2967</v>
      </c>
      <c r="B834" s="38">
        <v>528.0</v>
      </c>
      <c r="C834" s="38" t="s">
        <v>2968</v>
      </c>
      <c r="D834" s="39" t="s">
        <v>2969</v>
      </c>
      <c r="E834" s="38" t="s">
        <v>10</v>
      </c>
      <c r="F834" s="38">
        <v>2022.0</v>
      </c>
      <c r="G834" s="38" t="s">
        <v>124</v>
      </c>
      <c r="H834" s="38">
        <v>2032.0</v>
      </c>
      <c r="I834" s="38" t="s">
        <v>124</v>
      </c>
      <c r="J834" s="38" t="s">
        <v>28</v>
      </c>
      <c r="K834" s="40">
        <v>1.0</v>
      </c>
      <c r="L834" s="51">
        <v>20.0</v>
      </c>
      <c r="M834" s="40">
        <v>20.0</v>
      </c>
      <c r="N834" s="38" t="s">
        <v>10</v>
      </c>
      <c r="O834" s="41" t="s">
        <v>71</v>
      </c>
      <c r="P834" s="42" t="s">
        <v>2970</v>
      </c>
      <c r="Q834" s="38" t="s">
        <v>125</v>
      </c>
      <c r="R834" s="42" t="s">
        <v>2971</v>
      </c>
      <c r="S834" s="42" t="s">
        <v>124</v>
      </c>
      <c r="T834" s="42" t="s">
        <v>124</v>
      </c>
      <c r="U834" s="42" t="s">
        <v>124</v>
      </c>
      <c r="V834" s="42" t="s">
        <v>124</v>
      </c>
      <c r="W834" s="42" t="s">
        <v>124</v>
      </c>
      <c r="X834" s="42" t="s">
        <v>124</v>
      </c>
      <c r="Y834" s="43" t="str">
        <f>IF(CCUS_Projects_Database!$R834&lt;&gt;"",HYPERLINK(CCUS_Projects_Database!$R834,"Link 1"),"")</f>
        <v>Link 1</v>
      </c>
      <c r="Z834" s="43" t="str">
        <f>IF(CCUS_Projects_Database!$S834&lt;&gt;"",HYPERLINK(CCUS_Projects_Database!$S834,"Link 2"),"")</f>
        <v/>
      </c>
      <c r="AA834" s="43" t="str">
        <f>IF(CCUS_Projects_Database!$T834&lt;&gt;"",HYPERLINK(CCUS_Projects_Database!$T834,"Link 3"),"")</f>
        <v/>
      </c>
      <c r="AB834" s="43" t="str">
        <f>IF(CCUS_Projects_Database!$U834&lt;&gt;"",HYPERLINK(CCUS_Projects_Database!$U834,"Link 4"),"")</f>
        <v/>
      </c>
      <c r="AC834" s="43" t="str">
        <f>IF(CCUS_Projects_Database!$V834&lt;&gt;"",HYPERLINK(CCUS_Projects_Database!$V834,"Link 5"),"")</f>
        <v/>
      </c>
      <c r="AD834" s="43" t="str">
        <f>IF(CCUS_Projects_Database!$W834&lt;&gt;"",HYPERLINK(CCUS_Projects_Database!$W834,"Link 6"),"")</f>
        <v/>
      </c>
      <c r="AE834" s="43" t="str">
        <f>IF(CCUS_Projects_Database!$X834&lt;&gt;"",HYPERLINK(CCUS_Projects_Database!$X834,"Link 7"),"")</f>
        <v/>
      </c>
    </row>
    <row r="835" ht="15.75" customHeight="1">
      <c r="A835" s="44" t="s">
        <v>2972</v>
      </c>
      <c r="B835" s="45">
        <v>529.0</v>
      </c>
      <c r="C835" s="45" t="s">
        <v>2968</v>
      </c>
      <c r="D835" s="46" t="s">
        <v>2969</v>
      </c>
      <c r="E835" s="45" t="s">
        <v>10</v>
      </c>
      <c r="F835" s="45">
        <v>2022.0</v>
      </c>
      <c r="G835" s="45" t="s">
        <v>124</v>
      </c>
      <c r="H835" s="45">
        <v>2037.0</v>
      </c>
      <c r="I835" s="45" t="s">
        <v>124</v>
      </c>
      <c r="J835" s="45" t="s">
        <v>28</v>
      </c>
      <c r="K835" s="47">
        <v>2.0</v>
      </c>
      <c r="L835" s="52">
        <v>20.0</v>
      </c>
      <c r="M835" s="47">
        <v>20.0</v>
      </c>
      <c r="N835" s="45" t="s">
        <v>10</v>
      </c>
      <c r="O835" s="48" t="s">
        <v>71</v>
      </c>
      <c r="P835" s="49" t="s">
        <v>2970</v>
      </c>
      <c r="Q835" s="45" t="s">
        <v>125</v>
      </c>
      <c r="R835" s="49" t="s">
        <v>2971</v>
      </c>
      <c r="S835" s="49" t="s">
        <v>124</v>
      </c>
      <c r="T835" s="49" t="s">
        <v>124</v>
      </c>
      <c r="U835" s="49" t="s">
        <v>124</v>
      </c>
      <c r="V835" s="49" t="s">
        <v>124</v>
      </c>
      <c r="W835" s="49" t="s">
        <v>124</v>
      </c>
      <c r="X835" s="49" t="s">
        <v>124</v>
      </c>
      <c r="Y835" s="50" t="str">
        <f>IF(CCUS_Projects_Database!$R835&lt;&gt;"",HYPERLINK(CCUS_Projects_Database!$R835,"Link 1"),"")</f>
        <v>Link 1</v>
      </c>
      <c r="Z835" s="50" t="str">
        <f>IF(CCUS_Projects_Database!$S835&lt;&gt;"",HYPERLINK(CCUS_Projects_Database!$S835,"Link 2"),"")</f>
        <v/>
      </c>
      <c r="AA835" s="50" t="str">
        <f>IF(CCUS_Projects_Database!$T835&lt;&gt;"",HYPERLINK(CCUS_Projects_Database!$T835,"Link 3"),"")</f>
        <v/>
      </c>
      <c r="AB835" s="50" t="str">
        <f>IF(CCUS_Projects_Database!$U835&lt;&gt;"",HYPERLINK(CCUS_Projects_Database!$U835,"Link 4"),"")</f>
        <v/>
      </c>
      <c r="AC835" s="50" t="str">
        <f>IF(CCUS_Projects_Database!$V835&lt;&gt;"",HYPERLINK(CCUS_Projects_Database!$V835,"Link 5"),"")</f>
        <v/>
      </c>
      <c r="AD835" s="50" t="str">
        <f>IF(CCUS_Projects_Database!$W835&lt;&gt;"",HYPERLINK(CCUS_Projects_Database!$W835,"Link 6"),"")</f>
        <v/>
      </c>
      <c r="AE835" s="50" t="str">
        <f>IF(CCUS_Projects_Database!$X835&lt;&gt;"",HYPERLINK(CCUS_Projects_Database!$X835,"Link 7"),"")</f>
        <v/>
      </c>
    </row>
    <row r="836" ht="15.75" customHeight="1">
      <c r="A836" s="37" t="s">
        <v>2973</v>
      </c>
      <c r="B836" s="38">
        <v>629.0</v>
      </c>
      <c r="C836" s="38" t="s">
        <v>181</v>
      </c>
      <c r="D836" s="39" t="s">
        <v>2974</v>
      </c>
      <c r="E836" s="38" t="s">
        <v>6</v>
      </c>
      <c r="F836" s="38">
        <v>2022.0</v>
      </c>
      <c r="G836" s="38" t="s">
        <v>124</v>
      </c>
      <c r="H836" s="38" t="s">
        <v>124</v>
      </c>
      <c r="I836" s="38" t="s">
        <v>124</v>
      </c>
      <c r="J836" s="38" t="s">
        <v>28</v>
      </c>
      <c r="K836" s="40" t="s">
        <v>124</v>
      </c>
      <c r="L836" s="40"/>
      <c r="M836" s="40" t="s">
        <v>124</v>
      </c>
      <c r="N836" s="38" t="s">
        <v>48</v>
      </c>
      <c r="O836" s="41" t="s">
        <v>71</v>
      </c>
      <c r="P836" s="42" t="s">
        <v>124</v>
      </c>
      <c r="Q836" s="38" t="s">
        <v>184</v>
      </c>
      <c r="R836" s="42" t="s">
        <v>124</v>
      </c>
      <c r="S836" s="42" t="s">
        <v>124</v>
      </c>
      <c r="T836" s="42" t="s">
        <v>124</v>
      </c>
      <c r="U836" s="42" t="s">
        <v>124</v>
      </c>
      <c r="V836" s="42" t="s">
        <v>124</v>
      </c>
      <c r="W836" s="42" t="s">
        <v>124</v>
      </c>
      <c r="X836" s="42" t="s">
        <v>124</v>
      </c>
      <c r="Y836" s="43" t="str">
        <f>IF(CCUS_Projects_Database!$R836&lt;&gt;"",HYPERLINK(CCUS_Projects_Database!$R836,"Link 1"),"")</f>
        <v/>
      </c>
      <c r="Z836" s="43" t="str">
        <f>IF(CCUS_Projects_Database!$S836&lt;&gt;"",HYPERLINK(CCUS_Projects_Database!$S836,"Link 2"),"")</f>
        <v/>
      </c>
      <c r="AA836" s="43" t="str">
        <f>IF(CCUS_Projects_Database!$T836&lt;&gt;"",HYPERLINK(CCUS_Projects_Database!$T836,"Link 3"),"")</f>
        <v/>
      </c>
      <c r="AB836" s="43" t="str">
        <f>IF(CCUS_Projects_Database!$U836&lt;&gt;"",HYPERLINK(CCUS_Projects_Database!$U836,"Link 4"),"")</f>
        <v/>
      </c>
      <c r="AC836" s="43" t="str">
        <f>IF(CCUS_Projects_Database!$V836&lt;&gt;"",HYPERLINK(CCUS_Projects_Database!$V836,"Link 5"),"")</f>
        <v/>
      </c>
      <c r="AD836" s="43" t="str">
        <f>IF(CCUS_Projects_Database!$W836&lt;&gt;"",HYPERLINK(CCUS_Projects_Database!$W836,"Link 6"),"")</f>
        <v/>
      </c>
      <c r="AE836" s="43" t="str">
        <f>IF(CCUS_Projects_Database!$X836&lt;&gt;"",HYPERLINK(CCUS_Projects_Database!$X836,"Link 7"),"")</f>
        <v/>
      </c>
    </row>
    <row r="837" ht="15.75" customHeight="1">
      <c r="A837" s="44" t="s">
        <v>2975</v>
      </c>
      <c r="B837" s="45">
        <v>410.0</v>
      </c>
      <c r="C837" s="45" t="s">
        <v>949</v>
      </c>
      <c r="D837" s="46" t="s">
        <v>2193</v>
      </c>
      <c r="E837" s="45" t="s">
        <v>6</v>
      </c>
      <c r="F837" s="45" t="s">
        <v>124</v>
      </c>
      <c r="G837" s="45" t="s">
        <v>124</v>
      </c>
      <c r="H837" s="45" t="s">
        <v>124</v>
      </c>
      <c r="I837" s="45" t="s">
        <v>124</v>
      </c>
      <c r="J837" s="45" t="s">
        <v>28</v>
      </c>
      <c r="K837" s="47" t="s">
        <v>124</v>
      </c>
      <c r="L837" s="47"/>
      <c r="M837" s="47" t="s">
        <v>124</v>
      </c>
      <c r="N837" s="45" t="s">
        <v>48</v>
      </c>
      <c r="O837" s="48" t="s">
        <v>77</v>
      </c>
      <c r="P837" s="49" t="s">
        <v>124</v>
      </c>
      <c r="Q837" s="45" t="s">
        <v>951</v>
      </c>
      <c r="R837" s="49" t="s">
        <v>2194</v>
      </c>
      <c r="S837" s="49" t="s">
        <v>1515</v>
      </c>
      <c r="T837" s="49" t="s">
        <v>124</v>
      </c>
      <c r="U837" s="49" t="s">
        <v>124</v>
      </c>
      <c r="V837" s="49" t="s">
        <v>124</v>
      </c>
      <c r="W837" s="49" t="s">
        <v>124</v>
      </c>
      <c r="X837" s="49" t="s">
        <v>124</v>
      </c>
      <c r="Y837" s="50" t="str">
        <f>IF(CCUS_Projects_Database!$R837&lt;&gt;"",HYPERLINK(CCUS_Projects_Database!$R837,"Link 1"),"")</f>
        <v>Link 1</v>
      </c>
      <c r="Z837" s="50" t="str">
        <f>IF(CCUS_Projects_Database!$S837&lt;&gt;"",HYPERLINK(CCUS_Projects_Database!$S837,"Link 2"),"")</f>
        <v>Link 2</v>
      </c>
      <c r="AA837" s="50" t="str">
        <f>IF(CCUS_Projects_Database!$T837&lt;&gt;"",HYPERLINK(CCUS_Projects_Database!$T837,"Link 3"),"")</f>
        <v/>
      </c>
      <c r="AB837" s="50" t="str">
        <f>IF(CCUS_Projects_Database!$U837&lt;&gt;"",HYPERLINK(CCUS_Projects_Database!$U837,"Link 4"),"")</f>
        <v/>
      </c>
      <c r="AC837" s="50" t="str">
        <f>IF(CCUS_Projects_Database!$V837&lt;&gt;"",HYPERLINK(CCUS_Projects_Database!$V837,"Link 5"),"")</f>
        <v/>
      </c>
      <c r="AD837" s="50" t="str">
        <f>IF(CCUS_Projects_Database!$W837&lt;&gt;"",HYPERLINK(CCUS_Projects_Database!$W837,"Link 6"),"")</f>
        <v/>
      </c>
      <c r="AE837" s="50" t="str">
        <f>IF(CCUS_Projects_Database!$X837&lt;&gt;"",HYPERLINK(CCUS_Projects_Database!$X837,"Link 7"),"")</f>
        <v/>
      </c>
    </row>
    <row r="838" ht="15.75" customHeight="1">
      <c r="A838" s="37" t="s">
        <v>2976</v>
      </c>
      <c r="B838" s="38">
        <v>411.0</v>
      </c>
      <c r="C838" s="38" t="s">
        <v>224</v>
      </c>
      <c r="D838" s="39" t="s">
        <v>2977</v>
      </c>
      <c r="E838" s="38" t="s">
        <v>6</v>
      </c>
      <c r="F838" s="38">
        <v>2015.0</v>
      </c>
      <c r="G838" s="38" t="s">
        <v>124</v>
      </c>
      <c r="H838" s="38">
        <v>2022.0</v>
      </c>
      <c r="I838" s="38" t="s">
        <v>124</v>
      </c>
      <c r="J838" s="38" t="s">
        <v>32</v>
      </c>
      <c r="K838" s="40">
        <v>1.0</v>
      </c>
      <c r="L838" s="51">
        <v>0.3</v>
      </c>
      <c r="M838" s="40">
        <v>0.3</v>
      </c>
      <c r="N838" s="38" t="s">
        <v>54</v>
      </c>
      <c r="O838" s="41" t="s">
        <v>73</v>
      </c>
      <c r="P838" s="42" t="s">
        <v>2978</v>
      </c>
      <c r="Q838" s="38" t="s">
        <v>148</v>
      </c>
      <c r="R838" s="42" t="s">
        <v>802</v>
      </c>
      <c r="S838" s="42" t="s">
        <v>2979</v>
      </c>
      <c r="T838" s="42" t="s">
        <v>2980</v>
      </c>
      <c r="U838" s="42" t="s">
        <v>2981</v>
      </c>
      <c r="V838" s="42" t="s">
        <v>124</v>
      </c>
      <c r="W838" s="42" t="s">
        <v>124</v>
      </c>
      <c r="X838" s="42" t="s">
        <v>124</v>
      </c>
      <c r="Y838" s="43" t="str">
        <f>IF(CCUS_Projects_Database!$R838&lt;&gt;"",HYPERLINK(CCUS_Projects_Database!$R838,"Link 1"),"")</f>
        <v>Link 1</v>
      </c>
      <c r="Z838" s="43" t="str">
        <f>IF(CCUS_Projects_Database!$S838&lt;&gt;"",HYPERLINK(CCUS_Projects_Database!$S838,"Link 2"),"")</f>
        <v>Link 2</v>
      </c>
      <c r="AA838" s="43" t="str">
        <f>IF(CCUS_Projects_Database!$T838&lt;&gt;"",HYPERLINK(CCUS_Projects_Database!$T838,"Link 3"),"")</f>
        <v>Link 3</v>
      </c>
      <c r="AB838" s="43" t="str">
        <f>IF(CCUS_Projects_Database!$U838&lt;&gt;"",HYPERLINK(CCUS_Projects_Database!$U838,"Link 4"),"")</f>
        <v>Link 4</v>
      </c>
      <c r="AC838" s="43" t="str">
        <f>IF(CCUS_Projects_Database!$V838&lt;&gt;"",HYPERLINK(CCUS_Projects_Database!$V838,"Link 5"),"")</f>
        <v/>
      </c>
      <c r="AD838" s="43" t="str">
        <f>IF(CCUS_Projects_Database!$W838&lt;&gt;"",HYPERLINK(CCUS_Projects_Database!$W838,"Link 6"),"")</f>
        <v/>
      </c>
      <c r="AE838" s="43" t="str">
        <f>IF(CCUS_Projects_Database!$X838&lt;&gt;"",HYPERLINK(CCUS_Projects_Database!$X838,"Link 7"),"")</f>
        <v/>
      </c>
    </row>
    <row r="839" ht="15.75" customHeight="1">
      <c r="A839" s="44" t="s">
        <v>2982</v>
      </c>
      <c r="B839" s="45">
        <v>929.0</v>
      </c>
      <c r="C839" s="45" t="s">
        <v>224</v>
      </c>
      <c r="D839" s="46" t="s">
        <v>2977</v>
      </c>
      <c r="E839" s="45" t="s">
        <v>6</v>
      </c>
      <c r="F839" s="45">
        <v>2022.0</v>
      </c>
      <c r="G839" s="45" t="s">
        <v>124</v>
      </c>
      <c r="H839" s="45" t="s">
        <v>124</v>
      </c>
      <c r="I839" s="45" t="s">
        <v>124</v>
      </c>
      <c r="J839" s="45" t="s">
        <v>28</v>
      </c>
      <c r="K839" s="47">
        <v>2.0</v>
      </c>
      <c r="L839" s="52">
        <v>2.4</v>
      </c>
      <c r="M839" s="47">
        <v>2.4</v>
      </c>
      <c r="N839" s="45" t="s">
        <v>54</v>
      </c>
      <c r="O839" s="48" t="s">
        <v>73</v>
      </c>
      <c r="P839" s="49" t="s">
        <v>2978</v>
      </c>
      <c r="Q839" s="45" t="s">
        <v>148</v>
      </c>
      <c r="R839" s="49" t="s">
        <v>2981</v>
      </c>
      <c r="S839" s="49" t="s">
        <v>972</v>
      </c>
      <c r="T839" s="49" t="s">
        <v>124</v>
      </c>
      <c r="U839" s="49" t="s">
        <v>124</v>
      </c>
      <c r="V839" s="49" t="s">
        <v>124</v>
      </c>
      <c r="W839" s="49" t="s">
        <v>124</v>
      </c>
      <c r="X839" s="49" t="s">
        <v>124</v>
      </c>
      <c r="Y839" s="50" t="str">
        <f>IF(CCUS_Projects_Database!$R839&lt;&gt;"",HYPERLINK(CCUS_Projects_Database!$R839,"Link 1"),"")</f>
        <v>Link 1</v>
      </c>
      <c r="Z839" s="50" t="str">
        <f>IF(CCUS_Projects_Database!$S839&lt;&gt;"",HYPERLINK(CCUS_Projects_Database!$S839,"Link 2"),"")</f>
        <v>Link 2</v>
      </c>
      <c r="AA839" s="50" t="str">
        <f>IF(CCUS_Projects_Database!$T839&lt;&gt;"",HYPERLINK(CCUS_Projects_Database!$T839,"Link 3"),"")</f>
        <v/>
      </c>
      <c r="AB839" s="50" t="str">
        <f>IF(CCUS_Projects_Database!$U839&lt;&gt;"",HYPERLINK(CCUS_Projects_Database!$U839,"Link 4"),"")</f>
        <v/>
      </c>
      <c r="AC839" s="50" t="str">
        <f>IF(CCUS_Projects_Database!$V839&lt;&gt;"",HYPERLINK(CCUS_Projects_Database!$V839,"Link 5"),"")</f>
        <v/>
      </c>
      <c r="AD839" s="50" t="str">
        <f>IF(CCUS_Projects_Database!$W839&lt;&gt;"",HYPERLINK(CCUS_Projects_Database!$W839,"Link 6"),"")</f>
        <v/>
      </c>
      <c r="AE839" s="50" t="str">
        <f>IF(CCUS_Projects_Database!$X839&lt;&gt;"",HYPERLINK(CCUS_Projects_Database!$X839,"Link 7"),"")</f>
        <v/>
      </c>
    </row>
    <row r="840" ht="15.75" customHeight="1">
      <c r="A840" s="37" t="s">
        <v>2983</v>
      </c>
      <c r="B840" s="38">
        <v>930.0</v>
      </c>
      <c r="C840" s="38" t="s">
        <v>224</v>
      </c>
      <c r="D840" s="39" t="s">
        <v>2977</v>
      </c>
      <c r="E840" s="38" t="s">
        <v>6</v>
      </c>
      <c r="F840" s="38">
        <v>2022.0</v>
      </c>
      <c r="G840" s="38" t="s">
        <v>124</v>
      </c>
      <c r="H840" s="38" t="s">
        <v>124</v>
      </c>
      <c r="I840" s="38" t="s">
        <v>124</v>
      </c>
      <c r="J840" s="38" t="s">
        <v>28</v>
      </c>
      <c r="K840" s="40">
        <v>3.0</v>
      </c>
      <c r="L840" s="51">
        <v>2.3</v>
      </c>
      <c r="M840" s="40">
        <v>2.3</v>
      </c>
      <c r="N840" s="38" t="s">
        <v>54</v>
      </c>
      <c r="O840" s="41" t="s">
        <v>73</v>
      </c>
      <c r="P840" s="42" t="s">
        <v>2978</v>
      </c>
      <c r="Q840" s="38" t="s">
        <v>148</v>
      </c>
      <c r="R840" s="42" t="s">
        <v>2981</v>
      </c>
      <c r="S840" s="42" t="s">
        <v>972</v>
      </c>
      <c r="T840" s="42" t="s">
        <v>124</v>
      </c>
      <c r="U840" s="42" t="s">
        <v>124</v>
      </c>
      <c r="V840" s="42" t="s">
        <v>124</v>
      </c>
      <c r="W840" s="42" t="s">
        <v>124</v>
      </c>
      <c r="X840" s="42" t="s">
        <v>124</v>
      </c>
      <c r="Y840" s="43" t="str">
        <f>IF(CCUS_Projects_Database!$R840&lt;&gt;"",HYPERLINK(CCUS_Projects_Database!$R840,"Link 1"),"")</f>
        <v>Link 1</v>
      </c>
      <c r="Z840" s="43" t="str">
        <f>IF(CCUS_Projects_Database!$S840&lt;&gt;"",HYPERLINK(CCUS_Projects_Database!$S840,"Link 2"),"")</f>
        <v>Link 2</v>
      </c>
      <c r="AA840" s="43" t="str">
        <f>IF(CCUS_Projects_Database!$T840&lt;&gt;"",HYPERLINK(CCUS_Projects_Database!$T840,"Link 3"),"")</f>
        <v/>
      </c>
      <c r="AB840" s="43" t="str">
        <f>IF(CCUS_Projects_Database!$U840&lt;&gt;"",HYPERLINK(CCUS_Projects_Database!$U840,"Link 4"),"")</f>
        <v/>
      </c>
      <c r="AC840" s="43" t="str">
        <f>IF(CCUS_Projects_Database!$V840&lt;&gt;"",HYPERLINK(CCUS_Projects_Database!$V840,"Link 5"),"")</f>
        <v/>
      </c>
      <c r="AD840" s="43" t="str">
        <f>IF(CCUS_Projects_Database!$W840&lt;&gt;"",HYPERLINK(CCUS_Projects_Database!$W840,"Link 6"),"")</f>
        <v/>
      </c>
      <c r="AE840" s="43" t="str">
        <f>IF(CCUS_Projects_Database!$X840&lt;&gt;"",HYPERLINK(CCUS_Projects_Database!$X840,"Link 7"),"")</f>
        <v/>
      </c>
    </row>
    <row r="841" ht="15.75" customHeight="1">
      <c r="A841" s="44" t="s">
        <v>2984</v>
      </c>
      <c r="B841" s="45">
        <v>788.0</v>
      </c>
      <c r="C841" s="45" t="s">
        <v>181</v>
      </c>
      <c r="D841" s="46" t="s">
        <v>2985</v>
      </c>
      <c r="E841" s="45" t="s">
        <v>8</v>
      </c>
      <c r="F841" s="45">
        <v>2021.0</v>
      </c>
      <c r="G841" s="45" t="s">
        <v>124</v>
      </c>
      <c r="H841" s="45" t="s">
        <v>124</v>
      </c>
      <c r="I841" s="45" t="s">
        <v>124</v>
      </c>
      <c r="J841" s="45" t="s">
        <v>28</v>
      </c>
      <c r="K841" s="47" t="s">
        <v>124</v>
      </c>
      <c r="L841" s="47"/>
      <c r="M841" s="47" t="s">
        <v>124</v>
      </c>
      <c r="N841" s="45" t="s">
        <v>136</v>
      </c>
      <c r="O841" s="48" t="s">
        <v>77</v>
      </c>
      <c r="P841" s="45" t="s">
        <v>124</v>
      </c>
      <c r="Q841" s="45" t="s">
        <v>184</v>
      </c>
      <c r="R841" s="53" t="s">
        <v>2986</v>
      </c>
      <c r="S841" s="53" t="s">
        <v>124</v>
      </c>
      <c r="T841" s="53" t="s">
        <v>124</v>
      </c>
      <c r="U841" s="53" t="s">
        <v>124</v>
      </c>
      <c r="V841" s="53" t="s">
        <v>124</v>
      </c>
      <c r="W841" s="53" t="s">
        <v>124</v>
      </c>
      <c r="X841" s="53" t="s">
        <v>124</v>
      </c>
      <c r="Y841" s="54" t="str">
        <f>IF(CCUS_Projects_Database!$R841&lt;&gt;"",HYPERLINK(CCUS_Projects_Database!$R841,"Link 1"),"")</f>
        <v>Link 1</v>
      </c>
      <c r="Z841" s="49" t="str">
        <f>IF(CCUS_Projects_Database!$S841&lt;&gt;"",HYPERLINK(CCUS_Projects_Database!$S841,"Link 2"),"")</f>
        <v/>
      </c>
      <c r="AA841" s="49" t="str">
        <f>IF(CCUS_Projects_Database!$T841&lt;&gt;"",HYPERLINK(CCUS_Projects_Database!$T841,"Link 3"),"")</f>
        <v/>
      </c>
      <c r="AB841" s="49" t="str">
        <f>IF(CCUS_Projects_Database!$U841&lt;&gt;"",HYPERLINK(CCUS_Projects_Database!$U841,"Link 4"),"")</f>
        <v/>
      </c>
      <c r="AC841" s="49" t="str">
        <f>IF(CCUS_Projects_Database!$V841&lt;&gt;"",HYPERLINK(CCUS_Projects_Database!$V841,"Link 5"),"")</f>
        <v/>
      </c>
      <c r="AD841" s="49" t="str">
        <f>IF(CCUS_Projects_Database!$W841&lt;&gt;"",HYPERLINK(CCUS_Projects_Database!$W841,"Link 6"),"")</f>
        <v/>
      </c>
      <c r="AE841" s="50" t="str">
        <f>IF(CCUS_Projects_Database!$X841&lt;&gt;"",HYPERLINK(CCUS_Projects_Database!$X841,"Link 7"),"")</f>
        <v/>
      </c>
    </row>
    <row r="842" ht="15.75" customHeight="1">
      <c r="A842" s="37" t="s">
        <v>2987</v>
      </c>
      <c r="B842" s="38">
        <v>465.0</v>
      </c>
      <c r="C842" s="38" t="s">
        <v>204</v>
      </c>
      <c r="D842" s="39" t="s">
        <v>2988</v>
      </c>
      <c r="E842" s="38" t="s">
        <v>8</v>
      </c>
      <c r="F842" s="38">
        <v>2022.0</v>
      </c>
      <c r="G842" s="38">
        <v>2023.0</v>
      </c>
      <c r="H842" s="38">
        <v>2026.0</v>
      </c>
      <c r="I842" s="38" t="s">
        <v>124</v>
      </c>
      <c r="J842" s="38" t="s">
        <v>30</v>
      </c>
      <c r="K842" s="40" t="s">
        <v>124</v>
      </c>
      <c r="L842" s="51">
        <v>0.8</v>
      </c>
      <c r="M842" s="40">
        <v>0.8</v>
      </c>
      <c r="N842" s="38" t="s">
        <v>60</v>
      </c>
      <c r="O842" s="41" t="s">
        <v>71</v>
      </c>
      <c r="P842" s="42" t="s">
        <v>375</v>
      </c>
      <c r="Q842" s="38" t="s">
        <v>125</v>
      </c>
      <c r="R842" s="42" t="s">
        <v>2989</v>
      </c>
      <c r="S842" s="42" t="s">
        <v>2990</v>
      </c>
      <c r="T842" s="42" t="s">
        <v>2991</v>
      </c>
      <c r="U842" s="42" t="s">
        <v>124</v>
      </c>
      <c r="V842" s="42" t="s">
        <v>124</v>
      </c>
      <c r="W842" s="42" t="s">
        <v>124</v>
      </c>
      <c r="X842" s="42" t="s">
        <v>124</v>
      </c>
      <c r="Y842" s="43" t="str">
        <f>IF(CCUS_Projects_Database!$R842&lt;&gt;"",HYPERLINK(CCUS_Projects_Database!$R842,"Link 1"),"")</f>
        <v>Link 1</v>
      </c>
      <c r="Z842" s="43" t="str">
        <f>IF(CCUS_Projects_Database!$S842&lt;&gt;"",HYPERLINK(CCUS_Projects_Database!$S842,"Link 2"),"")</f>
        <v>Link 2</v>
      </c>
      <c r="AA842" s="43" t="str">
        <f>IF(CCUS_Projects_Database!$T842&lt;&gt;"",HYPERLINK(CCUS_Projects_Database!$T842,"Link 3"),"")</f>
        <v>Link 3</v>
      </c>
      <c r="AB842" s="43" t="str">
        <f>IF(CCUS_Projects_Database!$U842&lt;&gt;"",HYPERLINK(CCUS_Projects_Database!$U842,"Link 4"),"")</f>
        <v/>
      </c>
      <c r="AC842" s="43" t="str">
        <f>IF(CCUS_Projects_Database!$V842&lt;&gt;"",HYPERLINK(CCUS_Projects_Database!$V842,"Link 5"),"")</f>
        <v/>
      </c>
      <c r="AD842" s="43" t="str">
        <f>IF(CCUS_Projects_Database!$W842&lt;&gt;"",HYPERLINK(CCUS_Projects_Database!$W842,"Link 6"),"")</f>
        <v/>
      </c>
      <c r="AE842" s="43" t="str">
        <f>IF(CCUS_Projects_Database!$X842&lt;&gt;"",HYPERLINK(CCUS_Projects_Database!$X842,"Link 7"),"")</f>
        <v/>
      </c>
    </row>
    <row r="843" ht="15.75" customHeight="1">
      <c r="A843" s="44" t="s">
        <v>2992</v>
      </c>
      <c r="B843" s="45">
        <v>826.0</v>
      </c>
      <c r="C843" s="45" t="s">
        <v>141</v>
      </c>
      <c r="D843" s="46" t="s">
        <v>2993</v>
      </c>
      <c r="E843" s="45" t="s">
        <v>8</v>
      </c>
      <c r="F843" s="45">
        <v>2023.0</v>
      </c>
      <c r="G843" s="45" t="s">
        <v>124</v>
      </c>
      <c r="H843" s="45">
        <v>2028.0</v>
      </c>
      <c r="I843" s="45" t="s">
        <v>124</v>
      </c>
      <c r="J843" s="45" t="s">
        <v>28</v>
      </c>
      <c r="K843" s="47" t="s">
        <v>124</v>
      </c>
      <c r="L843" s="47" t="s">
        <v>124</v>
      </c>
      <c r="M843" s="47">
        <v>2.1</v>
      </c>
      <c r="N843" s="45" t="s">
        <v>136</v>
      </c>
      <c r="O843" s="48" t="s">
        <v>77</v>
      </c>
      <c r="P843" s="49" t="s">
        <v>124</v>
      </c>
      <c r="Q843" s="45" t="s">
        <v>143</v>
      </c>
      <c r="R843" s="49" t="s">
        <v>2994</v>
      </c>
      <c r="S843" s="49" t="s">
        <v>124</v>
      </c>
      <c r="T843" s="49" t="s">
        <v>124</v>
      </c>
      <c r="U843" s="49" t="s">
        <v>124</v>
      </c>
      <c r="V843" s="49" t="s">
        <v>124</v>
      </c>
      <c r="W843" s="49" t="s">
        <v>124</v>
      </c>
      <c r="X843" s="49" t="s">
        <v>124</v>
      </c>
      <c r="Y843" s="50" t="str">
        <f>IF(CCUS_Projects_Database!$R843&lt;&gt;"",HYPERLINK(CCUS_Projects_Database!$R843,"Link 1"),"")</f>
        <v>Link 1</v>
      </c>
      <c r="Z843" s="50" t="str">
        <f>IF(CCUS_Projects_Database!$S843&lt;&gt;"",HYPERLINK(CCUS_Projects_Database!$S843,"Link 2"),"")</f>
        <v/>
      </c>
      <c r="AA843" s="50" t="str">
        <f>IF(CCUS_Projects_Database!$T843&lt;&gt;"",HYPERLINK(CCUS_Projects_Database!$T843,"Link 3"),"")</f>
        <v/>
      </c>
      <c r="AB843" s="50" t="str">
        <f>IF(CCUS_Projects_Database!$U843&lt;&gt;"",HYPERLINK(CCUS_Projects_Database!$U843,"Link 4"),"")</f>
        <v/>
      </c>
      <c r="AC843" s="50" t="str">
        <f>IF(CCUS_Projects_Database!$V843&lt;&gt;"",HYPERLINK(CCUS_Projects_Database!$V843,"Link 5"),"")</f>
        <v/>
      </c>
      <c r="AD843" s="50" t="str">
        <f>IF(CCUS_Projects_Database!$W843&lt;&gt;"",HYPERLINK(CCUS_Projects_Database!$W843,"Link 6"),"")</f>
        <v/>
      </c>
      <c r="AE843" s="50" t="str">
        <f>IF(CCUS_Projects_Database!$X843&lt;&gt;"",HYPERLINK(CCUS_Projects_Database!$X843,"Link 7"),"")</f>
        <v/>
      </c>
    </row>
    <row r="844" ht="15.75" customHeight="1">
      <c r="A844" s="37" t="s">
        <v>2995</v>
      </c>
      <c r="B844" s="38">
        <v>640.0</v>
      </c>
      <c r="C844" s="38" t="s">
        <v>157</v>
      </c>
      <c r="D844" s="39" t="s">
        <v>2996</v>
      </c>
      <c r="E844" s="38" t="s">
        <v>8</v>
      </c>
      <c r="F844" s="38">
        <v>2021.0</v>
      </c>
      <c r="G844" s="38" t="s">
        <v>124</v>
      </c>
      <c r="H844" s="38" t="s">
        <v>124</v>
      </c>
      <c r="I844" s="38" t="s">
        <v>124</v>
      </c>
      <c r="J844" s="38" t="s">
        <v>28</v>
      </c>
      <c r="K844" s="40" t="s">
        <v>124</v>
      </c>
      <c r="L844" s="40" t="s">
        <v>124</v>
      </c>
      <c r="M844" s="40" t="s">
        <v>124</v>
      </c>
      <c r="N844" s="38" t="s">
        <v>56</v>
      </c>
      <c r="O844" s="41" t="s">
        <v>71</v>
      </c>
      <c r="P844" s="42" t="s">
        <v>281</v>
      </c>
      <c r="Q844" s="38" t="s">
        <v>125</v>
      </c>
      <c r="R844" s="42" t="s">
        <v>2997</v>
      </c>
      <c r="S844" s="42" t="s">
        <v>572</v>
      </c>
      <c r="T844" s="42" t="s">
        <v>124</v>
      </c>
      <c r="U844" s="42" t="s">
        <v>124</v>
      </c>
      <c r="V844" s="42" t="s">
        <v>124</v>
      </c>
      <c r="W844" s="42" t="s">
        <v>124</v>
      </c>
      <c r="X844" s="42" t="s">
        <v>124</v>
      </c>
      <c r="Y844" s="43" t="str">
        <f>IF(CCUS_Projects_Database!$R844&lt;&gt;"",HYPERLINK(CCUS_Projects_Database!$R844,"Link 1"),"")</f>
        <v>Link 1</v>
      </c>
      <c r="Z844" s="43" t="str">
        <f>IF(CCUS_Projects_Database!$S844&lt;&gt;"",HYPERLINK(CCUS_Projects_Database!$S844,"Link 2"),"")</f>
        <v>Link 2</v>
      </c>
      <c r="AA844" s="43" t="str">
        <f>IF(CCUS_Projects_Database!$T844&lt;&gt;"",HYPERLINK(CCUS_Projects_Database!$T844,"Link 3"),"")</f>
        <v/>
      </c>
      <c r="AB844" s="43" t="str">
        <f>IF(CCUS_Projects_Database!$U844&lt;&gt;"",HYPERLINK(CCUS_Projects_Database!$U844,"Link 4"),"")</f>
        <v/>
      </c>
      <c r="AC844" s="43" t="str">
        <f>IF(CCUS_Projects_Database!$V844&lt;&gt;"",HYPERLINK(CCUS_Projects_Database!$V844,"Link 5"),"")</f>
        <v/>
      </c>
      <c r="AD844" s="43" t="str">
        <f>IF(CCUS_Projects_Database!$W844&lt;&gt;"",HYPERLINK(CCUS_Projects_Database!$W844,"Link 6"),"")</f>
        <v/>
      </c>
      <c r="AE844" s="43" t="str">
        <f>IF(CCUS_Projects_Database!$X844&lt;&gt;"",HYPERLINK(CCUS_Projects_Database!$X844,"Link 7"),"")</f>
        <v/>
      </c>
    </row>
    <row r="845" ht="15.75" customHeight="1">
      <c r="A845" s="44" t="s">
        <v>1826</v>
      </c>
      <c r="B845" s="45">
        <v>725.0</v>
      </c>
      <c r="C845" s="45" t="s">
        <v>893</v>
      </c>
      <c r="D845" s="46" t="s">
        <v>2998</v>
      </c>
      <c r="E845" s="45" t="s">
        <v>12</v>
      </c>
      <c r="F845" s="45" t="s">
        <v>124</v>
      </c>
      <c r="G845" s="45" t="s">
        <v>124</v>
      </c>
      <c r="H845" s="45" t="s">
        <v>124</v>
      </c>
      <c r="I845" s="45" t="s">
        <v>124</v>
      </c>
      <c r="J845" s="45" t="s">
        <v>28</v>
      </c>
      <c r="K845" s="47" t="s">
        <v>124</v>
      </c>
      <c r="L845" s="47" t="s">
        <v>124</v>
      </c>
      <c r="M845" s="47" t="s">
        <v>124</v>
      </c>
      <c r="N845" s="45" t="s">
        <v>12</v>
      </c>
      <c r="O845" s="48" t="s">
        <v>73</v>
      </c>
      <c r="P845" s="45" t="s">
        <v>124</v>
      </c>
      <c r="Q845" s="45" t="s">
        <v>125</v>
      </c>
      <c r="R845" s="53" t="s">
        <v>1828</v>
      </c>
      <c r="S845" s="53" t="s">
        <v>124</v>
      </c>
      <c r="T845" s="53" t="s">
        <v>124</v>
      </c>
      <c r="U845" s="53" t="s">
        <v>124</v>
      </c>
      <c r="V845" s="53" t="s">
        <v>124</v>
      </c>
      <c r="W845" s="53" t="s">
        <v>124</v>
      </c>
      <c r="X845" s="53" t="s">
        <v>124</v>
      </c>
      <c r="Y845" s="54" t="str">
        <f>IF(CCUS_Projects_Database!$R845&lt;&gt;"",HYPERLINK(CCUS_Projects_Database!$R845,"Link 1"),"")</f>
        <v>Link 1</v>
      </c>
      <c r="Z845" s="49" t="str">
        <f>IF(CCUS_Projects_Database!$S845&lt;&gt;"",HYPERLINK(CCUS_Projects_Database!$S845,"Link 2"),"")</f>
        <v/>
      </c>
      <c r="AA845" s="49" t="str">
        <f>IF(CCUS_Projects_Database!$T845&lt;&gt;"",HYPERLINK(CCUS_Projects_Database!$T845,"Link 3"),"")</f>
        <v/>
      </c>
      <c r="AB845" s="49" t="str">
        <f>IF(CCUS_Projects_Database!$U845&lt;&gt;"",HYPERLINK(CCUS_Projects_Database!$U845,"Link 4"),"")</f>
        <v/>
      </c>
      <c r="AC845" s="49" t="str">
        <f>IF(CCUS_Projects_Database!$V845&lt;&gt;"",HYPERLINK(CCUS_Projects_Database!$V845,"Link 5"),"")</f>
        <v/>
      </c>
      <c r="AD845" s="49" t="str">
        <f>IF(CCUS_Projects_Database!$W845&lt;&gt;"",HYPERLINK(CCUS_Projects_Database!$W845,"Link 6"),"")</f>
        <v/>
      </c>
      <c r="AE845" s="50" t="str">
        <f>IF(CCUS_Projects_Database!$X845&lt;&gt;"",HYPERLINK(CCUS_Projects_Database!$X845,"Link 7"),"")</f>
        <v/>
      </c>
    </row>
  </sheetData>
  <autoFilter ref="$A$1:$AE$845">
    <sortState ref="A1:AE845">
      <sortCondition ref="B1:B845"/>
      <sortCondition ref="A1:A845"/>
    </sortState>
  </autoFilter>
  <conditionalFormatting sqref="O2:O845">
    <cfRule type="expression" dxfId="0" priority="1">
      <formula>OR(#REF!="Need data",#REF!="Manual entry")</formula>
    </cfRule>
  </conditionalFormatting>
  <conditionalFormatting sqref="G2:G845">
    <cfRule type="expression" dxfId="1" priority="2">
      <formula>YEAR($G2)=YEAR(TODAY())</formula>
    </cfRule>
  </conditionalFormatting>
  <conditionalFormatting sqref="G2:G845">
    <cfRule type="expression" dxfId="2" priority="3">
      <formula>YEAR($G2)&gt;YEAR(TODAY())</formula>
    </cfRule>
  </conditionalFormatting>
  <conditionalFormatting sqref="A2:H845 J2:O845 Q2:X845 AE2:AE845">
    <cfRule type="expression" dxfId="3" priority="4">
      <formula>#REF!="Yes"</formula>
    </cfRule>
  </conditionalFormatting>
  <conditionalFormatting sqref="A2:H845 J2:O845 Q2:X845 AE2:AE845">
    <cfRule type="expression" dxfId="4" priority="5">
      <formula>ISNUMBER(SEARCH("Low",#REF!))</formula>
    </cfRule>
  </conditionalFormatting>
  <conditionalFormatting sqref="F2:F845">
    <cfRule type="expression" dxfId="1" priority="6">
      <formula>YEAR($F2)=YEAR(TODAY())</formula>
    </cfRule>
  </conditionalFormatting>
  <conditionalFormatting sqref="F2:F845">
    <cfRule type="expression" dxfId="2" priority="7">
      <formula>YEAR($F2)&gt;YEAR(TODAY())</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2020-10-08T13:36:14Z</dcterms:created>
  <dc:creator>IEA CCUS Team;FAJARDY Mathilde, IEA/STO/ETP/CCUS;MOORE Rachael, IEA/STO/ETP/CCUS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0x010100E19F81648475CB4B81C3615DD73F02B3</vt:lpwstr>
  </property>
</Properties>
</file>